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JA" sheetId="1" r:id="rId4"/>
    <sheet state="visible" name="INVENTARIO MEDICINA" sheetId="2" r:id="rId5"/>
    <sheet state="visible" name="CONTABILIDAD" sheetId="3" r:id="rId6"/>
    <sheet state="visible" name="SALON DE EVENTOS " sheetId="4" r:id="rId7"/>
    <sheet state="visible" name="ESTADISTICAS GIROS" sheetId="5" r:id="rId8"/>
    <sheet state="visible" name="Suly " sheetId="6" r:id="rId9"/>
    <sheet state="visible" name="base de datos clientes" sheetId="7" r:id="rId10"/>
    <sheet state="visible" name="PLACAS" sheetId="8" r:id="rId11"/>
    <sheet state="visible" name="HORARIOS" sheetId="9" r:id="rId12"/>
    <sheet state="visible" name="ASEGURANZAS" sheetId="10" r:id="rId13"/>
  </sheets>
  <definedNames>
    <definedName hidden="1" localSheetId="1" name="_xlnm._FilterDatabase">'INVENTARIO MEDICINA'!$A$1:$Z$1000</definedName>
    <definedName hidden="1" localSheetId="6" name="_xlnm._FilterDatabase">'base de datos clientes'!$A$1:$I$4111</definedName>
  </definedNames>
  <calcPr/>
  <extLst>
    <ext uri="GoogleSheetsCustomDataVersion2">
      <go:sheetsCustomData xmlns:go="http://customooxmlschemas.google.com/" r:id="rId14" roundtripDataChecksum="tKYMYQDp3W5IL9l0sfe/mCtSFHt3ouJBC4PSN4YKLUo="/>
    </ext>
  </extLst>
</workbook>
</file>

<file path=xl/sharedStrings.xml><?xml version="1.0" encoding="utf-8"?>
<sst xmlns="http://schemas.openxmlformats.org/spreadsheetml/2006/main" count="22904" uniqueCount="8405">
  <si>
    <t xml:space="preserve">                                              </t>
  </si>
  <si>
    <t xml:space="preserve">CAJERA </t>
  </si>
  <si>
    <t>sulma</t>
  </si>
  <si>
    <t>COMPANIA</t>
  </si>
  <si>
    <t>entrada</t>
  </si>
  <si>
    <t xml:space="preserve">CHEQUES Y DEBITOS </t>
  </si>
  <si>
    <t>TOTAL</t>
  </si>
  <si>
    <t>CAJA</t>
  </si>
  <si>
    <t>BARRI</t>
  </si>
  <si>
    <t>VIAMERICAS</t>
  </si>
  <si>
    <t>INTERCAMBIO</t>
  </si>
  <si>
    <t xml:space="preserve">amigo sin pin </t>
  </si>
  <si>
    <t>de 20 olvido santy guardados</t>
  </si>
  <si>
    <t>ch intercambio</t>
  </si>
  <si>
    <t>garda</t>
  </si>
  <si>
    <t>zapatos leon cheque</t>
  </si>
  <si>
    <t xml:space="preserve"> </t>
  </si>
  <si>
    <t>evento edith</t>
  </si>
  <si>
    <t>-</t>
  </si>
  <si>
    <t>suly envios familia</t>
  </si>
  <si>
    <t>ch jp sin traer y pagado</t>
  </si>
  <si>
    <t>carrollton presta de la michoacana</t>
  </si>
  <si>
    <t>ch sin pasar</t>
  </si>
  <si>
    <t>vialink</t>
  </si>
  <si>
    <t xml:space="preserve">meti los 3,000 de ayer pero me llevo  </t>
  </si>
  <si>
    <t xml:space="preserve">                                                                                                                                                                                                                              </t>
  </si>
  <si>
    <t>`</t>
  </si>
  <si>
    <t>JP CHEQUES</t>
  </si>
  <si>
    <t>COMICIONES</t>
  </si>
  <si>
    <t>PRODUCTO</t>
  </si>
  <si>
    <t>QTY</t>
  </si>
  <si>
    <t>PARA QUE SIRVE</t>
  </si>
  <si>
    <t xml:space="preserve">PRECIO </t>
  </si>
  <si>
    <t>PRECIO PUBLICO</t>
  </si>
  <si>
    <t>ATHLETES FOOT CREMA ANTIFUNGAL</t>
  </si>
  <si>
    <t>DERMAN ANTIFUNGAL  GRANDE</t>
  </si>
  <si>
    <t xml:space="preserve">DERMAN ANTIFUNGAL PEQUENO </t>
  </si>
  <si>
    <t xml:space="preserve">CAPTOPRIL </t>
  </si>
  <si>
    <t xml:space="preserve">CLAMOXIN AMOXICILINA/ACIDO CLAVULICO 875 MG </t>
  </si>
  <si>
    <t xml:space="preserve">PULMOCALCIO JARABE </t>
  </si>
  <si>
    <t>ECOMED (PARACETAMOL 750 MG CAJA VERDE</t>
  </si>
  <si>
    <t xml:space="preserve">ENALAPRIL </t>
  </si>
  <si>
    <t>BRONCOLIN JARABE</t>
  </si>
  <si>
    <t xml:space="preserve">ROMPEPECHO (CUALQUIERA )JARABE </t>
  </si>
  <si>
    <t>BACZOL ANTIGRIPAL JARABE (CUALQUIERA)</t>
  </si>
  <si>
    <t>AMBROXOL EXPECTORANTE JARABE</t>
  </si>
  <si>
    <t xml:space="preserve">PALAGRIP JARABE </t>
  </si>
  <si>
    <t xml:space="preserve">SUDAGRIP JARABE </t>
  </si>
  <si>
    <t>RESFRIOLITO JARABE PARA TOS Y FLEMAS BEBES</t>
  </si>
  <si>
    <t xml:space="preserve">KOMILON SUPLEMENTO PARA EL HAMBRE </t>
  </si>
  <si>
    <t xml:space="preserve">NEO-MELUBRINA JARABE PARA BEBE 250MG </t>
  </si>
  <si>
    <t xml:space="preserve">MEBENDAZOLE  DESPARASITANTES INFANTIL </t>
  </si>
  <si>
    <t xml:space="preserve">IBUPROFENO 600 MG </t>
  </si>
  <si>
    <t>por carterita</t>
  </si>
  <si>
    <t>PULMOGRIP BALSAMICO JARABE</t>
  </si>
  <si>
    <t xml:space="preserve">VIROGRIP INFANTIL </t>
  </si>
  <si>
    <t xml:space="preserve">por carterita </t>
  </si>
  <si>
    <t>TRAMADOL + PARASETAMOL (CAJA VERDE)</t>
  </si>
  <si>
    <t>NOVALGINA PEDIATRICO JARABE</t>
  </si>
  <si>
    <t xml:space="preserve">ANADENT </t>
  </si>
  <si>
    <t xml:space="preserve">IBUPROFENO 800 MG </t>
  </si>
  <si>
    <t xml:space="preserve">LORATADINA SOLUICON ORAL </t>
  </si>
  <si>
    <t>PARA ALERGIA</t>
  </si>
  <si>
    <t xml:space="preserve">NERVIFLORA </t>
  </si>
  <si>
    <t xml:space="preserve">TRANQUILIZANTE </t>
  </si>
  <si>
    <t xml:space="preserve">VERMOX </t>
  </si>
  <si>
    <t>DESPARACITANTE</t>
  </si>
  <si>
    <t>ASPIRINA SOBRE</t>
  </si>
  <si>
    <t xml:space="preserve">DOLOR </t>
  </si>
  <si>
    <t xml:space="preserve">DOLO-CALAMBRIN </t>
  </si>
  <si>
    <t>RABANO YODADO</t>
  </si>
  <si>
    <t>SUPLEMENTO NUTRICIONAL</t>
  </si>
  <si>
    <t xml:space="preserve">IVERMECTINA </t>
  </si>
  <si>
    <t>CARTERA</t>
  </si>
  <si>
    <t>AJO KING (CUALQUIERA ) SUPLEMENTO EN PASTILLAS</t>
  </si>
  <si>
    <t>X BOTE</t>
  </si>
  <si>
    <t xml:space="preserve">BACTRIM </t>
  </si>
  <si>
    <t>BOTE</t>
  </si>
  <si>
    <t>neumelubrina</t>
  </si>
  <si>
    <t>bactrizole pediatrico</t>
  </si>
  <si>
    <t>metformina</t>
  </si>
  <si>
    <t>sanatos</t>
  </si>
  <si>
    <t>tesacof</t>
  </si>
  <si>
    <t>el fulmina tos</t>
  </si>
  <si>
    <t>azitromicina</t>
  </si>
  <si>
    <t xml:space="preserve">bactropin </t>
  </si>
  <si>
    <t>DESEMPACHO</t>
  </si>
  <si>
    <t>PERLA</t>
  </si>
  <si>
    <t>DOLFIX</t>
  </si>
  <si>
    <t>DOLONEUROBION</t>
  </si>
  <si>
    <t>LOPERAMIN CON NEOMICINA</t>
  </si>
  <si>
    <t>DORIVAL</t>
  </si>
  <si>
    <t>DICLOROJO</t>
  </si>
  <si>
    <t>ANSIOKROL</t>
  </si>
  <si>
    <t>VEXIN CREMA PARA LOS OJOS</t>
  </si>
  <si>
    <t xml:space="preserve">LANZOCAP </t>
  </si>
  <si>
    <t>CARDIOVITAL</t>
  </si>
  <si>
    <t>ALERFIN</t>
  </si>
  <si>
    <t>GLUNOVAG  METFORMINA 500MG</t>
  </si>
  <si>
    <t>GLUNOVAG METFORMINA 850MG</t>
  </si>
  <si>
    <t>COLIPAX</t>
  </si>
  <si>
    <t>KETOCONAZOL</t>
  </si>
  <si>
    <t>LORATADINA ( ALERGIA)</t>
  </si>
  <si>
    <t>DOLOFIN</t>
  </si>
  <si>
    <t>buscapina  compositum</t>
  </si>
  <si>
    <t>musflex</t>
  </si>
  <si>
    <t xml:space="preserve">vermox </t>
  </si>
  <si>
    <t>alcazeltzer</t>
  </si>
  <si>
    <t>ampicilina 500</t>
  </si>
  <si>
    <t>amipicilna 1000</t>
  </si>
  <si>
    <t xml:space="preserve">kortibrion </t>
  </si>
  <si>
    <t xml:space="preserve">crema tia mana </t>
  </si>
  <si>
    <t xml:space="preserve">crema la milagrosa </t>
  </si>
  <si>
    <t>diclocien vitamnado</t>
  </si>
  <si>
    <t xml:space="preserve">FALTANTE Y CASH </t>
  </si>
  <si>
    <t>CANTIDAD</t>
  </si>
  <si>
    <t xml:space="preserve">BRUTON DEBE  </t>
  </si>
  <si>
    <t xml:space="preserve">BARRI balance a favor </t>
  </si>
  <si>
    <t>VIAMERICAS a favor</t>
  </si>
  <si>
    <t xml:space="preserve">DINEX a favor </t>
  </si>
  <si>
    <t xml:space="preserve">INTERCAMBIO </t>
  </si>
  <si>
    <t xml:space="preserve">INTERCAMBIO balance a favor </t>
  </si>
  <si>
    <t>DINEX</t>
  </si>
  <si>
    <t>cuenta temporal</t>
  </si>
  <si>
    <t xml:space="preserve">comiison viamericas </t>
  </si>
  <si>
    <t>comision inercambio</t>
  </si>
  <si>
    <t xml:space="preserve">cash </t>
  </si>
  <si>
    <t>comision barri</t>
  </si>
  <si>
    <t xml:space="preserve">cheques sin psar jp </t>
  </si>
  <si>
    <t>cheques de daniel pendiente pago</t>
  </si>
  <si>
    <t xml:space="preserve">envio bety </t>
  </si>
  <si>
    <t xml:space="preserve">hernan  presto suly </t>
  </si>
  <si>
    <t>dinero de suly</t>
  </si>
  <si>
    <t>comisiones de cheques</t>
  </si>
  <si>
    <t xml:space="preserve">carrolton debve </t>
  </si>
  <si>
    <t>cheque de jireh fencing</t>
  </si>
  <si>
    <t>nevio cancelado</t>
  </si>
  <si>
    <t xml:space="preserve">nelly debe envio </t>
  </si>
  <si>
    <t>carrolton prestamo</t>
  </si>
  <si>
    <t>DUPLICADOS COCO</t>
  </si>
  <si>
    <t xml:space="preserve">taxas suly </t>
  </si>
  <si>
    <t xml:space="preserve">evento marzo 15 domingo </t>
  </si>
  <si>
    <t xml:space="preserve">04/18/2026 evento  abril </t>
  </si>
  <si>
    <t>evento 05/02 mayo zelle 500</t>
  </si>
  <si>
    <t>03/28 jose debe 900</t>
  </si>
  <si>
    <t xml:space="preserve">evento 13 de junio zelle a suly 200 fatima </t>
  </si>
  <si>
    <t>03/20 zelle 200</t>
  </si>
  <si>
    <t>21 de marzo erick</t>
  </si>
  <si>
    <t>evento febrero 21 jose alvarez</t>
  </si>
  <si>
    <t>evento 02/14 febrero</t>
  </si>
  <si>
    <t>evento 18  julio</t>
  </si>
  <si>
    <t>NOMBRE DE CLIENTE</t>
  </si>
  <si>
    <t>TELEFONO</t>
  </si>
  <si>
    <t>FECHA DE EVENTO</t>
  </si>
  <si>
    <t>ANTICIPO</t>
  </si>
  <si>
    <t>BALANCE</t>
  </si>
  <si>
    <t>TEMA COLOR</t>
  </si>
  <si>
    <t>PAQUETE #1</t>
  </si>
  <si>
    <t>PAQUETE #2</t>
  </si>
  <si>
    <t>PQUETE #3</t>
  </si>
  <si>
    <t>homero gonzalez</t>
  </si>
  <si>
    <t>ROJO</t>
  </si>
  <si>
    <t>lucero medellin</t>
  </si>
  <si>
    <t>rosa</t>
  </si>
  <si>
    <t xml:space="preserve">karla frausto </t>
  </si>
  <si>
    <t>azul cielo</t>
  </si>
  <si>
    <t>senayda velazquez</t>
  </si>
  <si>
    <t>nada sin mantel</t>
  </si>
  <si>
    <t>jonatan evento</t>
  </si>
  <si>
    <t xml:space="preserve">mireya </t>
  </si>
  <si>
    <t>juan  morales</t>
  </si>
  <si>
    <t xml:space="preserve">rojo </t>
  </si>
  <si>
    <t>marbella borja</t>
  </si>
  <si>
    <t>light blue</t>
  </si>
  <si>
    <t>BLANCA CAMPOS</t>
  </si>
  <si>
    <t>jazmin hernandez</t>
  </si>
  <si>
    <t>blue</t>
  </si>
  <si>
    <t xml:space="preserve">GUADALUPE TORRES </t>
  </si>
  <si>
    <t xml:space="preserve">edgar aparto </t>
  </si>
  <si>
    <t xml:space="preserve">salon </t>
  </si>
  <si>
    <t>salon de evento sra de jonatahn</t>
  </si>
  <si>
    <t xml:space="preserve">petra hernandez ramirez </t>
  </si>
  <si>
    <t>apartado</t>
  </si>
  <si>
    <t>zelle 400</t>
  </si>
  <si>
    <t>400 por zelle</t>
  </si>
  <si>
    <t xml:space="preserve">erick </t>
  </si>
  <si>
    <t xml:space="preserve">zelle 200 </t>
  </si>
  <si>
    <t>laura fierro</t>
  </si>
  <si>
    <t xml:space="preserve">jose antonio guerrero </t>
  </si>
  <si>
    <t>manteles negro 4</t>
  </si>
  <si>
    <t xml:space="preserve">jose alvarez </t>
  </si>
  <si>
    <t xml:space="preserve">fatima ortiz </t>
  </si>
  <si>
    <t>zelle 200</t>
  </si>
  <si>
    <t>alejaandra rangel</t>
  </si>
  <si>
    <t>johana landeros</t>
  </si>
  <si>
    <t>zelle 500</t>
  </si>
  <si>
    <t xml:space="preserve">edith rivera </t>
  </si>
  <si>
    <t xml:space="preserve">luis flores </t>
  </si>
  <si>
    <t>juan aleman</t>
  </si>
  <si>
    <t xml:space="preserve">barri </t>
  </si>
  <si>
    <t xml:space="preserve">via </t>
  </si>
  <si>
    <t>inter</t>
  </si>
  <si>
    <t xml:space="preserve">lake june </t>
  </si>
  <si>
    <t>dinex</t>
  </si>
  <si>
    <t xml:space="preserve">total </t>
  </si>
  <si>
    <t xml:space="preserve">mayo </t>
  </si>
  <si>
    <t>mayo</t>
  </si>
  <si>
    <t>junio</t>
  </si>
  <si>
    <t>julio</t>
  </si>
  <si>
    <t>agosto</t>
  </si>
  <si>
    <t>agost</t>
  </si>
  <si>
    <t>septiembre</t>
  </si>
  <si>
    <t>sept</t>
  </si>
  <si>
    <t>octubre</t>
  </si>
  <si>
    <t>oct</t>
  </si>
  <si>
    <t>nov</t>
  </si>
  <si>
    <t>diciembre</t>
  </si>
  <si>
    <t>dic</t>
  </si>
  <si>
    <t>eneero</t>
  </si>
  <si>
    <t>enero</t>
  </si>
  <si>
    <t xml:space="preserve">enero </t>
  </si>
  <si>
    <t>FEBRERO</t>
  </si>
  <si>
    <t>febrero</t>
  </si>
  <si>
    <t>marzo</t>
  </si>
  <si>
    <t>MARZO</t>
  </si>
  <si>
    <t xml:space="preserve">abril </t>
  </si>
  <si>
    <t>ABRIL</t>
  </si>
  <si>
    <t>diferencia</t>
  </si>
  <si>
    <t xml:space="preserve">le debo a suly </t>
  </si>
  <si>
    <t xml:space="preserve">suly me debe </t>
  </si>
  <si>
    <t>cheques pagados por zelle</t>
  </si>
  <si>
    <t>dinex com</t>
  </si>
  <si>
    <t>envio de suly jueves</t>
  </si>
  <si>
    <t xml:space="preserve">barri com </t>
  </si>
  <si>
    <t>taxas de jim miller</t>
  </si>
  <si>
    <t xml:space="preserve">via com </t>
  </si>
  <si>
    <t>esteban 2 semanas</t>
  </si>
  <si>
    <t>inter com</t>
  </si>
  <si>
    <t>suly debe de un crte q le sobro</t>
  </si>
  <si>
    <t xml:space="preserve">eventos nov </t>
  </si>
  <si>
    <t>total</t>
  </si>
  <si>
    <t>CLIENTE</t>
  </si>
  <si>
    <t>BENEFICIARIO</t>
  </si>
  <si>
    <t>FECHA</t>
  </si>
  <si>
    <t>PESOS</t>
  </si>
  <si>
    <t>PAGADOR</t>
  </si>
  <si>
    <t>PAIS</t>
  </si>
  <si>
    <t>A25506-8682</t>
  </si>
  <si>
    <t>AARON ACOSTA BARRAGAN</t>
  </si>
  <si>
    <t>JAIME HERNANDEZ RAMIREZ</t>
  </si>
  <si>
    <t>400.00 USD</t>
  </si>
  <si>
    <t>7,744.00 MXN</t>
  </si>
  <si>
    <t>BANCOMER</t>
  </si>
  <si>
    <t>MEXICO - PUEBLA - PUEBLA</t>
  </si>
  <si>
    <t>A25506-3417</t>
  </si>
  <si>
    <t>ABED ALI RODRIGUEZ LERMA</t>
  </si>
  <si>
    <t>ADELA MEDINA ALVAREZ</t>
  </si>
  <si>
    <t>590.00 USD</t>
  </si>
  <si>
    <t>11,316.20 MXN</t>
  </si>
  <si>
    <t>ELEKTRA</t>
  </si>
  <si>
    <t>MEXICO - SAN LUIS POTOSI - SAN LUIS POTOSI</t>
  </si>
  <si>
    <t>A25506-2697</t>
  </si>
  <si>
    <t>OSCAR FERNANDO VALDES CASTILLO</t>
  </si>
  <si>
    <t>755.00 USD</t>
  </si>
  <si>
    <t>14,043.00 MXN</t>
  </si>
  <si>
    <t>BANCOPPEL</t>
  </si>
  <si>
    <t>A25506-8785</t>
  </si>
  <si>
    <t>ABEL OSMIL LOZANO</t>
  </si>
  <si>
    <t>JOSE ELVIN PARADA</t>
  </si>
  <si>
    <t>50.00 USD</t>
  </si>
  <si>
    <t>BANCO CUSCATLAN</t>
  </si>
  <si>
    <t>EL SALVADOR - SAN MIGUEL - SAN MIGUEL</t>
  </si>
  <si>
    <t>A25506-6894</t>
  </si>
  <si>
    <t>ABISAI MENDOZA PADILLA</t>
  </si>
  <si>
    <t>BENITO VELAZQUEZ JIMENEZ</t>
  </si>
  <si>
    <t>996.00 USD</t>
  </si>
  <si>
    <t>20,019.60 MXN</t>
  </si>
  <si>
    <t>MEXICO - GUERRERO - ARCELIA</t>
  </si>
  <si>
    <t>A25506-1936</t>
  </si>
  <si>
    <t>ADA RUTH HERRERA GOMEZ</t>
  </si>
  <si>
    <t>JARAM HERRERA GOMEZ</t>
  </si>
  <si>
    <t>1,000.00 USD</t>
  </si>
  <si>
    <t>24,700.00 HNL</t>
  </si>
  <si>
    <t>FICOHSA</t>
  </si>
  <si>
    <t>HONDURAS - CHOLUTECA - CHOLUTECA</t>
  </si>
  <si>
    <t>A25506-1919</t>
  </si>
  <si>
    <t>405.00 USD</t>
  </si>
  <si>
    <t>10,015.65 HNL</t>
  </si>
  <si>
    <t>A25506-3175</t>
  </si>
  <si>
    <t>ADAHIR DE JESUS OROSCO RAMIREZ</t>
  </si>
  <si>
    <t>MARIA DEL ROSARIO TELLO GONZALEZ</t>
  </si>
  <si>
    <t>500.00 USD</t>
  </si>
  <si>
    <t>9,855.00 MXN</t>
  </si>
  <si>
    <t>TELECOMM TELEGRAFOS</t>
  </si>
  <si>
    <t>MEXICO - HIDALGO - PISAFLORES</t>
  </si>
  <si>
    <t>A25506-2648</t>
  </si>
  <si>
    <t>AURORA SANCHEZ ANDRADE</t>
  </si>
  <si>
    <t>950.00 USD</t>
  </si>
  <si>
    <t>17,955.00 MXN</t>
  </si>
  <si>
    <t>MEXICO - HIDALGO - HUEJUTLA</t>
  </si>
  <si>
    <t>A25506-2521</t>
  </si>
  <si>
    <t>ARTURO GARAY MUNOZ</t>
  </si>
  <si>
    <t>1,050.00 USD</t>
  </si>
  <si>
    <t>19,110.00 MXN</t>
  </si>
  <si>
    <t>MEXICO - HIDALGO - PACHUCA (HIDALGO)</t>
  </si>
  <si>
    <t>A25506-2486</t>
  </si>
  <si>
    <t>ADAHIR DE JESUS OROZCO RAMIREZ</t>
  </si>
  <si>
    <t>9,125.00 MXN</t>
  </si>
  <si>
    <t>A25506-8310</t>
  </si>
  <si>
    <t>ADAN JOSUE VENEGAS CLETO</t>
  </si>
  <si>
    <t>MA MARGARITA BENEGAS CLETO</t>
  </si>
  <si>
    <t>525.00 USD</t>
  </si>
  <si>
    <t>10,552.50 MXN</t>
  </si>
  <si>
    <t>MEXICO - JALISCO - OJUELOS</t>
  </si>
  <si>
    <t>A25506-1417</t>
  </si>
  <si>
    <t>ADAN ORTIZ MARTINEZ</t>
  </si>
  <si>
    <t>JUVENAL JIMENEZ DE LA CRUZ</t>
  </si>
  <si>
    <t>600.00 USD</t>
  </si>
  <si>
    <t>9,906.00 MXN</t>
  </si>
  <si>
    <t>AIRPAK EXPRESS</t>
  </si>
  <si>
    <t>MEXICO - SAN LUIS POTOSI - VILLA DE ARRIAGA</t>
  </si>
  <si>
    <t>A25506-6712</t>
  </si>
  <si>
    <t>ADELAIDA MENDOZA</t>
  </si>
  <si>
    <t>ROGELIO SALAZAR LEON</t>
  </si>
  <si>
    <t>1,155.00 USD</t>
  </si>
  <si>
    <t>23,100.00 MXN</t>
  </si>
  <si>
    <t>MEXICO - GUERRERO - CD ALTAMIRANO</t>
  </si>
  <si>
    <t>A25506-8735</t>
  </si>
  <si>
    <t>ADOLFO CISNEROS</t>
  </si>
  <si>
    <t>JUANA MARIA TAPIA GONZALEZ</t>
  </si>
  <si>
    <t>110.00 USD</t>
  </si>
  <si>
    <t>2,145.00 MXN</t>
  </si>
  <si>
    <t>MEXICO - SAN LUIS POTOSI - SALINAS DE HIDALGO</t>
  </si>
  <si>
    <t>A25506-2228</t>
  </si>
  <si>
    <t>ADOLFO LARA PEREZ</t>
  </si>
  <si>
    <t>ANA JAZMIN GOMEZ LARA</t>
  </si>
  <si>
    <t>7,024.00 MXN</t>
  </si>
  <si>
    <t>BANAMEX</t>
  </si>
  <si>
    <t>A25506-2034</t>
  </si>
  <si>
    <t>350.00 USD</t>
  </si>
  <si>
    <t>6,310.50 MXN</t>
  </si>
  <si>
    <t>A25506-3326</t>
  </si>
  <si>
    <t>ADOLFO QUINTANILLA</t>
  </si>
  <si>
    <t>EDWIN REYNALDO CRUZ PONCE</t>
  </si>
  <si>
    <t>61.00 USD</t>
  </si>
  <si>
    <t>1,506.70 HNL</t>
  </si>
  <si>
    <t>ELEKTRA-BANCO AZTECA</t>
  </si>
  <si>
    <t>HONDURAS - YORO - MORAZAN</t>
  </si>
  <si>
    <t>A25506-3170</t>
  </si>
  <si>
    <t>MARLON GUSTAVO SANTOS MEDINA</t>
  </si>
  <si>
    <t>42.00 USD</t>
  </si>
  <si>
    <t>1,039.92 HNL</t>
  </si>
  <si>
    <t>A25506-3169</t>
  </si>
  <si>
    <t>JUANA QUINTANILLA</t>
  </si>
  <si>
    <t>82.00 USD</t>
  </si>
  <si>
    <t>2,030.32 HNL</t>
  </si>
  <si>
    <t>BANRURAL</t>
  </si>
  <si>
    <t>HONDURAS - LEMPIRA - LEPAERA</t>
  </si>
  <si>
    <t>A25506-3168</t>
  </si>
  <si>
    <t>RICARDO CRUZ GARAY</t>
  </si>
  <si>
    <t>202.00 USD</t>
  </si>
  <si>
    <t>5,001.52 HNL</t>
  </si>
  <si>
    <t>A25506-3167</t>
  </si>
  <si>
    <t>BILEAN BIRZAVIT CRUZ DERAS</t>
  </si>
  <si>
    <t>243.00 USD</t>
  </si>
  <si>
    <t>6,016.68 HNL</t>
  </si>
  <si>
    <t>HONDURAS - LEMPIRA - SAN RAFAEL</t>
  </si>
  <si>
    <t>A25506-2386</t>
  </si>
  <si>
    <t>162.00 USD</t>
  </si>
  <si>
    <t>4,007.88 HNL</t>
  </si>
  <si>
    <t>A25506-1497</t>
  </si>
  <si>
    <t>WILFREDO COREA SARMIENTO</t>
  </si>
  <si>
    <t>5,740.00 MXN</t>
  </si>
  <si>
    <t>MEXICO - NUEVO LEON - SALINAS VICTORIA</t>
  </si>
  <si>
    <t>A25506-6635</t>
  </si>
  <si>
    <t>235.00 USD</t>
  </si>
  <si>
    <t>6,004.25 HNL</t>
  </si>
  <si>
    <t>BANCO ATLANTIDA</t>
  </si>
  <si>
    <t>A25506-7841</t>
  </si>
  <si>
    <t>CONCEPCION VASQUEZ PAZ</t>
  </si>
  <si>
    <t>250.00 USD</t>
  </si>
  <si>
    <t>6,405.00 HNL</t>
  </si>
  <si>
    <t>A25506-7517</t>
  </si>
  <si>
    <t>6,402.50 HNL</t>
  </si>
  <si>
    <t>A25506-7878</t>
  </si>
  <si>
    <t>MARIA ORBELINA LOPEZ QUINTANILLA</t>
  </si>
  <si>
    <t>94.00 USD</t>
  </si>
  <si>
    <t>2,410.16 HNL</t>
  </si>
  <si>
    <t>BANPAIS</t>
  </si>
  <si>
    <t>HONDURAS - YORO - YORO</t>
  </si>
  <si>
    <t>A25506-7877</t>
  </si>
  <si>
    <t>0.00 USD</t>
  </si>
  <si>
    <t>0.00 HNL</t>
  </si>
  <si>
    <t>A25506-2585</t>
  </si>
  <si>
    <t>ADOLFO SAUCEDO RODRIGUEZ</t>
  </si>
  <si>
    <t>MA GUADALUPE RODRIGUEZ OCHOA</t>
  </si>
  <si>
    <t>40.00 USD</t>
  </si>
  <si>
    <t>758.80 MXN</t>
  </si>
  <si>
    <t>FARMACIAS GUADALAJARA</t>
  </si>
  <si>
    <t>MEXICO - COAHUILA - TORREON</t>
  </si>
  <si>
    <t>A25506-3111</t>
  </si>
  <si>
    <t>ADRIAN MARTINEZ GRACIANO</t>
  </si>
  <si>
    <t>MA ENGRACIA MARTINEZ GARCIA</t>
  </si>
  <si>
    <t>185.00 USD</t>
  </si>
  <si>
    <t>3,626.00 MXN</t>
  </si>
  <si>
    <t>A25506-3097</t>
  </si>
  <si>
    <t>A25506-2039</t>
  </si>
  <si>
    <t>168.00 USD</t>
  </si>
  <si>
    <t>3,007.20 MXN</t>
  </si>
  <si>
    <t>A25506-1755</t>
  </si>
  <si>
    <t>195.12 USD</t>
  </si>
  <si>
    <t>3,599.96 MXN</t>
  </si>
  <si>
    <t>A25506-1618</t>
  </si>
  <si>
    <t>FLOR ELIZABETH MARTINEZ VELEZ</t>
  </si>
  <si>
    <t>901.00 USD</t>
  </si>
  <si>
    <t>15,803.54 MXN</t>
  </si>
  <si>
    <t>INTERMEX</t>
  </si>
  <si>
    <t>MEXICO - SAN LUIS POTOSI - MOCTEZUMA</t>
  </si>
  <si>
    <t>A25506-1617</t>
  </si>
  <si>
    <t>206.00 USD</t>
  </si>
  <si>
    <t>3,613.24 MXN</t>
  </si>
  <si>
    <t>A25506-1576</t>
  </si>
  <si>
    <t>107.00 USD</t>
  </si>
  <si>
    <t>1,812.58 MXN</t>
  </si>
  <si>
    <t>A25506-1488</t>
  </si>
  <si>
    <t>660.00 USD</t>
  </si>
  <si>
    <t>11,015.40 MXN</t>
  </si>
  <si>
    <t>A25506-1487</t>
  </si>
  <si>
    <t>216.00 USD</t>
  </si>
  <si>
    <t>3,600.72 MXN</t>
  </si>
  <si>
    <t>A25506-6885</t>
  </si>
  <si>
    <t>100.00 USD</t>
  </si>
  <si>
    <t>2,010.00 MXN</t>
  </si>
  <si>
    <t>A25506-6884</t>
  </si>
  <si>
    <t>MA IRENE MARTINEZ VELEZ</t>
  </si>
  <si>
    <t>800.00 USD</t>
  </si>
  <si>
    <t>16,016.00 MXN</t>
  </si>
  <si>
    <t>A25506-6669</t>
  </si>
  <si>
    <t>ELVIA IMELDA MARTINEZ GRACIANO</t>
  </si>
  <si>
    <t>120.00 USD</t>
  </si>
  <si>
    <t>2,412.00 MXN</t>
  </si>
  <si>
    <t>A25506-6668</t>
  </si>
  <si>
    <t>180.00 USD</t>
  </si>
  <si>
    <t>3,618.00 MXN</t>
  </si>
  <si>
    <t>A25506-7444</t>
  </si>
  <si>
    <t>ADRIAN NAVA AMARO</t>
  </si>
  <si>
    <t>ERIKA ELODIA VARGAS SANCHEZ</t>
  </si>
  <si>
    <t>329.00 USD</t>
  </si>
  <si>
    <t>6,514.20 MXN</t>
  </si>
  <si>
    <t>MEXICO - GUANAJUATO - LEON</t>
  </si>
  <si>
    <t>A25506-8669</t>
  </si>
  <si>
    <t>9,700.00 MXN</t>
  </si>
  <si>
    <t>A25506-8285</t>
  </si>
  <si>
    <t>5,012.50 MXN</t>
  </si>
  <si>
    <t>A25506-8214</t>
  </si>
  <si>
    <t>8,040.00 MXN</t>
  </si>
  <si>
    <t>A25506-6913</t>
  </si>
  <si>
    <t>ADRIANA ESPINOZA</t>
  </si>
  <si>
    <t>DIANA LORENA GARCIA ROCHA</t>
  </si>
  <si>
    <t>1,100.00 USD</t>
  </si>
  <si>
    <t>22,220.00 MXN</t>
  </si>
  <si>
    <t>MEXICO - GUANAJUATO - SAN FELIPE</t>
  </si>
  <si>
    <t>A25506-2258</t>
  </si>
  <si>
    <t>ADRIANA LOPEZ MANZANO</t>
  </si>
  <si>
    <t>MARIA DE LA LUZ JUAREZ MORALES</t>
  </si>
  <si>
    <t>490.00 USD</t>
  </si>
  <si>
    <t>8,599.50 MXN</t>
  </si>
  <si>
    <t>MEXICO - GUANAJUATO - DOLORES HIDALGO</t>
  </si>
  <si>
    <t>A25506-6869</t>
  </si>
  <si>
    <t>ROSALINDA LOPEZ RICO</t>
  </si>
  <si>
    <t>300.00 USD</t>
  </si>
  <si>
    <t>6,045.00 MXN</t>
  </si>
  <si>
    <t>BODEGA AURRERA - AURRERA EXPRESS</t>
  </si>
  <si>
    <t>A25506-2099</t>
  </si>
  <si>
    <t>ADRIANA MONTERO</t>
  </si>
  <si>
    <t>WENDI ABIGAIL MONTERO RODRIGUEZ</t>
  </si>
  <si>
    <t>18,000.00 MXN</t>
  </si>
  <si>
    <t>MEXICO - GUANAJUATO - APASEO EL ALTO</t>
  </si>
  <si>
    <t>A25506-6859</t>
  </si>
  <si>
    <t>AGUSTIN CHAVEZ VALLE</t>
  </si>
  <si>
    <t>YENIFER MARIA ALVARADO ENRIQUEZ</t>
  </si>
  <si>
    <t>52.00 USD</t>
  </si>
  <si>
    <t>400.40 GTQ</t>
  </si>
  <si>
    <t>GUATEMALA - SUCHITEPEQUEZ - CUYOTENANGO</t>
  </si>
  <si>
    <t>A25506-6858</t>
  </si>
  <si>
    <t>0.00 GTQ</t>
  </si>
  <si>
    <t>A25506-7463</t>
  </si>
  <si>
    <t>AGLYS ARELIS TAMATZIN MEJIA</t>
  </si>
  <si>
    <t>92.00 USD</t>
  </si>
  <si>
    <t>708.40 GTQ</t>
  </si>
  <si>
    <t>GUATEMALA - SUCHITEPEQUEZ - MAZATENANGO</t>
  </si>
  <si>
    <t>A25506-7869</t>
  </si>
  <si>
    <t>MAGDALENA VALLE CAP</t>
  </si>
  <si>
    <t>142.00 USD</t>
  </si>
  <si>
    <t>1,093.40 GTQ</t>
  </si>
  <si>
    <t>A25506-3161</t>
  </si>
  <si>
    <t>AGUSTIN SANDOVAL PINEDA</t>
  </si>
  <si>
    <t>MARIA ALEJANDRA ALTERIO</t>
  </si>
  <si>
    <t>90.00 USD</t>
  </si>
  <si>
    <t>1,773.00 MXN</t>
  </si>
  <si>
    <t>MEXICO - MEXICO (ESTADO) - ECATEPEC</t>
  </si>
  <si>
    <t>A25506-3148</t>
  </si>
  <si>
    <t>ESMERALDA GARCIA SANDOVAL</t>
  </si>
  <si>
    <t>200.00 USD</t>
  </si>
  <si>
    <t>3,940.00 MXN</t>
  </si>
  <si>
    <t>MEXICO - MEXICO (ESTADO) - CD ADOLFO LOPEZ MATEOS</t>
  </si>
  <si>
    <t>A25506-3395</t>
  </si>
  <si>
    <t>ALBA LUZ HERNANDEZ MARTINEZ</t>
  </si>
  <si>
    <t>MARIA ELIZABETH GALVAN</t>
  </si>
  <si>
    <t>60.00 USD</t>
  </si>
  <si>
    <t>1,487.40 HNL</t>
  </si>
  <si>
    <t>A25506-3394</t>
  </si>
  <si>
    <t>HILDA YOLANDA MARTINEZ LOPEZ</t>
  </si>
  <si>
    <t>2,479.00 HNL</t>
  </si>
  <si>
    <t>A25506-3393</t>
  </si>
  <si>
    <t>GLADIS ONDINA FLORES PERDOMO</t>
  </si>
  <si>
    <t>85.00 USD</t>
  </si>
  <si>
    <t>2,107.15 HNL</t>
  </si>
  <si>
    <t>A25506-2948</t>
  </si>
  <si>
    <t>1,238.00 HNL</t>
  </si>
  <si>
    <t>A25506-1675</t>
  </si>
  <si>
    <t>2,469.00 HNL</t>
  </si>
  <si>
    <t>A25506-1667</t>
  </si>
  <si>
    <t>8,641.50 HNL</t>
  </si>
  <si>
    <t>A25506-7720</t>
  </si>
  <si>
    <t>2,562.00 HNL</t>
  </si>
  <si>
    <t>A25506-1552</t>
  </si>
  <si>
    <t>ALBERTO DE LA CRUZ VILLA</t>
  </si>
  <si>
    <t>EVELYN GALINDO VARELA</t>
  </si>
  <si>
    <t>1,511.00 USD</t>
  </si>
  <si>
    <t>25,007.05 MXN</t>
  </si>
  <si>
    <t>MEXICO - DURANGO - CANATLAN</t>
  </si>
  <si>
    <t>A25506-1536</t>
  </si>
  <si>
    <t>JUAN MANUEL ANDRADE MENDEZ</t>
  </si>
  <si>
    <t>1,005.28 MXN</t>
  </si>
  <si>
    <t>OXXO</t>
  </si>
  <si>
    <t>MEXICO - SINALOA - CULIACAN</t>
  </si>
  <si>
    <t>A25506-1535</t>
  </si>
  <si>
    <t>150.00 USD</t>
  </si>
  <si>
    <t>2,500.50 MXN</t>
  </si>
  <si>
    <t>A25506-1443</t>
  </si>
  <si>
    <t>OMAR DE LA CRUZ VILLA</t>
  </si>
  <si>
    <t>440.00 USD</t>
  </si>
  <si>
    <t>7,167.60 MXN</t>
  </si>
  <si>
    <t>WALMART</t>
  </si>
  <si>
    <t>A25506-3330</t>
  </si>
  <si>
    <t>ALBERTO HERNANDEZ RODRIGUEZ</t>
  </si>
  <si>
    <t>MARISOL GUADALUPE RODRIGUEZ RAMOS</t>
  </si>
  <si>
    <t>7,640.00 MXN</t>
  </si>
  <si>
    <t>MEXICO - DURANGO - SAN JUAN DE GUADALUPE</t>
  </si>
  <si>
    <t>A25506-3184</t>
  </si>
  <si>
    <t>7,936.00 MXN</t>
  </si>
  <si>
    <t>A25506-2970</t>
  </si>
  <si>
    <t>7,560.00 MXN</t>
  </si>
  <si>
    <t>A25506-2787</t>
  </si>
  <si>
    <t>5,568.00 MXN</t>
  </si>
  <si>
    <t>A25506-2692</t>
  </si>
  <si>
    <t>7,440.00 MXN</t>
  </si>
  <si>
    <t>A25506-2588</t>
  </si>
  <si>
    <t>ISRAEL GARCIA HERNANDEZ</t>
  </si>
  <si>
    <t>2,845.50 MXN</t>
  </si>
  <si>
    <t>TARJETAS BBVA</t>
  </si>
  <si>
    <t>A25506-2314</t>
  </si>
  <si>
    <t>310.00 USD</t>
  </si>
  <si>
    <t>5,536.60 MXN</t>
  </si>
  <si>
    <t>A25506-1854</t>
  </si>
  <si>
    <t>5,651.30 MXN</t>
  </si>
  <si>
    <t>MEXICO - DURANGO - GOMEZ PALACIO</t>
  </si>
  <si>
    <t>A25506-1640</t>
  </si>
  <si>
    <t>7,020.00 MXN</t>
  </si>
  <si>
    <t>A25506-1514</t>
  </si>
  <si>
    <t>YADIRA HERNANDEZ NAVARRO</t>
  </si>
  <si>
    <t>210.00 USD</t>
  </si>
  <si>
    <t>3,507.00 MXN</t>
  </si>
  <si>
    <t>A25506-1453</t>
  </si>
  <si>
    <t>3,496.50 MXN</t>
  </si>
  <si>
    <t>A25506-6889</t>
  </si>
  <si>
    <t>10,050.00 MXN</t>
  </si>
  <si>
    <t>MEXICO - DURANGO - DURANGO</t>
  </si>
  <si>
    <t>A25506-6790</t>
  </si>
  <si>
    <t>2,000.00 USD</t>
  </si>
  <si>
    <t>40,200.00 MXN</t>
  </si>
  <si>
    <t>A25506-7419</t>
  </si>
  <si>
    <t>19,830.00 MXN</t>
  </si>
  <si>
    <t>A25506-8671</t>
  </si>
  <si>
    <t>19,560.00 MXN</t>
  </si>
  <si>
    <t>A25506-8209</t>
  </si>
  <si>
    <t>6,000.00 MXN</t>
  </si>
  <si>
    <t>A25506-7846</t>
  </si>
  <si>
    <t>10,205.00 MXN</t>
  </si>
  <si>
    <t>A25506-1945</t>
  </si>
  <si>
    <t>ALBERTO RAMOS CHALACA</t>
  </si>
  <si>
    <t>JUAN CARLOS RAMOS CHALACA</t>
  </si>
  <si>
    <t>552.00 USD</t>
  </si>
  <si>
    <t>10,002.24 MXN</t>
  </si>
  <si>
    <t>MEXICO - CHIHUAHUA - CD DELICIAS</t>
  </si>
  <si>
    <t>A25506-3171</t>
  </si>
  <si>
    <t>ALBERTO SANDOVAL MARTINEZ</t>
  </si>
  <si>
    <t>ANDREA TORRES LOPEZ</t>
  </si>
  <si>
    <t>790.00 USD</t>
  </si>
  <si>
    <t>15,570.90 MXN</t>
  </si>
  <si>
    <t>A25506-2780</t>
  </si>
  <si>
    <t>10,974.00 MXN</t>
  </si>
  <si>
    <t>A25506-6870</t>
  </si>
  <si>
    <t>ALEJANDRA AGUSTIN ESCALERA</t>
  </si>
  <si>
    <t>MARIA JUANITA ESCALERA MENDOZA</t>
  </si>
  <si>
    <t>20,050.00 MXN</t>
  </si>
  <si>
    <t>MEXICO - MICHOACAN - URUAPAN</t>
  </si>
  <si>
    <t>A25506-7828</t>
  </si>
  <si>
    <t>40,300.00 MXN</t>
  </si>
  <si>
    <t>A25506-1733</t>
  </si>
  <si>
    <t>ALEJANDRA GUTIERREZ</t>
  </si>
  <si>
    <t>MOISES REYES LOPEZ</t>
  </si>
  <si>
    <t>435.00 USD</t>
  </si>
  <si>
    <t>7,882.20 MXN</t>
  </si>
  <si>
    <t>MEXICO - MICHOACAN - MORELIA</t>
  </si>
  <si>
    <t>A25506-3149</t>
  </si>
  <si>
    <t>ALEJANDRA MACIAS CONTRERAS</t>
  </si>
  <si>
    <t>GUADALUPE MACIAS CONTRERAS</t>
  </si>
  <si>
    <t>3,968.00 MXN</t>
  </si>
  <si>
    <t>MEXICO - COAHUILA - MONCLOVA</t>
  </si>
  <si>
    <t>A25506-3361</t>
  </si>
  <si>
    <t>ALEJANDRO AGUILAR GONZALEZ</t>
  </si>
  <si>
    <t>FILOMENA JIMENEZ LOPEZ</t>
  </si>
  <si>
    <t>105.00 USD</t>
  </si>
  <si>
    <t>2,016.00 MXN</t>
  </si>
  <si>
    <t>MEXICO - GUANAJUATO - SAN LUIS DE LA PAZ</t>
  </si>
  <si>
    <t>A25506-2992</t>
  </si>
  <si>
    <t>4,000.50 MXN</t>
  </si>
  <si>
    <t>A25506-2904</t>
  </si>
  <si>
    <t>210.08 USD</t>
  </si>
  <si>
    <t>3,999.92 MXN</t>
  </si>
  <si>
    <t>BANORTE</t>
  </si>
  <si>
    <t>A25506-2455</t>
  </si>
  <si>
    <t>JUAN JAVIER MENDOZA ESPINO</t>
  </si>
  <si>
    <t>19,855.00 MXN</t>
  </si>
  <si>
    <t>A25506-2256</t>
  </si>
  <si>
    <t>ROSALIA GONZALEZ RIVERA</t>
  </si>
  <si>
    <t>1,380.00 USD</t>
  </si>
  <si>
    <t>24,025.80 MXN</t>
  </si>
  <si>
    <t>MEXICO - GUANAJUATO - GUANAJUATO</t>
  </si>
  <si>
    <t>A25506-2157</t>
  </si>
  <si>
    <t>1,522.35 MXN</t>
  </si>
  <si>
    <t>A25506-2070</t>
  </si>
  <si>
    <t>LEONEL ELEAZAR AGUILAR GONZALEZ</t>
  </si>
  <si>
    <t>140.00 USD</t>
  </si>
  <si>
    <t>2,520.00 MXN</t>
  </si>
  <si>
    <t>A25506-2069</t>
  </si>
  <si>
    <t>280.00 USD</t>
  </si>
  <si>
    <t>5,040.00 MXN</t>
  </si>
  <si>
    <t>A25506-1415</t>
  </si>
  <si>
    <t>2,500.00 USD</t>
  </si>
  <si>
    <t>41,250.00 MXN</t>
  </si>
  <si>
    <t>A25506-6740</t>
  </si>
  <si>
    <t>A25506-6739</t>
  </si>
  <si>
    <t>A25506-2741</t>
  </si>
  <si>
    <t>ALEJANDRO CABRERA ALVAREZ</t>
  </si>
  <si>
    <t>MARCELA GRIMALDO TORRES</t>
  </si>
  <si>
    <t>700.00 USD</t>
  </si>
  <si>
    <t>13,020.00 MXN</t>
  </si>
  <si>
    <t>A25506-2555</t>
  </si>
  <si>
    <t>46,625.00 MXN</t>
  </si>
  <si>
    <t>A25506-2997</t>
  </si>
  <si>
    <t>ALEJANDRO CASTRO</t>
  </si>
  <si>
    <t>ARTEMIO ELISEO LOPEZ TRUJILLO</t>
  </si>
  <si>
    <t>38,100.00 MXN</t>
  </si>
  <si>
    <t>MEXICO - MEXICO (ESTADO) - TECAMAC</t>
  </si>
  <si>
    <t>A25506-1781</t>
  </si>
  <si>
    <t>36,400.00 MXN</t>
  </si>
  <si>
    <t>A25506-3279</t>
  </si>
  <si>
    <t>ALEJANDRO CELESTINO RUIZ</t>
  </si>
  <si>
    <t>MARISOL MONTENEGRO BRIONES</t>
  </si>
  <si>
    <t>9,875.00 MXN</t>
  </si>
  <si>
    <t>A25506-2973</t>
  </si>
  <si>
    <t>5,712.00 MXN</t>
  </si>
  <si>
    <t>A25506-7421</t>
  </si>
  <si>
    <t>7,840.00 MXN</t>
  </si>
  <si>
    <t>A25506-8801</t>
  </si>
  <si>
    <t>11,700.00 MXN</t>
  </si>
  <si>
    <t>A25506-8292</t>
  </si>
  <si>
    <t>12,060.00 MXN</t>
  </si>
  <si>
    <t>A25506-1611</t>
  </si>
  <si>
    <t>ALEJANDRO GARCIA GARCIA</t>
  </si>
  <si>
    <t>JUAN DANIEL SANCHEZ MORALES</t>
  </si>
  <si>
    <t>6,780.00 MXN</t>
  </si>
  <si>
    <t>MEXICO - TAMAULIPAS - TAMPICO (TAMAULIPAS)</t>
  </si>
  <si>
    <t>A25506-3335</t>
  </si>
  <si>
    <t>ALEJANDRO MOLINA ZUNIGA</t>
  </si>
  <si>
    <t>ROBERTO EZQUIVEL ZUNIGA</t>
  </si>
  <si>
    <t>767.20 MXN</t>
  </si>
  <si>
    <t>A25506-3334</t>
  </si>
  <si>
    <t>DAINA NOHEMI APARICIO REZA</t>
  </si>
  <si>
    <t>576.00 USD</t>
  </si>
  <si>
    <t>11,001.60 MXN</t>
  </si>
  <si>
    <t>A25506-3196</t>
  </si>
  <si>
    <t>506.00 USD</t>
  </si>
  <si>
    <t>10,018.80 MXN</t>
  </si>
  <si>
    <t>A25506-3022</t>
  </si>
  <si>
    <t>230.00 USD</t>
  </si>
  <si>
    <t>4,514.90 MXN</t>
  </si>
  <si>
    <t>A25506-2777</t>
  </si>
  <si>
    <t>9,114.00 MXN</t>
  </si>
  <si>
    <t>A25506-2661</t>
  </si>
  <si>
    <t>515.00 USD</t>
  </si>
  <si>
    <t>10,016.75 MXN</t>
  </si>
  <si>
    <t>A25506-2586</t>
  </si>
  <si>
    <t>190.00 USD</t>
  </si>
  <si>
    <t>3,604.30 MXN</t>
  </si>
  <si>
    <t>A25506-2533</t>
  </si>
  <si>
    <t>5,520.00 MXN</t>
  </si>
  <si>
    <t>A25506-2437</t>
  </si>
  <si>
    <t>5,068.00 MXN</t>
  </si>
  <si>
    <t>A25506-2405</t>
  </si>
  <si>
    <t>1,621.80 MXN</t>
  </si>
  <si>
    <t>A25506-2308</t>
  </si>
  <si>
    <t>240.00 USD</t>
  </si>
  <si>
    <t>4,248.00 MXN</t>
  </si>
  <si>
    <t>A25506-2124</t>
  </si>
  <si>
    <t>12,502.00 MXN</t>
  </si>
  <si>
    <t>A25506-2086</t>
  </si>
  <si>
    <t>1,800.00 MXN</t>
  </si>
  <si>
    <t>A25506-1970</t>
  </si>
  <si>
    <t>290.00 USD</t>
  </si>
  <si>
    <t>5,301.20 MXN</t>
  </si>
  <si>
    <t>A25506-1886</t>
  </si>
  <si>
    <t>335.00 USD</t>
  </si>
  <si>
    <t>6,033.35 MXN</t>
  </si>
  <si>
    <t>A25506-1783</t>
  </si>
  <si>
    <t>9,100.00 MXN</t>
  </si>
  <si>
    <t>A25506-1658</t>
  </si>
  <si>
    <t>900.00 USD</t>
  </si>
  <si>
    <t>16,236.00 MXN</t>
  </si>
  <si>
    <t>A25506-1587</t>
  </si>
  <si>
    <t>5,010.00 MXN</t>
  </si>
  <si>
    <t>A25506-1492</t>
  </si>
  <si>
    <t>242.00 USD</t>
  </si>
  <si>
    <t>4,005.10 MXN</t>
  </si>
  <si>
    <t>A25506-7776</t>
  </si>
  <si>
    <t>ALEJANDRO PLANCARTE MARIN</t>
  </si>
  <si>
    <t>GUSTAVO PATINO HERNANDEZ</t>
  </si>
  <si>
    <t>35.00 USD</t>
  </si>
  <si>
    <t>679.70 MXN</t>
  </si>
  <si>
    <t>MEXICO - MICHOACAN - CD HIDALGO (MICHOACAN)</t>
  </si>
  <si>
    <t>A25506-7775</t>
  </si>
  <si>
    <t>MA MERCEDEZ ROJAS MARIN</t>
  </si>
  <si>
    <t>5,022.50 MXN</t>
  </si>
  <si>
    <t>A25506-2490</t>
  </si>
  <si>
    <t>ALEJANDRO RIVAS LARA</t>
  </si>
  <si>
    <t>NEIVA CHANTAL MOLINA RODRIGUEZ</t>
  </si>
  <si>
    <t>7,284.00 MXN</t>
  </si>
  <si>
    <t>A25506-2091</t>
  </si>
  <si>
    <t>ALEJANDRO TORRES BRIONES</t>
  </si>
  <si>
    <t>MARIA DE LOS ANGELES PEREZ SEGURA</t>
  </si>
  <si>
    <t>5,355.00 MXN</t>
  </si>
  <si>
    <t>BODEGA AURRERA</t>
  </si>
  <si>
    <t>MEXICO - ZACATECAS - OJOCALIENTE</t>
  </si>
  <si>
    <t>A25506-2609</t>
  </si>
  <si>
    <t>ALEJANDRO VILLAZANA FAVELA</t>
  </si>
  <si>
    <t>LUIS ESTRADA ECHEVERRIA</t>
  </si>
  <si>
    <t>89.00 USD</t>
  </si>
  <si>
    <t>1,664.30 MXN</t>
  </si>
  <si>
    <t>BANCO SANTANDER</t>
  </si>
  <si>
    <t>A25506-2166</t>
  </si>
  <si>
    <t>ALEJNDRA VASQUEZ HERNANDEZ</t>
  </si>
  <si>
    <t>ALEJANDRA HERNANDEZ VELASQUEZ</t>
  </si>
  <si>
    <t>990.00 USD</t>
  </si>
  <si>
    <t>17,424.00 MXN</t>
  </si>
  <si>
    <t>MEXICO - JALISCO - PUERTO VALLARTA</t>
  </si>
  <si>
    <t>A25506-1614</t>
  </si>
  <si>
    <t>ALEJO GALVAN CABRALES</t>
  </si>
  <si>
    <t>1,300.00 USD</t>
  </si>
  <si>
    <t>22,802.00 MXN</t>
  </si>
  <si>
    <t>A25506-3353</t>
  </si>
  <si>
    <t>ALEX AGUILAR GOMEZ</t>
  </si>
  <si>
    <t>ELUVINA DEL CARMEN CHAVEZ</t>
  </si>
  <si>
    <t>3,718.50 HNL</t>
  </si>
  <si>
    <t>HONDURAS - EL PARAISO - DANLI</t>
  </si>
  <si>
    <t>A25506-1454</t>
  </si>
  <si>
    <t>ALEX GARZA</t>
  </si>
  <si>
    <t>FERNANDO GILBERTO CASTANEDA GAMBOA</t>
  </si>
  <si>
    <t>1,808.40 MXN</t>
  </si>
  <si>
    <t>MEXICO - TAMAULIPAS - MATAMOROS (TAMAULIPAS)</t>
  </si>
  <si>
    <t>A25506-7458</t>
  </si>
  <si>
    <t>ALEXA MENDOZA</t>
  </si>
  <si>
    <t>JAZMIN ADRIANA HERRERA OROZCO</t>
  </si>
  <si>
    <t>4,995.00 MXN</t>
  </si>
  <si>
    <t>MEXICO - CHIHUAHUA - CHIHUAHUA</t>
  </si>
  <si>
    <t>A25506-6805</t>
  </si>
  <si>
    <t>ALEXANDER DIAZ MIRELES</t>
  </si>
  <si>
    <t>SUSANA GUADALUPE DIAZ MIRELES</t>
  </si>
  <si>
    <t>6,030.00 MXN</t>
  </si>
  <si>
    <t>A25506-1565</t>
  </si>
  <si>
    <t>ALEXIS HERNANDEZ</t>
  </si>
  <si>
    <t>ALFONZO HERNANDEZ POP</t>
  </si>
  <si>
    <t>717.60 GTQ</t>
  </si>
  <si>
    <t>BANCO INDUSTRIAL</t>
  </si>
  <si>
    <t>GUATEMALA - QUETZALTENANGO - QUETZALTENANGO</t>
  </si>
  <si>
    <t>A25506-6699</t>
  </si>
  <si>
    <t>JOSE ALFREDO ROMERO FUENTES</t>
  </si>
  <si>
    <t>628.12 GTQ</t>
  </si>
  <si>
    <t>A25506-7525</t>
  </si>
  <si>
    <t>1,542.00 GTQ</t>
  </si>
  <si>
    <t>A25506-3464</t>
  </si>
  <si>
    <t>ALEXIS JONATHAN ARGUETA RIVERA</t>
  </si>
  <si>
    <t>JOSE BENITO HERNADEZ FIGUEROA</t>
  </si>
  <si>
    <t>5,106.74 HNL</t>
  </si>
  <si>
    <t>HONDURAS - SANTA BARBARA - PINALEJO</t>
  </si>
  <si>
    <t>A25506-3463</t>
  </si>
  <si>
    <t>YANIBIS IVONY MARTINEZ PINEDA</t>
  </si>
  <si>
    <t>404.00 USD</t>
  </si>
  <si>
    <t>10,015.16 HNL</t>
  </si>
  <si>
    <t>BANCO DE OCCIDENTE</t>
  </si>
  <si>
    <t>HONDURAS - CORTES - SAN PEDRO SULA</t>
  </si>
  <si>
    <t>A25506-3436</t>
  </si>
  <si>
    <t>2,280.68 HNL</t>
  </si>
  <si>
    <t>A25506-3435</t>
  </si>
  <si>
    <t>2,032.78 HNL</t>
  </si>
  <si>
    <t>A25506-3425</t>
  </si>
  <si>
    <t>4,015.98 HNL</t>
  </si>
  <si>
    <t>A25506-3375</t>
  </si>
  <si>
    <t>NIDIA PAMELA SUAZO SUAZO</t>
  </si>
  <si>
    <t>121.01 USD</t>
  </si>
  <si>
    <t>2,999.84 HNL</t>
  </si>
  <si>
    <t>HONDURAS - COMAYAGUA - COMAYAGUA</t>
  </si>
  <si>
    <t>A25506-2878</t>
  </si>
  <si>
    <t>A25506-2877</t>
  </si>
  <si>
    <t>MIRIAM YAMILET RIVERA</t>
  </si>
  <si>
    <t>HONDURAS - YORO - OLANCHO</t>
  </si>
  <si>
    <t>A25506-2872</t>
  </si>
  <si>
    <t>6,002.10 HNL</t>
  </si>
  <si>
    <t>A25506-2640</t>
  </si>
  <si>
    <t>55.00 USD</t>
  </si>
  <si>
    <t>1,360.70 HNL</t>
  </si>
  <si>
    <t>A25506-6860</t>
  </si>
  <si>
    <t>79.00 USD</t>
  </si>
  <si>
    <t>2,020.82 HNL</t>
  </si>
  <si>
    <t>A25506-6846</t>
  </si>
  <si>
    <t>133.00 USD</t>
  </si>
  <si>
    <t>3,402.14 HNL</t>
  </si>
  <si>
    <t>A25506-6703</t>
  </si>
  <si>
    <t>403.00 USD</t>
  </si>
  <si>
    <t>10,300.68 HNL</t>
  </si>
  <si>
    <t>A25506-7788</t>
  </si>
  <si>
    <t>TOMAS PORTILLO GUARDADO</t>
  </si>
  <si>
    <t>A25506-7765</t>
  </si>
  <si>
    <t>ANGELA MARIA RIVERA</t>
  </si>
  <si>
    <t>3,074.40 HNL</t>
  </si>
  <si>
    <t>A25506-7764</t>
  </si>
  <si>
    <t>118.00 USD</t>
  </si>
  <si>
    <t>3,023.16 HNL</t>
  </si>
  <si>
    <t>A25506-8771</t>
  </si>
  <si>
    <t>24,481.50 HNL</t>
  </si>
  <si>
    <t>A25506-8699</t>
  </si>
  <si>
    <t>362.00 USD</t>
  </si>
  <si>
    <t>9,321.50 HNL</t>
  </si>
  <si>
    <t>A25506-8349</t>
  </si>
  <si>
    <t>1,098.00 USD</t>
  </si>
  <si>
    <t>28,163.70 HNL</t>
  </si>
  <si>
    <t>A25506-8293</t>
  </si>
  <si>
    <t>2,109.00 USD</t>
  </si>
  <si>
    <t>54,011.49 HNL</t>
  </si>
  <si>
    <t>A25506-8261</t>
  </si>
  <si>
    <t>196.00 USD</t>
  </si>
  <si>
    <t>5,019.56 HNL</t>
  </si>
  <si>
    <t>A25506-7851</t>
  </si>
  <si>
    <t>102.00 USD</t>
  </si>
  <si>
    <t>2,611.20 HNL</t>
  </si>
  <si>
    <t>A25506-3457</t>
  </si>
  <si>
    <t>ALICIA SANCHEZ VAZQUEZ</t>
  </si>
  <si>
    <t>NOELIA MARLEN MARTINEZ SANCHEZ</t>
  </si>
  <si>
    <t>4,596.00 MXN</t>
  </si>
  <si>
    <t>A25506-2761</t>
  </si>
  <si>
    <t>220.00 USD</t>
  </si>
  <si>
    <t>4,096.40 MXN</t>
  </si>
  <si>
    <t>A25506-2591</t>
  </si>
  <si>
    <t>9,212.00 MXN</t>
  </si>
  <si>
    <t>A25506-2590</t>
  </si>
  <si>
    <t>0.00 MXN</t>
  </si>
  <si>
    <t>A25506-2547</t>
  </si>
  <si>
    <t>BRYAN MARTINEZ</t>
  </si>
  <si>
    <t>9,250.00 MXN</t>
  </si>
  <si>
    <t>A25506-2546</t>
  </si>
  <si>
    <t>A25506-2416</t>
  </si>
  <si>
    <t>67.03 USD</t>
  </si>
  <si>
    <t>1,199.84 MXN</t>
  </si>
  <si>
    <t>A25506-2290</t>
  </si>
  <si>
    <t>3,540.00 MXN</t>
  </si>
  <si>
    <t>A25506-2242</t>
  </si>
  <si>
    <t>3,872.00 MXN</t>
  </si>
  <si>
    <t>A25506-2158</t>
  </si>
  <si>
    <t>1,970.10 MXN</t>
  </si>
  <si>
    <t>A25506-6896</t>
  </si>
  <si>
    <t>2,452.80 MXN</t>
  </si>
  <si>
    <t>A25506-8782</t>
  </si>
  <si>
    <t>1,953.00 MXN</t>
  </si>
  <si>
    <t>A25506-7889</t>
  </si>
  <si>
    <t>3,784.80 MXN</t>
  </si>
  <si>
    <t>A25506-3283</t>
  </si>
  <si>
    <t>ALICIA SANTANA MUNDO</t>
  </si>
  <si>
    <t>ROBERTO SANTANA GUTIERREZ</t>
  </si>
  <si>
    <t>9,910.00 MXN</t>
  </si>
  <si>
    <t>MEXICO - NAYARIT - IXTLAN DEL RIO</t>
  </si>
  <si>
    <t>A25506-8795</t>
  </si>
  <si>
    <t>ALMA DANIELA ZAVALA FLORES</t>
  </si>
  <si>
    <t>JUDITH MARTINEZ CRUZ</t>
  </si>
  <si>
    <t>684.60 MXN</t>
  </si>
  <si>
    <t>A25506-3428</t>
  </si>
  <si>
    <t>ALMA IRIS PONCE GOMEZ</t>
  </si>
  <si>
    <t>MARIA ISABEL RODRIGUEZ RODRIGUEZ</t>
  </si>
  <si>
    <t>62.00 USD</t>
  </si>
  <si>
    <t>1,536.36 HNL</t>
  </si>
  <si>
    <t>HONDURAS - YORO - SUBIRANA</t>
  </si>
  <si>
    <t>A25506-3264</t>
  </si>
  <si>
    <t>GUILLERMINA REDONDO</t>
  </si>
  <si>
    <t>29.00 USD</t>
  </si>
  <si>
    <t>718.04 HNL</t>
  </si>
  <si>
    <t>A25506-3263</t>
  </si>
  <si>
    <t>A25506-3262</t>
  </si>
  <si>
    <t>CRISTEN NOEL REDONDO VALENZUELA</t>
  </si>
  <si>
    <t>A25506-3261</t>
  </si>
  <si>
    <t>DAMARIS WALESKA CRUZ FIGUEROA</t>
  </si>
  <si>
    <t>A25506-6844</t>
  </si>
  <si>
    <t>1,023.20 HNL</t>
  </si>
  <si>
    <t>A25506-7432</t>
  </si>
  <si>
    <t>YENNY MAYLIN PINEDA</t>
  </si>
  <si>
    <t>1,537.20 HNL</t>
  </si>
  <si>
    <t>A25506-8321</t>
  </si>
  <si>
    <t>MARIA MAGDALENA ALMENDAREZ CHIRINOS</t>
  </si>
  <si>
    <t>39.00 USD</t>
  </si>
  <si>
    <t>1,002.30 HNL</t>
  </si>
  <si>
    <t>HONDURAS - YORO - EL PROGRESO</t>
  </si>
  <si>
    <t>A25506-3332</t>
  </si>
  <si>
    <t>AMADOR FRIAS ESTRADA</t>
  </si>
  <si>
    <t>VERONICA FRIAS MORALES</t>
  </si>
  <si>
    <t>2,280.00 MXN</t>
  </si>
  <si>
    <t>A25506-3287</t>
  </si>
  <si>
    <t>356.00 USD</t>
  </si>
  <si>
    <t>7,013.20 MXN</t>
  </si>
  <si>
    <t>A25506-3132</t>
  </si>
  <si>
    <t>MARTHA ALICIA FRIAS MORALES</t>
  </si>
  <si>
    <t>870.00 USD</t>
  </si>
  <si>
    <t>17,139.00 MXN</t>
  </si>
  <si>
    <t>A25506-2700</t>
  </si>
  <si>
    <t>AMPARO ESTER LEIVA DIAZ</t>
  </si>
  <si>
    <t>ERI LEMUS</t>
  </si>
  <si>
    <t>15,400.00 GTQ</t>
  </si>
  <si>
    <t>GUATEMALA - GUATEMALA - CIUDAD DE GUATEMALA</t>
  </si>
  <si>
    <t>A25506-8245</t>
  </si>
  <si>
    <t>KARINA VALESKA LEIVA DIAZ DE RIOS</t>
  </si>
  <si>
    <t>BANCO DE LOS TRABAJADORES (BANTRAB)</t>
  </si>
  <si>
    <t>A25506-8244</t>
  </si>
  <si>
    <t>A25506-1841</t>
  </si>
  <si>
    <t>ANA CECILIA CANO CHINCHILLA</t>
  </si>
  <si>
    <t>CLARA MARISOL RAMIREZ MEDINA</t>
  </si>
  <si>
    <t>385.50 GTQ</t>
  </si>
  <si>
    <t>A25506-8774</t>
  </si>
  <si>
    <t>ANA LUCRECIA QUINONES ESTURBAN</t>
  </si>
  <si>
    <t>LUIS FERNANDO QUINONEZ ESTURBAN</t>
  </si>
  <si>
    <t>1,549.34 GTQ</t>
  </si>
  <si>
    <t>A25506-2296</t>
  </si>
  <si>
    <t>ANA NOEMY MELGAR PLEITES</t>
  </si>
  <si>
    <t>MARILUZ PLEITEZ RUIZ</t>
  </si>
  <si>
    <t>FEDECREDITO</t>
  </si>
  <si>
    <t>EL SALVADOR - USULUTAN - USULUTAN</t>
  </si>
  <si>
    <t>A25506-3305</t>
  </si>
  <si>
    <t>ANA YURITZY PENA BAHENA</t>
  </si>
  <si>
    <t>LESLY ARIANA PENA BAHENA</t>
  </si>
  <si>
    <t>80.00 USD</t>
  </si>
  <si>
    <t>1,536.00 MXN</t>
  </si>
  <si>
    <t>MEXICO - MEXICO (ESTADO) - TEJUPILCO</t>
  </si>
  <si>
    <t>A25506-3304</t>
  </si>
  <si>
    <t>A25506-2870</t>
  </si>
  <si>
    <t>GEMMA PENA BAHENA</t>
  </si>
  <si>
    <t>2,068.00 MXN</t>
  </si>
  <si>
    <t>A25506-7800</t>
  </si>
  <si>
    <t>ANDERSON QUINTANA MARROQUIN</t>
  </si>
  <si>
    <t>WILLIAMS MISAEL MARROQUIN LOPEZ</t>
  </si>
  <si>
    <t>710.24 GTQ</t>
  </si>
  <si>
    <t>G Y T CONTINENTAL</t>
  </si>
  <si>
    <t>A25506-3232</t>
  </si>
  <si>
    <t>ANDERZON BAYARDO ARTEAGA ALVAREZ</t>
  </si>
  <si>
    <t>AUXILIADORA YAMILET ALVAREZ NAVAS</t>
  </si>
  <si>
    <t>282.00 USD</t>
  </si>
  <si>
    <t>6,982.32 HNL</t>
  </si>
  <si>
    <t>A25506-3230</t>
  </si>
  <si>
    <t>NELY XIOMARA ALVARES ESPINOZA</t>
  </si>
  <si>
    <t>5,199.60 HNL</t>
  </si>
  <si>
    <t>A25506-3095</t>
  </si>
  <si>
    <t>420.00 USD</t>
  </si>
  <si>
    <t>10,399.20 HNL</t>
  </si>
  <si>
    <t>A25506-6698</t>
  </si>
  <si>
    <t>492.00 USD</t>
  </si>
  <si>
    <t>12,575.52 HNL</t>
  </si>
  <si>
    <t>A25506-7810</t>
  </si>
  <si>
    <t>ANDRES GARCIA LOPEZ</t>
  </si>
  <si>
    <t>MARGARITA LOPEZ GARCIA</t>
  </si>
  <si>
    <t>7,035.00 MXN</t>
  </si>
  <si>
    <t>A25506-2998</t>
  </si>
  <si>
    <t>ANDRES MOYA ROMERO</t>
  </si>
  <si>
    <t>19,060.00 MXN</t>
  </si>
  <si>
    <t>A25506-2931</t>
  </si>
  <si>
    <t>MA JESUS ROMERO RANGEL</t>
  </si>
  <si>
    <t>106.00 USD</t>
  </si>
  <si>
    <t>2,014.00 MXN</t>
  </si>
  <si>
    <t>A25506-2930</t>
  </si>
  <si>
    <t>ROSA ISELA RIVERA MOYA</t>
  </si>
  <si>
    <t>211.00 USD</t>
  </si>
  <si>
    <t>4,009.00 MXN</t>
  </si>
  <si>
    <t>A25506-2679</t>
  </si>
  <si>
    <t>215.00 USD</t>
  </si>
  <si>
    <t>4,020.50 MXN</t>
  </si>
  <si>
    <t>A25506-2678</t>
  </si>
  <si>
    <t>18,700.00 MXN</t>
  </si>
  <si>
    <t>A25506-2443</t>
  </si>
  <si>
    <t>246.00 USD</t>
  </si>
  <si>
    <t>4,501.80 MXN</t>
  </si>
  <si>
    <t>A25506-2442</t>
  </si>
  <si>
    <t>18,300.00 MXN</t>
  </si>
  <si>
    <t>A25506-2224</t>
  </si>
  <si>
    <t>258.00 USD</t>
  </si>
  <si>
    <t>4,515.00 MXN</t>
  </si>
  <si>
    <t>A25506-2017</t>
  </si>
  <si>
    <t>4,570.00 MXN</t>
  </si>
  <si>
    <t>A25506-1816</t>
  </si>
  <si>
    <t>10,920.00 MXN</t>
  </si>
  <si>
    <t>A25506-1815</t>
  </si>
  <si>
    <t>385.00 USD</t>
  </si>
  <si>
    <t>7,007.00 MXN</t>
  </si>
  <si>
    <t>A25506-1696</t>
  </si>
  <si>
    <t>A25506-1695</t>
  </si>
  <si>
    <t>A25506-3385</t>
  </si>
  <si>
    <t>ANDRES SOTO MESA</t>
  </si>
  <si>
    <t>MARIA LUISA SUAREZ ALANIS</t>
  </si>
  <si>
    <t>9,550.00 MXN</t>
  </si>
  <si>
    <t>MEXICO - MICHOACAN - TIQUICHEO</t>
  </si>
  <si>
    <t>A25506-3050</t>
  </si>
  <si>
    <t>MARIA VICTORIA VAZQUEZ LUVIANOS</t>
  </si>
  <si>
    <t>372.00 USD</t>
  </si>
  <si>
    <t>7,239.12 MXN</t>
  </si>
  <si>
    <t>A25506-2109</t>
  </si>
  <si>
    <t>8,950.00 MXN</t>
  </si>
  <si>
    <t>A25506-1526</t>
  </si>
  <si>
    <t>DONACIANO DE LA TORRE SANCHEZ</t>
  </si>
  <si>
    <t>8,345.00 MXN</t>
  </si>
  <si>
    <t>A25506-7819</t>
  </si>
  <si>
    <t>ANDY JOSUE VELASQUEZ GUNERA</t>
  </si>
  <si>
    <t>LESBIA DINORA REYES PEREZ</t>
  </si>
  <si>
    <t>223.00 USD</t>
  </si>
  <si>
    <t>5,713.26 HNL</t>
  </si>
  <si>
    <t>A25506-7406</t>
  </si>
  <si>
    <t>SANTOS LEONILA CASTILLO ZEPEDA</t>
  </si>
  <si>
    <t>5,124.00 HNL</t>
  </si>
  <si>
    <t>A25506-8306</t>
  </si>
  <si>
    <t>1,211.00 USD</t>
  </si>
  <si>
    <t>31,013.71 HNL</t>
  </si>
  <si>
    <t>A25506-8305</t>
  </si>
  <si>
    <t>6,018.35 HNL</t>
  </si>
  <si>
    <t>A25506-3354</t>
  </si>
  <si>
    <t>ANGEL ANTONIO SANTOS</t>
  </si>
  <si>
    <t>RUBEN ERNESTO SANTOS</t>
  </si>
  <si>
    <t>61,775.00 HNL</t>
  </si>
  <si>
    <t>HONDURAS - COPAN - CUCUYAGUA</t>
  </si>
  <si>
    <t>A25506-2696</t>
  </si>
  <si>
    <t>17,325.00 HNL</t>
  </si>
  <si>
    <t>A25506-6795</t>
  </si>
  <si>
    <t>CINTHIA MABEL IZAGUIRRE HERRERA</t>
  </si>
  <si>
    <t>25,126.20 HNL</t>
  </si>
  <si>
    <t>HONDURAS - VALLE - NACAOME</t>
  </si>
  <si>
    <t>A25506-8350</t>
  </si>
  <si>
    <t>1,950.00 USD</t>
  </si>
  <si>
    <t>50,017.50 HNL</t>
  </si>
  <si>
    <t>A25506-2988</t>
  </si>
  <si>
    <t>ANGEL BONILLA CRUZ</t>
  </si>
  <si>
    <t>BRANDON DANIEL ALONSO DEL TORO</t>
  </si>
  <si>
    <t>9,280.00 MXN</t>
  </si>
  <si>
    <t>MEXICO - TAMAULIPAS - RIO BRAVO</t>
  </si>
  <si>
    <t>A25506-2987</t>
  </si>
  <si>
    <t>GONZALO JUAREZ CRUZ</t>
  </si>
  <si>
    <t>412.17 USD</t>
  </si>
  <si>
    <t>7,649.88 MXN</t>
  </si>
  <si>
    <t>MEXICO - NUEVO LEON - MONTERREY</t>
  </si>
  <si>
    <t>A25506-1937</t>
  </si>
  <si>
    <t>130.00 USD</t>
  </si>
  <si>
    <t>2,356.90 MXN</t>
  </si>
  <si>
    <t>A25506-3205</t>
  </si>
  <si>
    <t>ANGEL CRUZ GONZALEZ</t>
  </si>
  <si>
    <t>ROLANDO MORALES RODRIGUEZ</t>
  </si>
  <si>
    <t>75.60 USD</t>
  </si>
  <si>
    <t>1,499.90 MXN</t>
  </si>
  <si>
    <t>MEXICO - VERACRUZ - ACAYUCAN</t>
  </si>
  <si>
    <t>A25506-1471</t>
  </si>
  <si>
    <t>JUANA CRUZ BADILLO</t>
  </si>
  <si>
    <t>340.00 USD</t>
  </si>
  <si>
    <t>5,644.00 MXN</t>
  </si>
  <si>
    <t>MEXICO - VERACRUZ - VERACRUZ</t>
  </si>
  <si>
    <t>A25506-2396</t>
  </si>
  <si>
    <t>ANGEL DAVID ARZOLA RODRIGUEZ</t>
  </si>
  <si>
    <t>MA DE LA AURORA RODRIGUEZ LOZANO</t>
  </si>
  <si>
    <t>3,558.00 MXN</t>
  </si>
  <si>
    <t>MEXICO - GUANAJUATO - SILAO</t>
  </si>
  <si>
    <t>A25506-1553</t>
  </si>
  <si>
    <t>3,328.00 MXN</t>
  </si>
  <si>
    <t>A25506-2542</t>
  </si>
  <si>
    <t>ANGEL GOMEZ HERNANDEZ</t>
  </si>
  <si>
    <t>NIDIA GOMEZ ZUNIGA</t>
  </si>
  <si>
    <t>550.00 USD</t>
  </si>
  <si>
    <t>10,175.00 MXN</t>
  </si>
  <si>
    <t>A25506-2393</t>
  </si>
  <si>
    <t>10,656.00 MXN</t>
  </si>
  <si>
    <t>A25506-1685</t>
  </si>
  <si>
    <t>CRISTINA CASTANEDA CANSINO</t>
  </si>
  <si>
    <t>902.00 MXN</t>
  </si>
  <si>
    <t>A25506-1684</t>
  </si>
  <si>
    <t>9,000.00 MXN</t>
  </si>
  <si>
    <t>A25506-1603</t>
  </si>
  <si>
    <t>845.00 MXN</t>
  </si>
  <si>
    <t>A25506-1602</t>
  </si>
  <si>
    <t>8,400.00 MXN</t>
  </si>
  <si>
    <t>A25506-1512</t>
  </si>
  <si>
    <t>832.50 MXN</t>
  </si>
  <si>
    <t>A25506-1511</t>
  </si>
  <si>
    <t>A25506-3164</t>
  </si>
  <si>
    <t>ANGEL RAMIREZ GONZALEZ</t>
  </si>
  <si>
    <t>BLANCA ESTELA GONZALEZ RAMIREZ</t>
  </si>
  <si>
    <t>390.00 USD</t>
  </si>
  <si>
    <t>7,683.00 MXN</t>
  </si>
  <si>
    <t>A25506-2788</t>
  </si>
  <si>
    <t>7,215.00 MXN</t>
  </si>
  <si>
    <t>A25506-2598</t>
  </si>
  <si>
    <t>7,520.00 MXN</t>
  </si>
  <si>
    <t>A25506-2297</t>
  </si>
  <si>
    <t>7,080.00 MXN</t>
  </si>
  <si>
    <t>A25506-2222</t>
  </si>
  <si>
    <t>6,825.00 MXN</t>
  </si>
  <si>
    <t>A25506-2432</t>
  </si>
  <si>
    <t>ANGEL SALVADOR GILES HERNANDEZ</t>
  </si>
  <si>
    <t>12,614.00 MXN</t>
  </si>
  <si>
    <t>MEXICO - MORELOS - CUERNAVACA</t>
  </si>
  <si>
    <t>A25506-2309</t>
  </si>
  <si>
    <t>A25506-2221</t>
  </si>
  <si>
    <t>6,844.50 MXN</t>
  </si>
  <si>
    <t>A25506-1949</t>
  </si>
  <si>
    <t>360.00 USD</t>
  </si>
  <si>
    <t>6,588.00 MXN</t>
  </si>
  <si>
    <t>A25506-1773</t>
  </si>
  <si>
    <t>9,001.30 MXN</t>
  </si>
  <si>
    <t>A25506-1481</t>
  </si>
  <si>
    <t>363.00 USD</t>
  </si>
  <si>
    <t>5,996.76 MXN</t>
  </si>
  <si>
    <t>A25506-8676</t>
  </si>
  <si>
    <t>MARISOL VANEGAS VIZUETH</t>
  </si>
  <si>
    <t>359.00 USD</t>
  </si>
  <si>
    <t>7,000.50 MXN</t>
  </si>
  <si>
    <t>A25506-1887</t>
  </si>
  <si>
    <t>ANGELICA MARIA MORUA TORRES</t>
  </si>
  <si>
    <t>ELFEGO TORRES BORREGO</t>
  </si>
  <si>
    <t>18,010.00 MXN</t>
  </si>
  <si>
    <t>MEXICO - DURANGO - SAN LUIS DEL CORDERO</t>
  </si>
  <si>
    <t>A25506-3182</t>
  </si>
  <si>
    <t>ANGELICA VEGA CENICEROS</t>
  </si>
  <si>
    <t>LEONOR CENICEROS AGUERO</t>
  </si>
  <si>
    <t>4,925.00 MXN</t>
  </si>
  <si>
    <t>MEXICO - ZACATECAS - NIEVES F.R. MURGUIA</t>
  </si>
  <si>
    <t>A25506-2085</t>
  </si>
  <si>
    <t>ANGELINA ALVAREZ ALVARADO</t>
  </si>
  <si>
    <t>MARIA DEL ROSARIO CANSECO ALVAREZ</t>
  </si>
  <si>
    <t>MEXICO - SAN LUIS POTOSI - XILITLA</t>
  </si>
  <si>
    <t>A25506-3292</t>
  </si>
  <si>
    <t>ANTONIA MATURINO MALDONADO</t>
  </si>
  <si>
    <t>MARIA LUISA CASTANEDA CANALES</t>
  </si>
  <si>
    <t>9,790.00 MXN</t>
  </si>
  <si>
    <t>MEXICO - DURANGO - RODEO</t>
  </si>
  <si>
    <t>A25506-3284</t>
  </si>
  <si>
    <t>19,820.00 MXN</t>
  </si>
  <si>
    <t>A25506-2938</t>
  </si>
  <si>
    <t>19,000.00 MXN</t>
  </si>
  <si>
    <t>A25506-6775</t>
  </si>
  <si>
    <t>MA LUISA CASTANEDA CANALES</t>
  </si>
  <si>
    <t>5,025.00 MXN</t>
  </si>
  <si>
    <t>A25506-6748</t>
  </si>
  <si>
    <t>ANTONIO ADOLFO MARROQUIN SANDOVAL</t>
  </si>
  <si>
    <t>GLORIA CRISTINA GONZALEZ ROJAS</t>
  </si>
  <si>
    <t>1,951.00 USD</t>
  </si>
  <si>
    <t>15,022.70 GTQ</t>
  </si>
  <si>
    <t>A25506-8694</t>
  </si>
  <si>
    <t>ANTONIO FLORES GARCIA</t>
  </si>
  <si>
    <t>JOSE CARLOS FLORES PAZ</t>
  </si>
  <si>
    <t>5,820.00 MXN</t>
  </si>
  <si>
    <t>MEXICO - MICHOACAN - PATZCUARO</t>
  </si>
  <si>
    <t>A25506-2914</t>
  </si>
  <si>
    <t>ANTONIO GARAY ACOSTA</t>
  </si>
  <si>
    <t>CRIS MARIAN DIAZ SANCHEZ</t>
  </si>
  <si>
    <t>13,321.00 MXN</t>
  </si>
  <si>
    <t>A25506-2649</t>
  </si>
  <si>
    <t>MAURICIO SANCHEZ ANDRADE</t>
  </si>
  <si>
    <t>17,010.00 MXN</t>
  </si>
  <si>
    <t>MEXICO - SAN LUIS POTOSI - TAMAZUNCHALE</t>
  </si>
  <si>
    <t>A25506-2520</t>
  </si>
  <si>
    <t>A25506-2414</t>
  </si>
  <si>
    <t>980.00 USD</t>
  </si>
  <si>
    <t>17,542.00 MXN</t>
  </si>
  <si>
    <t>A25506-8752</t>
  </si>
  <si>
    <t>19,400.00 MXN</t>
  </si>
  <si>
    <t>A25506-6823</t>
  </si>
  <si>
    <t>ANTONIO HERNANDEZ</t>
  </si>
  <si>
    <t>YESSICA GARCIA PENA</t>
  </si>
  <si>
    <t>A25506-8220</t>
  </si>
  <si>
    <t>ARACELI CAMPA DIAZ</t>
  </si>
  <si>
    <t>HUMBERTO CAMPA DIAZ</t>
  </si>
  <si>
    <t>1,850.00 USD</t>
  </si>
  <si>
    <t>37,185.00 MXN</t>
  </si>
  <si>
    <t>MEXICO - TAMAULIPAS - CD VICTORIA</t>
  </si>
  <si>
    <t>A25506-1561</t>
  </si>
  <si>
    <t>ARACELI MACEDO</t>
  </si>
  <si>
    <t>ANGEL JAIR CHAIREZ GARCIA</t>
  </si>
  <si>
    <t>A25506-1993</t>
  </si>
  <si>
    <t>ARIANA GOMEZ GUTIERREZ</t>
  </si>
  <si>
    <t>JOSUE PLAZOLA ARZATE</t>
  </si>
  <si>
    <t>4,151.50 MXN</t>
  </si>
  <si>
    <t>MEXICO - MICHOACAN - APATZINGAN</t>
  </si>
  <si>
    <t>A25506-3342</t>
  </si>
  <si>
    <t>ARMANDO DIOSDADO MUNOZ</t>
  </si>
  <si>
    <t>ADELINA JUAREZ RANGEL</t>
  </si>
  <si>
    <t>524.00 USD</t>
  </si>
  <si>
    <t>10,008.40 MXN</t>
  </si>
  <si>
    <t>A25506-2961</t>
  </si>
  <si>
    <t>13,300.00 MXN</t>
  </si>
  <si>
    <t>A25506-2841</t>
  </si>
  <si>
    <t>14,808.00 MXN</t>
  </si>
  <si>
    <t>A25506-2985</t>
  </si>
  <si>
    <t>ARMANDO SOSA DELGADO</t>
  </si>
  <si>
    <t>LUCIO HUERTA SOSA</t>
  </si>
  <si>
    <t>17,127.00 MXN</t>
  </si>
  <si>
    <t>A25506-2861</t>
  </si>
  <si>
    <t>ARMANDO VILLEGAS AGUILAR</t>
  </si>
  <si>
    <t>GAUDENCIA CAMACHO JACOVO</t>
  </si>
  <si>
    <t>563.00 USD</t>
  </si>
  <si>
    <t>10,499.95 MXN</t>
  </si>
  <si>
    <t>A25506-3442</t>
  </si>
  <si>
    <t>ARNOL SAUL MANZANO GARCIA</t>
  </si>
  <si>
    <t>NORMA PATRICIA GARCIA GARCIA</t>
  </si>
  <si>
    <t>4,958.00 HNL</t>
  </si>
  <si>
    <t>HONDURAS - SANTA BARBARA - SANTA BARBARA</t>
  </si>
  <si>
    <t>A25506-3346</t>
  </si>
  <si>
    <t>JUAN DE DIOS MONDRAGON ALVAREZ</t>
  </si>
  <si>
    <t>49,580.00 HNL</t>
  </si>
  <si>
    <t>A25506-2968</t>
  </si>
  <si>
    <t>6,190.00 HNL</t>
  </si>
  <si>
    <t>A25506-2893</t>
  </si>
  <si>
    <t>JOSE SANTIAGO BENITEZ BENITEZ</t>
  </si>
  <si>
    <t>HONDURAS - LA PAZ - MARCALA</t>
  </si>
  <si>
    <t>A25506-2690</t>
  </si>
  <si>
    <t>PEDRO MANZANO GARCIA</t>
  </si>
  <si>
    <t>4,940.00 HNL</t>
  </si>
  <si>
    <t>A25506-2689</t>
  </si>
  <si>
    <t>A25506-2346</t>
  </si>
  <si>
    <t>6,175.00 HNL</t>
  </si>
  <si>
    <t>A25506-2344</t>
  </si>
  <si>
    <t>ELSA MARINA MANZANO GARCIA</t>
  </si>
  <si>
    <t>1,500.00 USD</t>
  </si>
  <si>
    <t>37,050.00 HNL</t>
  </si>
  <si>
    <t>A25506-2190</t>
  </si>
  <si>
    <t>4,920.00 HNL</t>
  </si>
  <si>
    <t>A25506-2189</t>
  </si>
  <si>
    <t>24,600.00 HNL</t>
  </si>
  <si>
    <t>A25506-2047</t>
  </si>
  <si>
    <t>7,386.00 HNL</t>
  </si>
  <si>
    <t>A25506-1421</t>
  </si>
  <si>
    <t>24,690.00 HNL</t>
  </si>
  <si>
    <t>A25506-6756</t>
  </si>
  <si>
    <t>25,480.00 HNL</t>
  </si>
  <si>
    <t>A25506-7451</t>
  </si>
  <si>
    <t>A25506-8314</t>
  </si>
  <si>
    <t>7,683.00 HNL</t>
  </si>
  <si>
    <t>A25506-7904</t>
  </si>
  <si>
    <t>262.00 USD</t>
  </si>
  <si>
    <t>6,707.20 HNL</t>
  </si>
  <si>
    <t>A25506-6824</t>
  </si>
  <si>
    <t>AURELIO HERNANDEZ GARCIA</t>
  </si>
  <si>
    <t>PETRA PACHECO RODRIGUEZ</t>
  </si>
  <si>
    <t>A25506-6660</t>
  </si>
  <si>
    <t>A25506-8679</t>
  </si>
  <si>
    <t>21,450.00 MXN</t>
  </si>
  <si>
    <t>A25506-8241</t>
  </si>
  <si>
    <t>JUAN HERNANDEZ GARCIA</t>
  </si>
  <si>
    <t>20,100.00 MXN</t>
  </si>
  <si>
    <t>A25506-8240</t>
  </si>
  <si>
    <t>A25506-3185</t>
  </si>
  <si>
    <t>AXEL RODRIGUEZ</t>
  </si>
  <si>
    <t>CIRILA HERNANDEZ CHAVEZ</t>
  </si>
  <si>
    <t>5,910.00 MXN</t>
  </si>
  <si>
    <t>A25506-6815</t>
  </si>
  <si>
    <t>7,236.00 MXN</t>
  </si>
  <si>
    <t>A25506-2916</t>
  </si>
  <si>
    <t>BENITO DUARTE ARVIZU</t>
  </si>
  <si>
    <t>TRANQUILINA OFELIA DUARTE ARVIZU</t>
  </si>
  <si>
    <t>9,500.00 MXN</t>
  </si>
  <si>
    <t>A25506-6724</t>
  </si>
  <si>
    <t>BERNARDO CRUZ TULUL IXQUIER</t>
  </si>
  <si>
    <t>LUCIA IXQUIER TULUL</t>
  </si>
  <si>
    <t>650.00 USD</t>
  </si>
  <si>
    <t>5,005.00 GTQ</t>
  </si>
  <si>
    <t>GUATEMALA - SUCHITEPEQUEZ - SANTO TOMAS LA UNION</t>
  </si>
  <si>
    <t>A25506-2512</t>
  </si>
  <si>
    <t>BERNARDO TENORIO MARTINEZ</t>
  </si>
  <si>
    <t>MA DEL ROSARIO SANCHEZ SALAZAR</t>
  </si>
  <si>
    <t>7,264.00 MXN</t>
  </si>
  <si>
    <t>A25506-2213</t>
  </si>
  <si>
    <t>6,160.00 MXN</t>
  </si>
  <si>
    <t>A25506-8260</t>
  </si>
  <si>
    <t>A25506-3427</t>
  </si>
  <si>
    <t>BESSY YARITZA SANTAMARIA</t>
  </si>
  <si>
    <t>SUYAPA SANTAMARIA LARA</t>
  </si>
  <si>
    <t>292.00 USD</t>
  </si>
  <si>
    <t>7,238.68 HNL</t>
  </si>
  <si>
    <t>HONDURAS - COPAN - SANTA ROSA DE COPAN</t>
  </si>
  <si>
    <t>A25506-3355</t>
  </si>
  <si>
    <t>A25506-2809</t>
  </si>
  <si>
    <t>3,714.00 HNL</t>
  </si>
  <si>
    <t>A25506-2641</t>
  </si>
  <si>
    <t>1,485.00 USD</t>
  </si>
  <si>
    <t>36,738.90 HNL</t>
  </si>
  <si>
    <t>A25506-2022</t>
  </si>
  <si>
    <t>ERNESTO SAMAYOA</t>
  </si>
  <si>
    <t>24,462.90 HNL</t>
  </si>
  <si>
    <t>A25506-2021</t>
  </si>
  <si>
    <t>592.00 USD</t>
  </si>
  <si>
    <t>14,628.32 HNL</t>
  </si>
  <si>
    <t>A25506-6745</t>
  </si>
  <si>
    <t>12,580.44 HNL</t>
  </si>
  <si>
    <t>A25506-7772</t>
  </si>
  <si>
    <t>3,638.04 HNL</t>
  </si>
  <si>
    <t>A25506-8272</t>
  </si>
  <si>
    <t>1,980.00 USD</t>
  </si>
  <si>
    <t>50,707.80 HNL</t>
  </si>
  <si>
    <t>A25506-1457</t>
  </si>
  <si>
    <t>BETO RAMOS FLORES</t>
  </si>
  <si>
    <t>CONSUELO BERMUDEZ</t>
  </si>
  <si>
    <t>830.00 USD</t>
  </si>
  <si>
    <t>20,492.70 HNL</t>
  </si>
  <si>
    <t>A25506-6871</t>
  </si>
  <si>
    <t>BLANCA ELISABETH CAMPOS GONZALEZ</t>
  </si>
  <si>
    <t>MARIA DE JESUS GONZALEZ GONZALEZ</t>
  </si>
  <si>
    <t>430.00 USD</t>
  </si>
  <si>
    <t>8,651.60 MXN</t>
  </si>
  <si>
    <t>SORIANA</t>
  </si>
  <si>
    <t>A25506-6902</t>
  </si>
  <si>
    <t>BLANCA ESTELA CHAVEZ AVILA</t>
  </si>
  <si>
    <t>ADA NAYELI DELGADO PASTE</t>
  </si>
  <si>
    <t>20,300.00 MXN</t>
  </si>
  <si>
    <t>A25506-8768</t>
  </si>
  <si>
    <t>29,100.00 MXN</t>
  </si>
  <si>
    <t>A25506-3172</t>
  </si>
  <si>
    <t>BLANCA FLOR MENJIVAR MENJIVAR</t>
  </si>
  <si>
    <t>MARIA MARGARITA MENJIVAR MENJIVAR</t>
  </si>
  <si>
    <t>CUSCA (CITI - RECIBA NETWORKS)</t>
  </si>
  <si>
    <t>EL SALVADOR - SONSONATE - SONSONATE</t>
  </si>
  <si>
    <t>A25506-2518</t>
  </si>
  <si>
    <t>JOSE YONI GUILLEN MENJIVAR</t>
  </si>
  <si>
    <t>1,700.00 USD</t>
  </si>
  <si>
    <t>A25506-1894</t>
  </si>
  <si>
    <t>BLANCA MORA ALVA</t>
  </si>
  <si>
    <t>JESSICA MARGARITA GONZALEZ MORA</t>
  </si>
  <si>
    <t>3,439.00 MXN</t>
  </si>
  <si>
    <t>A25506-3004</t>
  </si>
  <si>
    <t>BLANCA MORA ROSALES</t>
  </si>
  <si>
    <t>JUDITH ALEJANDRA ALVAREZ GONZALEZ</t>
  </si>
  <si>
    <t>129.00 USD</t>
  </si>
  <si>
    <t>2,516.79 MXN</t>
  </si>
  <si>
    <t>A25506-2980</t>
  </si>
  <si>
    <t>BLANCA SONIA SANCHEZ REYES</t>
  </si>
  <si>
    <t>ROSA LIDIA REYES QUINTANILLA</t>
  </si>
  <si>
    <t>12,325.00 HNL</t>
  </si>
  <si>
    <t>A25506-1779</t>
  </si>
  <si>
    <t>BRAYAN HERNANDEZ FIGUEROA</t>
  </si>
  <si>
    <t>MANUEL SALVADOR VARAGAS MEDINA</t>
  </si>
  <si>
    <t>1,638.00 MXN</t>
  </si>
  <si>
    <t>MEXICO - MEXICO D.F. - IZTAPALAPA</t>
  </si>
  <si>
    <t>A25506-1778</t>
  </si>
  <si>
    <t>14,560.00 MXN</t>
  </si>
  <si>
    <t>MEXICO - MEXICO (ESTADO) - NEZAHUALCOYOTL</t>
  </si>
  <si>
    <t>A25506-7826</t>
  </si>
  <si>
    <t>BRIAN ALEXIS DEANDA VELAZQUEZ</t>
  </si>
  <si>
    <t>MARIA TERESA VELAZQUEZ ESCAMILLA</t>
  </si>
  <si>
    <t>MEXICO - GUANAJUATO - ACAMBARO (GTO)</t>
  </si>
  <si>
    <t>A25506-2384</t>
  </si>
  <si>
    <t>BRIAN FLORES</t>
  </si>
  <si>
    <t>ITZEL VAZQUEZ HERRERA</t>
  </si>
  <si>
    <t>3,382.00 MXN</t>
  </si>
  <si>
    <t>A25506-2356</t>
  </si>
  <si>
    <t>LILIA GARCIA ACEVEDO</t>
  </si>
  <si>
    <t>890.00 MXN</t>
  </si>
  <si>
    <t>A25506-2355</t>
  </si>
  <si>
    <t>A25506-2100</t>
  </si>
  <si>
    <t>560.00 USD</t>
  </si>
  <si>
    <t>10,080.00 MXN</t>
  </si>
  <si>
    <t>A25506-2201</t>
  </si>
  <si>
    <t>BRYAN JAVIER LEMUS CHOC</t>
  </si>
  <si>
    <t>ROSE MARY CHOC MONROY</t>
  </si>
  <si>
    <t>771.00 GTQ</t>
  </si>
  <si>
    <t>A25506-2121</t>
  </si>
  <si>
    <t>A25506-1878</t>
  </si>
  <si>
    <t>A25506-1810</t>
  </si>
  <si>
    <t>A25506-1693</t>
  </si>
  <si>
    <t>772.00 GTQ</t>
  </si>
  <si>
    <t>A25506-7751</t>
  </si>
  <si>
    <t>JULIAN MARTINEZ BELTRAN</t>
  </si>
  <si>
    <t>4,018.00 MXN</t>
  </si>
  <si>
    <t>A25506-8208</t>
  </si>
  <si>
    <t>CAMILO SANTOS FUNES</t>
  </si>
  <si>
    <t>MARIA ALEJANDRINA CRUZ PEREZ</t>
  </si>
  <si>
    <t>12,850.00 HNL</t>
  </si>
  <si>
    <t>A25506-6689</t>
  </si>
  <si>
    <t>CARLO DANIEL PARRA LABRADOR</t>
  </si>
  <si>
    <t>EDGAR ALONSO SILVA PARRA</t>
  </si>
  <si>
    <t>10,000.00 MXN</t>
  </si>
  <si>
    <t>A25506-7809</t>
  </si>
  <si>
    <t>NANCY NAYELI PARRA MORENO</t>
  </si>
  <si>
    <t>99.00 USD</t>
  </si>
  <si>
    <t>2,011.68 MXN</t>
  </si>
  <si>
    <t>A25506-1498</t>
  </si>
  <si>
    <t>CARLOS ALTAMIRANO</t>
  </si>
  <si>
    <t>PAULA FRANCISCA CERECENO ESCOBEDO</t>
  </si>
  <si>
    <t>3,004.20 MXN</t>
  </si>
  <si>
    <t>MEXICO - COAHUILA - SALTILLO</t>
  </si>
  <si>
    <t>A25506-6693</t>
  </si>
  <si>
    <t>CARLOS ANTONIO RODRIGUEZ SIQUINAJAY</t>
  </si>
  <si>
    <t>MARIA REYNA SIQUINAJAY AJQUIY DE RODRIGUEZ</t>
  </si>
  <si>
    <t>197.00 USD</t>
  </si>
  <si>
    <t>1,505.08 GTQ</t>
  </si>
  <si>
    <t>GUATEMALA - CHIMALTENANGO - SAN ANDRES ITZAPA</t>
  </si>
  <si>
    <t>A25506-8710</t>
  </si>
  <si>
    <t>131.00 USD</t>
  </si>
  <si>
    <t>1,006.08 GTQ</t>
  </si>
  <si>
    <t>A25506-8707</t>
  </si>
  <si>
    <t>ERICKA MARIELA RIOS MALDONADO</t>
  </si>
  <si>
    <t>65.00 USD</t>
  </si>
  <si>
    <t>500.50 GTQ</t>
  </si>
  <si>
    <t>A25506-6905</t>
  </si>
  <si>
    <t>CARLOS DANIEL ZAVALA HERNANDEZ</t>
  </si>
  <si>
    <t>MARIA GUADALUPE RUIZ RIVERA</t>
  </si>
  <si>
    <t>3,060.00 MXN</t>
  </si>
  <si>
    <t>A25506-6904</t>
  </si>
  <si>
    <t>LIZETH PEREZ RAMIREZ</t>
  </si>
  <si>
    <t>2,040.00 MXN</t>
  </si>
  <si>
    <t>A25506-7880</t>
  </si>
  <si>
    <t>2,020.00 MXN</t>
  </si>
  <si>
    <t>A25506-3451</t>
  </si>
  <si>
    <t>CARLOS EUGENIO SALVADOR</t>
  </si>
  <si>
    <t>OFELIA CASAS RAMIREZ</t>
  </si>
  <si>
    <t>750.00 USD</t>
  </si>
  <si>
    <t>14,362.50 MXN</t>
  </si>
  <si>
    <t>MEXICO - JALISCO - GUADALAJARA</t>
  </si>
  <si>
    <t>A25506-3286</t>
  </si>
  <si>
    <t>5,916.00 MXN</t>
  </si>
  <si>
    <t>A25506-2882</t>
  </si>
  <si>
    <t>5,544.80 MXN</t>
  </si>
  <si>
    <t>A25506-2549</t>
  </si>
  <si>
    <t>75.00 USD</t>
  </si>
  <si>
    <t>1,387.50 MXN</t>
  </si>
  <si>
    <t>A25506-2548</t>
  </si>
  <si>
    <t>EUSEBIA SALVADOR JACINTO</t>
  </si>
  <si>
    <t>A25506-6777</t>
  </si>
  <si>
    <t>A25506-3432</t>
  </si>
  <si>
    <t>CARLOS HERNANDEZ JIMENEZ</t>
  </si>
  <si>
    <t>PAOLA ALEJANDRA PANIAGUA JIMENEZ</t>
  </si>
  <si>
    <t>18,145.00 MXN</t>
  </si>
  <si>
    <t>A25506-2993</t>
  </si>
  <si>
    <t>18,050.00 MXN</t>
  </si>
  <si>
    <t>A25506-2856</t>
  </si>
  <si>
    <t>17,575.00 MXN</t>
  </si>
  <si>
    <t>A25506-2744</t>
  </si>
  <si>
    <t>17,698.50 MXN</t>
  </si>
  <si>
    <t>A25506-2029</t>
  </si>
  <si>
    <t>HUMBERTO TORRES HERNANDEZ</t>
  </si>
  <si>
    <t>17,128.50 MXN</t>
  </si>
  <si>
    <t>HSBC</t>
  </si>
  <si>
    <t>A25506-8296</t>
  </si>
  <si>
    <t>12,000.00 MXN</t>
  </si>
  <si>
    <t>A25506-6639</t>
  </si>
  <si>
    <t>CARLOS JOSE CHAVARRIA RIVERA</t>
  </si>
  <si>
    <t>ALVARO SEGURA GOMEZ</t>
  </si>
  <si>
    <t>30,000.00 MXN</t>
  </si>
  <si>
    <t>MEXICO - QUERETARO - QUERETARO</t>
  </si>
  <si>
    <t>A25506-3340</t>
  </si>
  <si>
    <t>CARLOS JUAREZ GONZALEZ</t>
  </si>
  <si>
    <t>YOLANDA GONZALEZ MEDEL</t>
  </si>
  <si>
    <t>1,200.00 USD</t>
  </si>
  <si>
    <t>22,920.00 MXN</t>
  </si>
  <si>
    <t>A25506-1963</t>
  </si>
  <si>
    <t>CARLOS MANUEL CISNEROS BADILLO</t>
  </si>
  <si>
    <t>MA DE LA LUZ BADILLO HOLGUIN</t>
  </si>
  <si>
    <t>1,640.70 MXN</t>
  </si>
  <si>
    <t>MEXICO - DURANGO - GUADALUPE VICTORIA</t>
  </si>
  <si>
    <t>A25506-3039</t>
  </si>
  <si>
    <t>CARLOS ROBERTO CRUZ CRUZ</t>
  </si>
  <si>
    <t>INGRIS YOLANY ZUNIGA BERRIOS</t>
  </si>
  <si>
    <t>19,768.00 HNL</t>
  </si>
  <si>
    <t>HONDURAS - FRANCISCO MORAZAN - FRANCISCO MORAZAN</t>
  </si>
  <si>
    <t>A25506-2446</t>
  </si>
  <si>
    <t>22,266.00 HNL</t>
  </si>
  <si>
    <t>A25506-2211</t>
  </si>
  <si>
    <t>19,720.00 HNL</t>
  </si>
  <si>
    <t>A25506-1930</t>
  </si>
  <si>
    <t>19,760.00 HNL</t>
  </si>
  <si>
    <t>A25506-1573</t>
  </si>
  <si>
    <t>17,283.00 HNL</t>
  </si>
  <si>
    <t>A25506-1752</t>
  </si>
  <si>
    <t>CARLOS RODRIGUEZ URESTI</t>
  </si>
  <si>
    <t>KENIA ADILENE RODRIGUEZ GARCIA</t>
  </si>
  <si>
    <t>940.00 USD</t>
  </si>
  <si>
    <t>17,023.40 MXN</t>
  </si>
  <si>
    <t>MEXICO - NAYARIT - RUIZ</t>
  </si>
  <si>
    <t>A25506-2152</t>
  </si>
  <si>
    <t>CELEDONIO MORENO JUAREZ</t>
  </si>
  <si>
    <t>MARIA DE LA LUZ HERNANDEZ CHAVEZ</t>
  </si>
  <si>
    <t>16,119.00 MXN</t>
  </si>
  <si>
    <t>MEXICO - GUANAJUATO - MANUEL DOBLADO</t>
  </si>
  <si>
    <t>A25506-7450</t>
  </si>
  <si>
    <t>CESAR GUARDADO BUENDIA</t>
  </si>
  <si>
    <t>J BALTAZAR GUARDADO ALVARADO</t>
  </si>
  <si>
    <t>19,700.00 MXN</t>
  </si>
  <si>
    <t>A25506-1962</t>
  </si>
  <si>
    <t>CESAR MIGUEL TELLEZ RODRIGUEZ</t>
  </si>
  <si>
    <t>ELENA LOPEZ BAUTISTA</t>
  </si>
  <si>
    <t>7,059.00 MXN</t>
  </si>
  <si>
    <t>MEXICO - MEXICO (ESTADO) - VALLE DE BRAVO</t>
  </si>
  <si>
    <t>A25506-1961</t>
  </si>
  <si>
    <t>A25506-7842</t>
  </si>
  <si>
    <t>CHARLY YOAMM MEJIA MEJIA</t>
  </si>
  <si>
    <t>LEONARDA ELIZABETH MEJIA</t>
  </si>
  <si>
    <t>1,400.00 USD</t>
  </si>
  <si>
    <t>35,840.00 HNL</t>
  </si>
  <si>
    <t>HONDURAS - ATLANTIDA - LA CEIBA</t>
  </si>
  <si>
    <t>A25506-1432</t>
  </si>
  <si>
    <t>CHRISTIAN HERNANDEZ JUAREZ</t>
  </si>
  <si>
    <t>HUGO LEONEL CASTRO QUEL</t>
  </si>
  <si>
    <t>712.08 GTQ</t>
  </si>
  <si>
    <t>A25506-6887</t>
  </si>
  <si>
    <t>CINDY VIOLETA ESQUIVEL CORDOBA</t>
  </si>
  <si>
    <t>ALEJANDRA ESQUIVEL CORDOVA</t>
  </si>
  <si>
    <t>10,100.00 MXN</t>
  </si>
  <si>
    <t>MEXICO - ZACATECAS - MIGUEL AUZA</t>
  </si>
  <si>
    <t>A25506-6718</t>
  </si>
  <si>
    <t>A25506-1641</t>
  </si>
  <si>
    <t>CIRILO VAZQUEZ ACOSTA</t>
  </si>
  <si>
    <t>MARIA YOLANDA HERNANDEZ HERNANDEZ</t>
  </si>
  <si>
    <t>2,100.00 MXN</t>
  </si>
  <si>
    <t>A25506-1403</t>
  </si>
  <si>
    <t>9,799.90 MXN</t>
  </si>
  <si>
    <t>A25506-3275</t>
  </si>
  <si>
    <t>CLAUDIA ESMERALDA MANCIA VASQUEZ</t>
  </si>
  <si>
    <t>MARIA AMPARO VASQUEZ GUARDADO</t>
  </si>
  <si>
    <t>170.00 USD</t>
  </si>
  <si>
    <t>4,209.20 HNL</t>
  </si>
  <si>
    <t>A25506-2902</t>
  </si>
  <si>
    <t>112.00 USD</t>
  </si>
  <si>
    <t>2,773.12 HNL</t>
  </si>
  <si>
    <t>A25506-2653</t>
  </si>
  <si>
    <t>DENIA MARIELA MONGE ALVARADO</t>
  </si>
  <si>
    <t>61,750.00 HNL</t>
  </si>
  <si>
    <t>A25506-2020</t>
  </si>
  <si>
    <t>6,434.72 HNL</t>
  </si>
  <si>
    <t>A25506-8765</t>
  </si>
  <si>
    <t>JOSE TOMAS MANCIA VASQUEZ</t>
  </si>
  <si>
    <t>17,934.00 HNL</t>
  </si>
  <si>
    <t>A25506-8742</t>
  </si>
  <si>
    <t>A25506-8656</t>
  </si>
  <si>
    <t>CLAUDIA MARISOL JOYA GUTIERREZ</t>
  </si>
  <si>
    <t>HERMINDA SANCHEZ UCELO</t>
  </si>
  <si>
    <t>8,481.00 GTQ</t>
  </si>
  <si>
    <t>GUATEMALA - JALAPA - JALAPA</t>
  </si>
  <si>
    <t>A25506-8655</t>
  </si>
  <si>
    <t>A25506-3410</t>
  </si>
  <si>
    <t>CRISPIN LANDEROS FUENTES</t>
  </si>
  <si>
    <t>MARIA CRUCES AVALOS</t>
  </si>
  <si>
    <t>3,836.00 MXN</t>
  </si>
  <si>
    <t>A25506-3409</t>
  </si>
  <si>
    <t>NADIA GUADALUPE PEREZ CAMPO</t>
  </si>
  <si>
    <t>6,720.00 MXN</t>
  </si>
  <si>
    <t>MEXICO - NUEVO LEON - ABASOLO</t>
  </si>
  <si>
    <t>A25506-3231</t>
  </si>
  <si>
    <t>4,338.40 MXN</t>
  </si>
  <si>
    <t>A25506-3104</t>
  </si>
  <si>
    <t>3,910.00 MXN</t>
  </si>
  <si>
    <t>A25506-2942</t>
  </si>
  <si>
    <t>19,030.00 MXN</t>
  </si>
  <si>
    <t>A25506-2813</t>
  </si>
  <si>
    <t>18,530.00 MXN</t>
  </si>
  <si>
    <t>A25506-2718</t>
  </si>
  <si>
    <t>7,480.00 MXN</t>
  </si>
  <si>
    <t>A25506-2717</t>
  </si>
  <si>
    <t>16,830.00 MXN</t>
  </si>
  <si>
    <t>A25506-2627</t>
  </si>
  <si>
    <t>5,670.00 MXN</t>
  </si>
  <si>
    <t>A25506-2551</t>
  </si>
  <si>
    <t>1,850.00 MXN</t>
  </si>
  <si>
    <t>A25506-2493</t>
  </si>
  <si>
    <t>2,372.50 MXN</t>
  </si>
  <si>
    <t>A25506-2492</t>
  </si>
  <si>
    <t>ANGELA GARCIA PEREZ</t>
  </si>
  <si>
    <t>10,037.50 MXN</t>
  </si>
  <si>
    <t>A25506-2362</t>
  </si>
  <si>
    <t>17,800.00 MXN</t>
  </si>
  <si>
    <t>A25506-1943</t>
  </si>
  <si>
    <t>36,000.00 MXN</t>
  </si>
  <si>
    <t>A25506-6876</t>
  </si>
  <si>
    <t>1,580.00 USD</t>
  </si>
  <si>
    <t>31,837.00 MXN</t>
  </si>
  <si>
    <t>A25506-7742</t>
  </si>
  <si>
    <t>A25506-7741</t>
  </si>
  <si>
    <t>JESSENIA JUDITH GARCIA PEREZ</t>
  </si>
  <si>
    <t>A25506-8273</t>
  </si>
  <si>
    <t>A25506-6744</t>
  </si>
  <si>
    <t>CRISTIAN ANDERSON ACOSTA RIVERA</t>
  </si>
  <si>
    <t>LIDIA RUTH ALVARENGA ALVARADO</t>
  </si>
  <si>
    <t>1,534.20 HNL</t>
  </si>
  <si>
    <t>A25506-2865</t>
  </si>
  <si>
    <t>CRISTIAN ANGELES NICOLAS</t>
  </si>
  <si>
    <t>JUAN MIGUEL SILVA BARRIENTOS</t>
  </si>
  <si>
    <t>3,553.00 MXN</t>
  </si>
  <si>
    <t>MEXICO - TAMAULIPAS - NUEVO LAREDO</t>
  </si>
  <si>
    <t>A25506-2050</t>
  </si>
  <si>
    <t>26,433.00 MXN</t>
  </si>
  <si>
    <t>MEXICO - MEXICO (ESTADO) - AMATEPEC</t>
  </si>
  <si>
    <t>A25506-8738</t>
  </si>
  <si>
    <t>CRISTIAN GARCIA CISNEROS</t>
  </si>
  <si>
    <t>ORTENCIA CISNEROS DE JESUS</t>
  </si>
  <si>
    <t>11,640.00 MXN</t>
  </si>
  <si>
    <t>A25506-3396</t>
  </si>
  <si>
    <t>CRISTIAN JAVIER HERNANDEZ SEGURA</t>
  </si>
  <si>
    <t>CATALINA DE LA LUZ QUINTANILLA</t>
  </si>
  <si>
    <t>BANCO AGRICOLA</t>
  </si>
  <si>
    <t>EL SALVADOR - SAN SALVADOR - SAN SALVADOR</t>
  </si>
  <si>
    <t>A25506-3386</t>
  </si>
  <si>
    <t>CRISTIAN JOBANI TORRES LANDEROS</t>
  </si>
  <si>
    <t>MARIA ESPERANZA LANDEROS FUENTES</t>
  </si>
  <si>
    <t>1,600.00 USD</t>
  </si>
  <si>
    <t>30,560.00 MXN</t>
  </si>
  <si>
    <t>A25506-2954</t>
  </si>
  <si>
    <t>4,750.00 MXN</t>
  </si>
  <si>
    <t>A25506-2825</t>
  </si>
  <si>
    <t>4,637.50 MXN</t>
  </si>
  <si>
    <t>A25506-2634</t>
  </si>
  <si>
    <t>26,320.00 MXN</t>
  </si>
  <si>
    <t>A25506-6681</t>
  </si>
  <si>
    <t>625.00 USD</t>
  </si>
  <si>
    <t>12,500.00 MXN</t>
  </si>
  <si>
    <t>A25506-8277</t>
  </si>
  <si>
    <t>277.00 USD</t>
  </si>
  <si>
    <t>5,567.70 MXN</t>
  </si>
  <si>
    <t>A25506-7888</t>
  </si>
  <si>
    <t>330.00 USD</t>
  </si>
  <si>
    <t>6,567.00 MXN</t>
  </si>
  <si>
    <t>A25506-3360</t>
  </si>
  <si>
    <t>CRISTIAN LUJAN REYES</t>
  </si>
  <si>
    <t>MA INES REYES CRUZ</t>
  </si>
  <si>
    <t>5,760.00 MXN</t>
  </si>
  <si>
    <t>A25506-3290</t>
  </si>
  <si>
    <t>MELANY VILLARREAL GARZA</t>
  </si>
  <si>
    <t>MEXICO - NUEVO LEON - HIDALGO</t>
  </si>
  <si>
    <t>A25506-3289</t>
  </si>
  <si>
    <t>15,776.00 MXN</t>
  </si>
  <si>
    <t>A25506-2712</t>
  </si>
  <si>
    <t>A25506-2606</t>
  </si>
  <si>
    <t>18,970.00 MXN</t>
  </si>
  <si>
    <t>A25506-2527</t>
  </si>
  <si>
    <t>7,248.00 MXN</t>
  </si>
  <si>
    <t>A25506-2335</t>
  </si>
  <si>
    <t>8,900.00 MXN</t>
  </si>
  <si>
    <t>A25506-2334</t>
  </si>
  <si>
    <t>KARLA FABIOLA RODARTE</t>
  </si>
  <si>
    <t>26,700.00 MXN</t>
  </si>
  <si>
    <t>MEXICO - AGUASCALIENTES - AGUASCALIENTES</t>
  </si>
  <si>
    <t>A25506-2178</t>
  </si>
  <si>
    <t>5,280.00 MXN</t>
  </si>
  <si>
    <t>A25506-1979</t>
  </si>
  <si>
    <t>7,272.00 MXN</t>
  </si>
  <si>
    <t>A25506-1653</t>
  </si>
  <si>
    <t>278.00 USD</t>
  </si>
  <si>
    <t>5,004.00 MXN</t>
  </si>
  <si>
    <t>A25506-1555</t>
  </si>
  <si>
    <t>4,998.00 MXN</t>
  </si>
  <si>
    <t>A25506-1440</t>
  </si>
  <si>
    <t>12,457.50 MXN</t>
  </si>
  <si>
    <t>A25506-6700</t>
  </si>
  <si>
    <t>10,120.00 MXN</t>
  </si>
  <si>
    <t>A25506-8347</t>
  </si>
  <si>
    <t>14,000.00 MXN</t>
  </si>
  <si>
    <t>A25506-8239</t>
  </si>
  <si>
    <t>CRISTIAN NOE PALAFOX GONZALEZ</t>
  </si>
  <si>
    <t>VICTORIA AMALIA GOMEZ LOPEZ</t>
  </si>
  <si>
    <t>1,809.00 MXN</t>
  </si>
  <si>
    <t>A25506-7724</t>
  </si>
  <si>
    <t>CRISTINA SARAHI ARZATE NIETO</t>
  </si>
  <si>
    <t>ROGELIO HERIBERTO GARCIA</t>
  </si>
  <si>
    <t>8,020.00 MXN</t>
  </si>
  <si>
    <t>MEXICO - COAHUILA - SABINAS</t>
  </si>
  <si>
    <t>A25506-7722</t>
  </si>
  <si>
    <t>MARISA CASAREZ</t>
  </si>
  <si>
    <t>MEXICO - COAHUILA - NUEVA ROSITA</t>
  </si>
  <si>
    <t>A25506-7823</t>
  </si>
  <si>
    <t>DAMARIS CASARES PACHECO</t>
  </si>
  <si>
    <t>LILIANA GERTRUDIS PACHECO</t>
  </si>
  <si>
    <t>5,120.00 HNL</t>
  </si>
  <si>
    <t>A25506-7822</t>
  </si>
  <si>
    <t>EBER ANTONIO GARCIA CRUZ</t>
  </si>
  <si>
    <t>15,360.00 HNL</t>
  </si>
  <si>
    <t>A25506-8323</t>
  </si>
  <si>
    <t>5,140.00 HNL</t>
  </si>
  <si>
    <t>A25506-7887</t>
  </si>
  <si>
    <t>JAIRON JAVIER CACERES PACHECO</t>
  </si>
  <si>
    <t>1,282.00 HNL</t>
  </si>
  <si>
    <t>BAC - CREDOMATIC</t>
  </si>
  <si>
    <t>HONDURAS - FRANCISCO MORAZAN - TEGUCIGALPA</t>
  </si>
  <si>
    <t>A25506-2901</t>
  </si>
  <si>
    <t>DAMIAN GARCIA OVIEDO</t>
  </si>
  <si>
    <t>ALMA CRISTINA CARRIZALES</t>
  </si>
  <si>
    <t>3,808.00 MXN</t>
  </si>
  <si>
    <t>A25506-2768</t>
  </si>
  <si>
    <t>5,553.00 MXN</t>
  </si>
  <si>
    <t>A25506-2453</t>
  </si>
  <si>
    <t>14,528.00 MXN</t>
  </si>
  <si>
    <t>A25506-2298</t>
  </si>
  <si>
    <t>MA DE JESUS FLORES RODRIGUEZ</t>
  </si>
  <si>
    <t>1,607.40 MXN</t>
  </si>
  <si>
    <t>A25506-1716</t>
  </si>
  <si>
    <t>A25506-1630</t>
  </si>
  <si>
    <t>DANIA LUCERO ALFARO VELASCO</t>
  </si>
  <si>
    <t>HANNIA YERALDIN HERNANDEZ AGUILAR</t>
  </si>
  <si>
    <t>6,864.00 MXN</t>
  </si>
  <si>
    <t>MEXICO - CHIAPAS - COMITAN</t>
  </si>
  <si>
    <t>A25506-3192</t>
  </si>
  <si>
    <t>DANIEL CRUZ JUAREZ</t>
  </si>
  <si>
    <t>ROSA ISELA GONZALEZ MEJIA</t>
  </si>
  <si>
    <t>10,912.00 MXN</t>
  </si>
  <si>
    <t>A25506-2929</t>
  </si>
  <si>
    <t>A25506-2928</t>
  </si>
  <si>
    <t>JOSEFINA JUAREZ SOTELO</t>
  </si>
  <si>
    <t>A25506-2707</t>
  </si>
  <si>
    <t>1,870.00 MXN</t>
  </si>
  <si>
    <t>A25506-2706</t>
  </si>
  <si>
    <t>3,740.00 MXN</t>
  </si>
  <si>
    <t>A25506-2631</t>
  </si>
  <si>
    <t>3,572.00 MXN</t>
  </si>
  <si>
    <t>A25506-2459</t>
  </si>
  <si>
    <t>9,040.00 MXN</t>
  </si>
  <si>
    <t>A25506-2409</t>
  </si>
  <si>
    <t>NOEMI SALAZAR GARCIA</t>
  </si>
  <si>
    <t>320.00 USD</t>
  </si>
  <si>
    <t>5,728.00 MXN</t>
  </si>
  <si>
    <t>A25506-2331</t>
  </si>
  <si>
    <t>DANIEL DE LARA DELGADO</t>
  </si>
  <si>
    <t>DANIEL DE LARA QUEZADA</t>
  </si>
  <si>
    <t>A25506-2172</t>
  </si>
  <si>
    <t>17,500.00 MXN</t>
  </si>
  <si>
    <t>A25506-1836</t>
  </si>
  <si>
    <t>DIANA DE LARA DELGADO</t>
  </si>
  <si>
    <t>18,200.00 MXN</t>
  </si>
  <si>
    <t>MEXICO - DURANGO - CUAUHTEMOC</t>
  </si>
  <si>
    <t>A25506-1743</t>
  </si>
  <si>
    <t>18,270.00 MXN</t>
  </si>
  <si>
    <t>A25506-1651</t>
  </si>
  <si>
    <t>CRISTOBAL MACIAS GUARDADO</t>
  </si>
  <si>
    <t>1,976.70 MXN</t>
  </si>
  <si>
    <t>MEXICO - ZACATECAS - PINOS</t>
  </si>
  <si>
    <t>A25506-7799</t>
  </si>
  <si>
    <t>DANIEL FLORES</t>
  </si>
  <si>
    <t>RAYMUNDO VILLARREAL MIRANDA</t>
  </si>
  <si>
    <t>1,385.00 USD</t>
  </si>
  <si>
    <t>27,907.75 MXN</t>
  </si>
  <si>
    <t>A25506-8276</t>
  </si>
  <si>
    <t>DANIEL MEDERO PORCAYO</t>
  </si>
  <si>
    <t>MARIA PORCAYO FLORES</t>
  </si>
  <si>
    <t>13,065.00 MXN</t>
  </si>
  <si>
    <t>MEXICO - GUERRERO - TAXCO</t>
  </si>
  <si>
    <t>A25506-2797</t>
  </si>
  <si>
    <t>DANIEL MONTENEGRO JUAREZ</t>
  </si>
  <si>
    <t>MILDRED YURIZA ORTEGA VILLATORO</t>
  </si>
  <si>
    <t>540.00 USD</t>
  </si>
  <si>
    <t>4,168.80 GTQ</t>
  </si>
  <si>
    <t>A25506-2205</t>
  </si>
  <si>
    <t>3,080.00 GTQ</t>
  </si>
  <si>
    <t>A25506-1486</t>
  </si>
  <si>
    <t>412.00 USD</t>
  </si>
  <si>
    <t>3,184.76 GTQ</t>
  </si>
  <si>
    <t>A25506-3363</t>
  </si>
  <si>
    <t>DANIEL PARRA LABRADOR</t>
  </si>
  <si>
    <t>DANIEL DE JESUS PARRA SILVA</t>
  </si>
  <si>
    <t>1,920.00 MXN</t>
  </si>
  <si>
    <t>A25506-3249</t>
  </si>
  <si>
    <t>508.00 USD</t>
  </si>
  <si>
    <t>10,007.60 MXN</t>
  </si>
  <si>
    <t>A25506-3052</t>
  </si>
  <si>
    <t>13,587.00 MXN</t>
  </si>
  <si>
    <t>A25506-2967</t>
  </si>
  <si>
    <t>264.00 USD</t>
  </si>
  <si>
    <t>5,016.00 MXN</t>
  </si>
  <si>
    <t>A25506-2838</t>
  </si>
  <si>
    <t>2,234.40 MXN</t>
  </si>
  <si>
    <t>A25506-2638</t>
  </si>
  <si>
    <t>CRISTINA LOPEZ CABRERA</t>
  </si>
  <si>
    <t>945.00 MXN</t>
  </si>
  <si>
    <t>MEXICO - CHIHUAHUA - CUAUHTEMOC</t>
  </si>
  <si>
    <t>A25506-2635</t>
  </si>
  <si>
    <t>266.00 USD</t>
  </si>
  <si>
    <t>5,014.10 MXN</t>
  </si>
  <si>
    <t>A25506-2471</t>
  </si>
  <si>
    <t>276.00 USD</t>
  </si>
  <si>
    <t>5,009.40 MXN</t>
  </si>
  <si>
    <t>A25506-2360</t>
  </si>
  <si>
    <t>57.00 USD</t>
  </si>
  <si>
    <t>1,014.60 MXN</t>
  </si>
  <si>
    <t>A25506-2081</t>
  </si>
  <si>
    <t>4,014.00 MXN</t>
  </si>
  <si>
    <t>A25506-1967</t>
  </si>
  <si>
    <t>1,083.00 MXN</t>
  </si>
  <si>
    <t>A25506-1966</t>
  </si>
  <si>
    <t>HERMELINDA SILVA ORTEGA</t>
  </si>
  <si>
    <t>1,219.00 USD</t>
  </si>
  <si>
    <t>22,002.95 MXN</t>
  </si>
  <si>
    <t>A25506-1581</t>
  </si>
  <si>
    <t>687.00 USD</t>
  </si>
  <si>
    <t>11,507.25 MXN</t>
  </si>
  <si>
    <t>A25506-6802</t>
  </si>
  <si>
    <t>6,024.00 MXN</t>
  </si>
  <si>
    <t>A25506-6638</t>
  </si>
  <si>
    <t>AURORA GARCIA RIOS</t>
  </si>
  <si>
    <t>1,256.45 MXN</t>
  </si>
  <si>
    <t>A25506-6637</t>
  </si>
  <si>
    <t>2,003.00 MXN</t>
  </si>
  <si>
    <t>A25506-7755</t>
  </si>
  <si>
    <t>6,018.00 MXN</t>
  </si>
  <si>
    <t>A25506-7696</t>
  </si>
  <si>
    <t>2,105.25 MXN</t>
  </si>
  <si>
    <t>A25506-7514</t>
  </si>
  <si>
    <t>A25506-8660</t>
  </si>
  <si>
    <t>4,074.00 MXN</t>
  </si>
  <si>
    <t>A25506-8213</t>
  </si>
  <si>
    <t>1,503.75 MXN</t>
  </si>
  <si>
    <t>A25506-8212</t>
  </si>
  <si>
    <t>4,020.00 MXN</t>
  </si>
  <si>
    <t>A25506-2177</t>
  </si>
  <si>
    <t>DANIEL RANGEL OJEDA</t>
  </si>
  <si>
    <t>ANTONIO RANGEL SANTILLAN</t>
  </si>
  <si>
    <t>A25506-1650</t>
  </si>
  <si>
    <t>A25506-1516</t>
  </si>
  <si>
    <t>DANIEL REYMUNDO MORENO</t>
  </si>
  <si>
    <t>JAIME VIVEROS FELIX</t>
  </si>
  <si>
    <t>9,960.00 MXN</t>
  </si>
  <si>
    <t>A25506-7719</t>
  </si>
  <si>
    <t>DANIEL VERA ROBLES</t>
  </si>
  <si>
    <t>ENRIQUE GUERRERO SANCHEZ</t>
  </si>
  <si>
    <t>4,010.00 MXN</t>
  </si>
  <si>
    <t>A25506-8781</t>
  </si>
  <si>
    <t>VIRIDIANA GUERRERO SANCHEZ</t>
  </si>
  <si>
    <t>5,856.00 MXN</t>
  </si>
  <si>
    <t>MEXICO - MICHOACAN - ZINAPECUARO DE FIGUEROA</t>
  </si>
  <si>
    <t>A25506-3163</t>
  </si>
  <si>
    <t>DANIEL W CASTELL</t>
  </si>
  <si>
    <t>MARIA ESPERANZA CARCAMO DIAZ</t>
  </si>
  <si>
    <t>567.00 USD</t>
  </si>
  <si>
    <t>14,016.24 HNL</t>
  </si>
  <si>
    <t>HONDURAS - CORTES - VILLANUEVA</t>
  </si>
  <si>
    <t>A25506-2613</t>
  </si>
  <si>
    <t>MARIA ADRIANA CARCAMO DIAZ</t>
  </si>
  <si>
    <t>610.00 USD</t>
  </si>
  <si>
    <t>15,091.40 HNL</t>
  </si>
  <si>
    <t>A25506-3116</t>
  </si>
  <si>
    <t>DANIELA SARAI LAGOS SALGADO</t>
  </si>
  <si>
    <t>16,094.00 HNL</t>
  </si>
  <si>
    <t>A25506-8335</t>
  </si>
  <si>
    <t>6,219.40 HNL</t>
  </si>
  <si>
    <t>A25506-7883</t>
  </si>
  <si>
    <t>OSCAR RODRIGO DURAN SOLORZANO</t>
  </si>
  <si>
    <t>12,820.00 HNL</t>
  </si>
  <si>
    <t>A25506-3147</t>
  </si>
  <si>
    <t>DARBIN AGUILAR CRUZ</t>
  </si>
  <si>
    <t>NOLVIA ANTONIA AGUILAR RAMIREZ</t>
  </si>
  <si>
    <t>4,952.00 HNL</t>
  </si>
  <si>
    <t>A25506-2843</t>
  </si>
  <si>
    <t>1,215.00 USD</t>
  </si>
  <si>
    <t>30,022.65 HNL</t>
  </si>
  <si>
    <t>A25506-6918</t>
  </si>
  <si>
    <t>212.00 USD</t>
  </si>
  <si>
    <t>5,425.08 HNL</t>
  </si>
  <si>
    <t>A25506-6785</t>
  </si>
  <si>
    <t>3,069.60 HNL</t>
  </si>
  <si>
    <t>A25506-7496</t>
  </si>
  <si>
    <t>A25506-6667</t>
  </si>
  <si>
    <t>DARIO RODRIGUEZ MORENO</t>
  </si>
  <si>
    <t>BERNARDA RODRIGUEZ MORENO</t>
  </si>
  <si>
    <t>A25506-7718</t>
  </si>
  <si>
    <t>A25506-3367</t>
  </si>
  <si>
    <t>DARLIN HERNANDEZ PEREZ</t>
  </si>
  <si>
    <t>BRENDA YAMILETH CASTELLANOS AGUILAR</t>
  </si>
  <si>
    <t>A25506-3158</t>
  </si>
  <si>
    <t>DANY CIDANY HERNANDEZ PEREZ</t>
  </si>
  <si>
    <t>12,380.00 HNL</t>
  </si>
  <si>
    <t>A25506-3065</t>
  </si>
  <si>
    <t>2,476.00 HNL</t>
  </si>
  <si>
    <t>A25506-2899</t>
  </si>
  <si>
    <t>14,820.00 HNL</t>
  </si>
  <si>
    <t>A25506-2781</t>
  </si>
  <si>
    <t>17,297.00 HNL</t>
  </si>
  <si>
    <t>A25506-2686</t>
  </si>
  <si>
    <t>12,350.00 HNL</t>
  </si>
  <si>
    <t>A25506-2582</t>
  </si>
  <si>
    <t>12,370.00 HNL</t>
  </si>
  <si>
    <t>A25506-2337</t>
  </si>
  <si>
    <t>16,081.00 HNL</t>
  </si>
  <si>
    <t>A25506-2182</t>
  </si>
  <si>
    <t>A25506-2073</t>
  </si>
  <si>
    <t>9,844.00 HNL</t>
  </si>
  <si>
    <t>A25506-1873</t>
  </si>
  <si>
    <t>17,185.00 HNL</t>
  </si>
  <si>
    <t>A25506-6920</t>
  </si>
  <si>
    <t>7,677.00 HNL</t>
  </si>
  <si>
    <t>A25506-6841</t>
  </si>
  <si>
    <t>SENIA ANAVEL HERNANDEZ PEREZ</t>
  </si>
  <si>
    <t>1,279.00 HNL</t>
  </si>
  <si>
    <t>A25506-6786</t>
  </si>
  <si>
    <t>7,674.00 HNL</t>
  </si>
  <si>
    <t>A25506-7449</t>
  </si>
  <si>
    <t>A25506-2054</t>
  </si>
  <si>
    <t>DARWIN ARNOLDO MILLA RODRIGUEZ</t>
  </si>
  <si>
    <t>MARIA MARLENY GAVARRETE RODRIGUEZ</t>
  </si>
  <si>
    <t>24,502.50 HNL</t>
  </si>
  <si>
    <t>HONDURAS - CORTES - CUYAMEL, OMOA</t>
  </si>
  <si>
    <t>A25506-3051</t>
  </si>
  <si>
    <t>DARWIN DAVID FLORES ELVIR</t>
  </si>
  <si>
    <t>KEYLA JOHANA CRUZ FLORES</t>
  </si>
  <si>
    <t>HONDURAS - CORTES - PUERTO CORTES</t>
  </si>
  <si>
    <t>A25506-3255</t>
  </si>
  <si>
    <t>DARWIN ORELLANA O</t>
  </si>
  <si>
    <t>NENCY KARINA PALMA HERNANDEZ</t>
  </si>
  <si>
    <t>1,485.60 HNL</t>
  </si>
  <si>
    <t>A25506-6771</t>
  </si>
  <si>
    <t>DAILIN ONELIA PALMA HERNANDEZ</t>
  </si>
  <si>
    <t>2,558.00 HNL</t>
  </si>
  <si>
    <t>A25506-7791</t>
  </si>
  <si>
    <t>KEYDI LOURDES ORELLANA DUBON</t>
  </si>
  <si>
    <t>HONDURAS - YORO - SULACO</t>
  </si>
  <si>
    <t>A25506-7531</t>
  </si>
  <si>
    <t>MIGUEL ANGEL HERNANDEZ</t>
  </si>
  <si>
    <t>10,244.00 HNL</t>
  </si>
  <si>
    <t>HONDURAS - INTIBUCA - JESUS DE OTORO</t>
  </si>
  <si>
    <t>A25506-7815</t>
  </si>
  <si>
    <t>DARWIN RODRIGUEZ</t>
  </si>
  <si>
    <t>JHONY MUNOZ SAGASTUME</t>
  </si>
  <si>
    <t>3,330.60 HNL</t>
  </si>
  <si>
    <t>A25506-6772</t>
  </si>
  <si>
    <t>DAVID FRANCISCO GONZALEZ MEZA</t>
  </si>
  <si>
    <t>KENIA IVETTE LARDY POSADA</t>
  </si>
  <si>
    <t>890.00 USD</t>
  </si>
  <si>
    <t>22,757.30 HNL</t>
  </si>
  <si>
    <t>A25506-6750</t>
  </si>
  <si>
    <t>KEREN GETSIBET BARAHONA MEZA</t>
  </si>
  <si>
    <t>1,278.50 HNL</t>
  </si>
  <si>
    <t>A25506-6749</t>
  </si>
  <si>
    <t>KENIA LARDY POSADA</t>
  </si>
  <si>
    <t>A25506-7777</t>
  </si>
  <si>
    <t>DAVID FRANCISCO GONZALEZ LOPEZ</t>
  </si>
  <si>
    <t>1,332.24 HNL</t>
  </si>
  <si>
    <t>A25506-7747</t>
  </si>
  <si>
    <t>DAVID MEDERO PORCAYO</t>
  </si>
  <si>
    <t>YOVANA YUREIDI SARCO SANCHEZ</t>
  </si>
  <si>
    <t>6,820.40 MXN</t>
  </si>
  <si>
    <t>A25506-3369</t>
  </si>
  <si>
    <t>DAVID OLVERA ALVARADO</t>
  </si>
  <si>
    <t>LUZ ALIANA JUAREZ VARGAS</t>
  </si>
  <si>
    <t>3,629.00 MXN</t>
  </si>
  <si>
    <t>A25506-3247</t>
  </si>
  <si>
    <t>1,970.00 MXN</t>
  </si>
  <si>
    <t>A25506-2935</t>
  </si>
  <si>
    <t>3,800.00 MXN</t>
  </si>
  <si>
    <t>A25506-2240</t>
  </si>
  <si>
    <t>MARLENNE ADILENNE RAMOS GUTIERREZ</t>
  </si>
  <si>
    <t>1,056.00 MXN</t>
  </si>
  <si>
    <t>MEXICO - SONORA - PUERTO PENASCO</t>
  </si>
  <si>
    <t>A25506-2239</t>
  </si>
  <si>
    <t>CECILIA ARACELY GONZALEZ BUSTOS</t>
  </si>
  <si>
    <t>A25506-2238</t>
  </si>
  <si>
    <t>1,584.00 MXN</t>
  </si>
  <si>
    <t>A25506-1824</t>
  </si>
  <si>
    <t>1,845.00 MXN</t>
  </si>
  <si>
    <t>A25506-1679</t>
  </si>
  <si>
    <t>A25506-2413</t>
  </si>
  <si>
    <t>DAVID SILVA GOMEZ</t>
  </si>
  <si>
    <t>MARIA FELIX RUIZ GOMEZ</t>
  </si>
  <si>
    <t>1,389.00 USD</t>
  </si>
  <si>
    <t>25,002.00 MXN</t>
  </si>
  <si>
    <t>A25506-2030</t>
  </si>
  <si>
    <t>MA BELEN SILVA GOMEZ</t>
  </si>
  <si>
    <t>6,147.20 MXN</t>
  </si>
  <si>
    <t>A25506-1977</t>
  </si>
  <si>
    <t>ADRIANA TOVAR SILVA</t>
  </si>
  <si>
    <t>6,154.00 MXN</t>
  </si>
  <si>
    <t>A25506-2133</t>
  </si>
  <si>
    <t>DAYANA DUARTE DUARTE</t>
  </si>
  <si>
    <t>ROSA AMANDA DAVILA HUETE</t>
  </si>
  <si>
    <t>BANPRO</t>
  </si>
  <si>
    <t>NICARAGUA - MATAGALPA - MATAGALPA</t>
  </si>
  <si>
    <t>A25506-2819</t>
  </si>
  <si>
    <t>DAYANA MARTINEZ PEREZ</t>
  </si>
  <si>
    <t>LUISA AMANDA PEREZ SOTO</t>
  </si>
  <si>
    <t>730.00 USD</t>
  </si>
  <si>
    <t>5,621.00 GTQ</t>
  </si>
  <si>
    <t>A25506-2141</t>
  </si>
  <si>
    <t>DELFINO RODRIGUEZ CORONADO</t>
  </si>
  <si>
    <t>CINTHIA SARAHI ORTIZ MENDEZ</t>
  </si>
  <si>
    <t>1,074.60 MXN</t>
  </si>
  <si>
    <t>MEXICO - SAN LUIS POTOSI - MATEHUALA</t>
  </si>
  <si>
    <t>A25506-2140</t>
  </si>
  <si>
    <t>A25506-6822</t>
  </si>
  <si>
    <t>811.20 MXN</t>
  </si>
  <si>
    <t>A25506-6648</t>
  </si>
  <si>
    <t>A25506-3190</t>
  </si>
  <si>
    <t>DELMER RAUL GOLON MONTOYA</t>
  </si>
  <si>
    <t>SALIA DEL MILAGRO MONTOYA</t>
  </si>
  <si>
    <t>17,332.00 HNL</t>
  </si>
  <si>
    <t>A25506-2873</t>
  </si>
  <si>
    <t>LUIS ALBERTO CORRALES LOZANO</t>
  </si>
  <si>
    <t>2,272.40 HNL</t>
  </si>
  <si>
    <t>A25506-2747</t>
  </si>
  <si>
    <t>A25506-2624</t>
  </si>
  <si>
    <t>12,122.60 HNL</t>
  </si>
  <si>
    <t>A25506-2554</t>
  </si>
  <si>
    <t>6,182.50 HNL</t>
  </si>
  <si>
    <t>A25506-2425</t>
  </si>
  <si>
    <t>392.00 USD</t>
  </si>
  <si>
    <t>9,698.08 HNL</t>
  </si>
  <si>
    <t>A25506-6811</t>
  </si>
  <si>
    <t>DENIA GUIFARRO</t>
  </si>
  <si>
    <t>ANGELICA MAYLIN MATUTE MENA</t>
  </si>
  <si>
    <t>2,353.36 HNL</t>
  </si>
  <si>
    <t>A25506-6818</t>
  </si>
  <si>
    <t>DENIS JOEL AMADOR</t>
  </si>
  <si>
    <t>JOSE LEONARDO AMADOR GODOY</t>
  </si>
  <si>
    <t>3,837.00 HNL</t>
  </si>
  <si>
    <t>A25506-6817</t>
  </si>
  <si>
    <t>KARLA JESSENIA AVILA LOPEZ</t>
  </si>
  <si>
    <t>A25506-7733</t>
  </si>
  <si>
    <t>3,586.80 HNL</t>
  </si>
  <si>
    <t>A25506-3102</t>
  </si>
  <si>
    <t>DIANA MORALES FAUDOA</t>
  </si>
  <si>
    <t>MIRIAM HERNANDEZ SANCHEZ</t>
  </si>
  <si>
    <t>127.35 USD</t>
  </si>
  <si>
    <t>2,499.88 MXN</t>
  </si>
  <si>
    <t>A25506-2672</t>
  </si>
  <si>
    <t>JOSEFINA FAUDOA SALCIDO</t>
  </si>
  <si>
    <t>155.00 USD</t>
  </si>
  <si>
    <t>3,022.50 MXN</t>
  </si>
  <si>
    <t>MEXICO - CHIHUAHUA - VALLE DE ZARAGOZA</t>
  </si>
  <si>
    <t>A25506-2671</t>
  </si>
  <si>
    <t>ERISELDA MORALES ALVIDREZ</t>
  </si>
  <si>
    <t>205.65 USD</t>
  </si>
  <si>
    <t>3,999.89 MXN</t>
  </si>
  <si>
    <t>A25506-2569</t>
  </si>
  <si>
    <t>JOSE LUIS MORALES FAUDOA</t>
  </si>
  <si>
    <t>2,090.00 MXN</t>
  </si>
  <si>
    <t>A25506-1448</t>
  </si>
  <si>
    <t>241.69 USD</t>
  </si>
  <si>
    <t>3,999.97 MXN</t>
  </si>
  <si>
    <t>A25506-7848</t>
  </si>
  <si>
    <t>DANNA PAOLA GUTIERREZ SERNA</t>
  </si>
  <si>
    <t>2,044.00 MXN</t>
  </si>
  <si>
    <t>A25506-3433</t>
  </si>
  <si>
    <t>DIEGO ARMANDO RAMIREZ VALDEZ</t>
  </si>
  <si>
    <t>MICAELA TENO CERVANTES</t>
  </si>
  <si>
    <t>3,840.00 MXN</t>
  </si>
  <si>
    <t>MEXICO - GUANAJUATO - SAN MIGUEL ALLENDE</t>
  </si>
  <si>
    <t>A25506-3140</t>
  </si>
  <si>
    <t>2,967.00 MXN</t>
  </si>
  <si>
    <t>A25506-2983</t>
  </si>
  <si>
    <t>2,854.50 MXN</t>
  </si>
  <si>
    <t>A25506-2708</t>
  </si>
  <si>
    <t>MARTHA EDITH RAMIREZ VALDEZ</t>
  </si>
  <si>
    <t>3,760.00 MXN</t>
  </si>
  <si>
    <t>A25506-1485</t>
  </si>
  <si>
    <t>2,503.50 MXN</t>
  </si>
  <si>
    <t>A25506-6834</t>
  </si>
  <si>
    <t>A25506-7480</t>
  </si>
  <si>
    <t>7,000.00 MXN</t>
  </si>
  <si>
    <t>A25506-2292</t>
  </si>
  <si>
    <t>DIEGO DIAZ</t>
  </si>
  <si>
    <t>ANA ISABEL VAZQUEZ UZARRAGA</t>
  </si>
  <si>
    <t>1,770.00 MXN</t>
  </si>
  <si>
    <t>MEXICO - DURANGO - NOMBRE DE DIOS</t>
  </si>
  <si>
    <t>A25506-2438</t>
  </si>
  <si>
    <t>DIEGO HERNANDEZ GARCIA</t>
  </si>
  <si>
    <t>PAOLA SORAIDA HERNANDEZ GARCIA</t>
  </si>
  <si>
    <t>9,050.00 MXN</t>
  </si>
  <si>
    <t>MEXICO - TAMAULIPAS - REYNOSA</t>
  </si>
  <si>
    <t>A25506-7700</t>
  </si>
  <si>
    <t>DIEGO MACIAS GUARDADO</t>
  </si>
  <si>
    <t>SAYRA ADRIANA MACIAS GUARDADO</t>
  </si>
  <si>
    <t>17,443.50 MXN</t>
  </si>
  <si>
    <t>A25506-8688</t>
  </si>
  <si>
    <t>DIEGO OLIVERA MEDINA</t>
  </si>
  <si>
    <t>ANA LAURA OLVERA MEDINA</t>
  </si>
  <si>
    <t>1,950.00 MXN</t>
  </si>
  <si>
    <t>A25506-8687</t>
  </si>
  <si>
    <t>ISABEL SANCHEZ ESTELA</t>
  </si>
  <si>
    <t>3,900.00 MXN</t>
  </si>
  <si>
    <t>A25506-3341</t>
  </si>
  <si>
    <t>DIEGO PALAFOX HORNELAS</t>
  </si>
  <si>
    <t>ESTEFANNY HERNANDEZ TOBON</t>
  </si>
  <si>
    <t>365.00 USD</t>
  </si>
  <si>
    <t>7,008.00 MXN</t>
  </si>
  <si>
    <t>A25506-3146</t>
  </si>
  <si>
    <t>535.00 USD</t>
  </si>
  <si>
    <t>10,544.85 MXN</t>
  </si>
  <si>
    <t>A25506-6729</t>
  </si>
  <si>
    <t>DIEGO TULUL TZEP</t>
  </si>
  <si>
    <t>MANUELA TULUL TZEP</t>
  </si>
  <si>
    <t>5,390.00 GTQ</t>
  </si>
  <si>
    <t>GUATEMALA - SOLOLA - SOLOLA</t>
  </si>
  <si>
    <t>A25506-6728</t>
  </si>
  <si>
    <t>DIEGO TULUL TZOC</t>
  </si>
  <si>
    <t>MANUELA TULUL TZOC</t>
  </si>
  <si>
    <t>A25506-6784</t>
  </si>
  <si>
    <t>DIRK GERARDO CHIM PLEYTEZ</t>
  </si>
  <si>
    <t>LISBETH JULISSA CHIM PLEITEZ</t>
  </si>
  <si>
    <t>6,168.00 GTQ</t>
  </si>
  <si>
    <t>A25506-1825</t>
  </si>
  <si>
    <t>DOMINGO CRUZ ROMERO</t>
  </si>
  <si>
    <t>AURELIA ROMERO MORA</t>
  </si>
  <si>
    <t>8,967.00 MXN</t>
  </si>
  <si>
    <t>MEXICO - MEXICO (ESTADO) - ACULCO</t>
  </si>
  <si>
    <t>A25506-3453</t>
  </si>
  <si>
    <t>DOMINGO RAMOS</t>
  </si>
  <si>
    <t>ELBA XIOMARA SOTO CRUZ</t>
  </si>
  <si>
    <t>A25506-7492</t>
  </si>
  <si>
    <t>SANTOS AGAPITO RAMOS ARTEAGA</t>
  </si>
  <si>
    <t>HONDURAS - CORTES - SANTA CRUZ DE YOJOA</t>
  </si>
  <si>
    <t>A25506-7491</t>
  </si>
  <si>
    <t>A25506-7699</t>
  </si>
  <si>
    <t>DOUGLAS RAFAEL FONSECA AGUILAR</t>
  </si>
  <si>
    <t>OLMAN RONALDO SANDOVAL SANCHEZ</t>
  </si>
  <si>
    <t>929.00 USD</t>
  </si>
  <si>
    <t>23,782.40 HNL</t>
  </si>
  <si>
    <t>A25506-7471</t>
  </si>
  <si>
    <t>ERIKA SELENIA TORRES MARTINEZ</t>
  </si>
  <si>
    <t>A25506-8291</t>
  </si>
  <si>
    <t>IDANIA YOLIBETH LOPEZ MEJIA</t>
  </si>
  <si>
    <t>1,331.72 HNL</t>
  </si>
  <si>
    <t>A25506-8290</t>
  </si>
  <si>
    <t>1,066.00 USD</t>
  </si>
  <si>
    <t>27,300.26 HNL</t>
  </si>
  <si>
    <t>HONDURAS - OLANCHO - CATACAMAS</t>
  </si>
  <si>
    <t>A25506-1537</t>
  </si>
  <si>
    <t>EBIGAEL RUBIO YANEZ</t>
  </si>
  <si>
    <t>YENNIFER DENISE GARCIA ISLAS</t>
  </si>
  <si>
    <t>41,300.00 MXN</t>
  </si>
  <si>
    <t>MEXICO - JALISCO - TOTOTLAN</t>
  </si>
  <si>
    <t>A25506-7544</t>
  </si>
  <si>
    <t>EDDY PATZAN</t>
  </si>
  <si>
    <t>MARIA ROSA XETEY CHALI DE XETEY</t>
  </si>
  <si>
    <t>3,076.00 GTQ</t>
  </si>
  <si>
    <t>GUATEMALA - CHIMALTENANGO - PARRAMOS</t>
  </si>
  <si>
    <t>A25506-3213</t>
  </si>
  <si>
    <t>EDER MEDINA PERALES</t>
  </si>
  <si>
    <t>EFREN LEONEL MEDINA PERALES</t>
  </si>
  <si>
    <t>407.00 USD</t>
  </si>
  <si>
    <t>8,017.90 MXN</t>
  </si>
  <si>
    <t>MEXICO - COAHUILA - FRANCISCO I MADERO</t>
  </si>
  <si>
    <t>A25506-3212</t>
  </si>
  <si>
    <t>JENIFER RODRIGUEZ HERNANDEZ</t>
  </si>
  <si>
    <t>203.04 USD</t>
  </si>
  <si>
    <t>A25506-2102</t>
  </si>
  <si>
    <t>3,600.00 MXN</t>
  </si>
  <si>
    <t>A25506-2014</t>
  </si>
  <si>
    <t>3,440.90 MXN</t>
  </si>
  <si>
    <t>A25506-1982</t>
  </si>
  <si>
    <t>4,021.60 MXN</t>
  </si>
  <si>
    <t>A25506-1981</t>
  </si>
  <si>
    <t>165.00 USD</t>
  </si>
  <si>
    <t>3,016.20 MXN</t>
  </si>
  <si>
    <t>A25506-1896</t>
  </si>
  <si>
    <t>195.00 USD</t>
  </si>
  <si>
    <t>3,519.75 MXN</t>
  </si>
  <si>
    <t>A25506-1895</t>
  </si>
  <si>
    <t>222.00 USD</t>
  </si>
  <si>
    <t>4,007.10 MXN</t>
  </si>
  <si>
    <t>A25506-1797</t>
  </si>
  <si>
    <t>138.00 USD</t>
  </si>
  <si>
    <t>2,511.60 MXN</t>
  </si>
  <si>
    <t>A25506-1796</t>
  </si>
  <si>
    <t>6,006.00 MXN</t>
  </si>
  <si>
    <t>A25506-1724</t>
  </si>
  <si>
    <t>1,808.00 MXN</t>
  </si>
  <si>
    <t>A25506-1690</t>
  </si>
  <si>
    <t>3,026.00 MXN</t>
  </si>
  <si>
    <t>A25506-1515</t>
  </si>
  <si>
    <t>163.00 USD</t>
  </si>
  <si>
    <t>2,705.80 MXN</t>
  </si>
  <si>
    <t>A25506-7740</t>
  </si>
  <si>
    <t>325.00 USD</t>
  </si>
  <si>
    <t>6,522.75 MXN</t>
  </si>
  <si>
    <t>A25506-8693</t>
  </si>
  <si>
    <t>78.00 USD</t>
  </si>
  <si>
    <t>1,513.20 MXN</t>
  </si>
  <si>
    <t>A25506-8692</t>
  </si>
  <si>
    <t>5,005.20 MXN</t>
  </si>
  <si>
    <t>A25506-8235</t>
  </si>
  <si>
    <t>KARLA LIZETH LOPEZ ISAIS</t>
  </si>
  <si>
    <t>1,005.00 MXN</t>
  </si>
  <si>
    <t>A25506-8234</t>
  </si>
  <si>
    <t>1,507.50 MXN</t>
  </si>
  <si>
    <t>A25506-8233</t>
  </si>
  <si>
    <t>A25506-2812</t>
  </si>
  <si>
    <t>EDGAR DANIEL SOTO RUBALCABA</t>
  </si>
  <si>
    <t>AARON HIDALGO GARCIA</t>
  </si>
  <si>
    <t>810.00 USD</t>
  </si>
  <si>
    <t>15,033.60 MXN</t>
  </si>
  <si>
    <t>A25506-2537</t>
  </si>
  <si>
    <t>VALERIA NOHEMI BURGUETE</t>
  </si>
  <si>
    <t>6,627.60 MXN</t>
  </si>
  <si>
    <t>A25506-2536</t>
  </si>
  <si>
    <t>FERNANDO HERNANDEZ FIGUEROA</t>
  </si>
  <si>
    <t>7,360.00 MXN</t>
  </si>
  <si>
    <t>A25506-2028</t>
  </si>
  <si>
    <t>JULIO CESAR PEREZ DIAZ</t>
  </si>
  <si>
    <t>555.00 USD</t>
  </si>
  <si>
    <t>10,034.40 MXN</t>
  </si>
  <si>
    <t>A25506-1636</t>
  </si>
  <si>
    <t>DIEGO LEONEL ARGUELLO ESCANDON</t>
  </si>
  <si>
    <t>1,024.00 USD</t>
  </si>
  <si>
    <t>18,001.92 MXN</t>
  </si>
  <si>
    <t>A25506-7762</t>
  </si>
  <si>
    <t>EDGAR ESTIVENSSON BARAHONA YANES</t>
  </si>
  <si>
    <t>GREYS ROGELIA YANES BONILLA DE BARAHONA</t>
  </si>
  <si>
    <t>GUATEMALA - ESCUINTLA - NUEVA CONCEPCION</t>
  </si>
  <si>
    <t>A25506-2758</t>
  </si>
  <si>
    <t>EDGAR GEOVANI CHAVEZ VALLE</t>
  </si>
  <si>
    <t>YURI AMADELIS OROZCO DAMACIO DE CHAVEZ</t>
  </si>
  <si>
    <t>702.00 GTQ</t>
  </si>
  <si>
    <t>GUATEMALA - SUCHITEPEQUEZ - SANTO DOMINGO SUCHITEPEQUEZ</t>
  </si>
  <si>
    <t>A25506-2716</t>
  </si>
  <si>
    <t>MAGDALENA VALLE CAP DE CHAVEZ</t>
  </si>
  <si>
    <t>1,003.60 GTQ</t>
  </si>
  <si>
    <t>A25506-2532</t>
  </si>
  <si>
    <t>700.20 GTQ</t>
  </si>
  <si>
    <t>A25506-2283</t>
  </si>
  <si>
    <t>A25506-2282</t>
  </si>
  <si>
    <t>A25506-1741</t>
  </si>
  <si>
    <t>A25506-1578</t>
  </si>
  <si>
    <t>ALFREDO GOMEZ DE LEON</t>
  </si>
  <si>
    <t>A25506-6909</t>
  </si>
  <si>
    <t>A25506-7746</t>
  </si>
  <si>
    <t>A25506-7533</t>
  </si>
  <si>
    <t>707.48 GTQ</t>
  </si>
  <si>
    <t>A25506-7465</t>
  </si>
  <si>
    <t>864.64 GTQ</t>
  </si>
  <si>
    <t>A25506-8798</t>
  </si>
  <si>
    <t>705.64 GTQ</t>
  </si>
  <si>
    <t>A25506-8797</t>
  </si>
  <si>
    <t>A25506-1769</t>
  </si>
  <si>
    <t>EDGAR HORACIO MENCHACA HERNANDEZ</t>
  </si>
  <si>
    <t>MARINA POSADA BENAVIDES</t>
  </si>
  <si>
    <t>2,583.00 MXN</t>
  </si>
  <si>
    <t>MEXICO - ZACATECAS - FRESNILLO</t>
  </si>
  <si>
    <t>A25506-1469</t>
  </si>
  <si>
    <t>833.50 MXN</t>
  </si>
  <si>
    <t>A25506-6768</t>
  </si>
  <si>
    <t>ALFONSO MENCHACA ORTIZ</t>
  </si>
  <si>
    <t>A25506-7478</t>
  </si>
  <si>
    <t>DELFINO SALAZAR MARTINEZ</t>
  </si>
  <si>
    <t>125.00 USD</t>
  </si>
  <si>
    <t>2,500.00 MXN</t>
  </si>
  <si>
    <t>A25506-7477</t>
  </si>
  <si>
    <t>J JESUS SAUCEDO CASTILLO</t>
  </si>
  <si>
    <t>3,000.00 MXN</t>
  </si>
  <si>
    <t>A25506-7476</t>
  </si>
  <si>
    <t>A25506-7475</t>
  </si>
  <si>
    <t>A25506-7726</t>
  </si>
  <si>
    <t>EDGAR RODOLFO SAQUIL CHOC</t>
  </si>
  <si>
    <t>FLOR DE MARIA TAJTAJ ARENALES</t>
  </si>
  <si>
    <t>20.00 USD</t>
  </si>
  <si>
    <t>154.00 GTQ</t>
  </si>
  <si>
    <t>A25506-7896</t>
  </si>
  <si>
    <t>LEMZI MARIZOL TAJTAJ ARENALES</t>
  </si>
  <si>
    <t>464.40 GTQ</t>
  </si>
  <si>
    <t>A25506-1756</t>
  </si>
  <si>
    <t>EDMAR TAPIA MALDONADO</t>
  </si>
  <si>
    <t>18,250.00 MXN</t>
  </si>
  <si>
    <t>MEXICO - MORELOS - EMILIANO ZAPATA</t>
  </si>
  <si>
    <t>A25506-2101</t>
  </si>
  <si>
    <t>EDRAS RAMIREZ SANCHEZ</t>
  </si>
  <si>
    <t>MARIA ROSALBINA SANCHEZ LOPEZ</t>
  </si>
  <si>
    <t>2,235.90 GTQ</t>
  </si>
  <si>
    <t>GUATEMALA - JUTIAPA - ASUNCION MITA</t>
  </si>
  <si>
    <t>A25506-6753</t>
  </si>
  <si>
    <t>192.00 USD</t>
  </si>
  <si>
    <t>1,476.48 GTQ</t>
  </si>
  <si>
    <t>A25506-8288</t>
  </si>
  <si>
    <t>3,018.40 GTQ</t>
  </si>
  <si>
    <t>A25506-2273</t>
  </si>
  <si>
    <t>EDUARDO BONIFACIO RAMIREZ RIVAS</t>
  </si>
  <si>
    <t>DANIEL MEJIA ZAVALA</t>
  </si>
  <si>
    <t>A25506-1464</t>
  </si>
  <si>
    <t>24,780.00 MXN</t>
  </si>
  <si>
    <t>A25506-7708</t>
  </si>
  <si>
    <t>EDUARDO FLORES CORDOVA</t>
  </si>
  <si>
    <t>JUANA ELIZABETH ZUNIGA OCHOA</t>
  </si>
  <si>
    <t>6,060.00 MXN</t>
  </si>
  <si>
    <t>MEXICO - ZACATECAS - RIO GRANDE</t>
  </si>
  <si>
    <t>A25506-8709</t>
  </si>
  <si>
    <t>4,485.00 MXN</t>
  </si>
  <si>
    <t>A25506-6804</t>
  </si>
  <si>
    <t>EDUARDO OLGUIN RODRIGUEZ</t>
  </si>
  <si>
    <t>ARELY OLGUIN LIRA</t>
  </si>
  <si>
    <t>TIENDAS WALDOS</t>
  </si>
  <si>
    <t>MEXICO - ZACATECAS - JUAN ALDAMA</t>
  </si>
  <si>
    <t>A25506-6672</t>
  </si>
  <si>
    <t>A25506-7739</t>
  </si>
  <si>
    <t>2,007.00 MXN</t>
  </si>
  <si>
    <t>A25506-8219</t>
  </si>
  <si>
    <t>2,814.00 MXN</t>
  </si>
  <si>
    <t>A25506-7897</t>
  </si>
  <si>
    <t>993.50 MXN</t>
  </si>
  <si>
    <t>A25506-8324</t>
  </si>
  <si>
    <t>EDUARDO QUEVEDO CHAVEZ</t>
  </si>
  <si>
    <t>MA GUADALUPE VIERA MOLINA</t>
  </si>
  <si>
    <t>19,619.60 MXN</t>
  </si>
  <si>
    <t>MEXICO - SAN LUIS POTOSI - CEDRAL</t>
  </si>
  <si>
    <t>A25506-7774</t>
  </si>
  <si>
    <t>EDUARDO SOTO RAMOS</t>
  </si>
  <si>
    <t>CRUZ ELENA SOTO RAMOS</t>
  </si>
  <si>
    <t>A25506-7763</t>
  </si>
  <si>
    <t>EDUARDO ZAVALA HERNANDEZ</t>
  </si>
  <si>
    <t>EDITH GABRIELA RIVERA PADRON</t>
  </si>
  <si>
    <t>A25506-2517</t>
  </si>
  <si>
    <t>EDWIN DIONICIO FUENTES</t>
  </si>
  <si>
    <t>CEFERINO RENE FUENTES RAMOS</t>
  </si>
  <si>
    <t>6,160.00 GTQ</t>
  </si>
  <si>
    <t>GUATEMALA - SAN MARCOS - CATARINA</t>
  </si>
  <si>
    <t>A25506-2775</t>
  </si>
  <si>
    <t>EDWIN MELENDEZ PATINO</t>
  </si>
  <si>
    <t>MARIELA CRUZ MIRANDA</t>
  </si>
  <si>
    <t>9,310.00 MXN</t>
  </si>
  <si>
    <t>MEXICO - MEXICO D.F. - MEXICO D.F.</t>
  </si>
  <si>
    <t>A25506-2574</t>
  </si>
  <si>
    <t>10,395.00 MXN</t>
  </si>
  <si>
    <t>A25506-6788</t>
  </si>
  <si>
    <t>2,025.00 MXN</t>
  </si>
  <si>
    <t>A25506-6651</t>
  </si>
  <si>
    <t>1,009.50 MXN</t>
  </si>
  <si>
    <t>A25506-7495</t>
  </si>
  <si>
    <t>A25506-8680</t>
  </si>
  <si>
    <t>690.00 USD</t>
  </si>
  <si>
    <t>13,434.30 MXN</t>
  </si>
  <si>
    <t>A25506-7890</t>
  </si>
  <si>
    <t>EDWIN STEEVEN QUINTANA CHET</t>
  </si>
  <si>
    <t>RUTH NOEMI QUINTANA CHET</t>
  </si>
  <si>
    <t>709.32 GTQ</t>
  </si>
  <si>
    <t>A25506-3380</t>
  </si>
  <si>
    <t>EDWIN YOBANY MARTINEZ GOMEZ</t>
  </si>
  <si>
    <t>JESUS MARTINEZ LOPEZ</t>
  </si>
  <si>
    <t>9,916.00 HNL</t>
  </si>
  <si>
    <t>HONDURAS - INTIBUCA - SAN JUAN</t>
  </si>
  <si>
    <t>A25506-2833</t>
  </si>
  <si>
    <t>A25506-2733</t>
  </si>
  <si>
    <t>22,167.00 HNL</t>
  </si>
  <si>
    <t>A25506-2483</t>
  </si>
  <si>
    <t>9,880.00 HNL</t>
  </si>
  <si>
    <t>A25506-2119</t>
  </si>
  <si>
    <t>19,513.00 HNL</t>
  </si>
  <si>
    <t>A25506-2031</t>
  </si>
  <si>
    <t>815.00 USD</t>
  </si>
  <si>
    <t>20,008.25 HNL</t>
  </si>
  <si>
    <t>A25506-1830</t>
  </si>
  <si>
    <t>A25506-1829</t>
  </si>
  <si>
    <t>1,088.00 USD</t>
  </si>
  <si>
    <t>26,873.60 HNL</t>
  </si>
  <si>
    <t>A25506-1557</t>
  </si>
  <si>
    <t>813.00 USD</t>
  </si>
  <si>
    <t>19,999.80 HNL</t>
  </si>
  <si>
    <t>A25506-7701</t>
  </si>
  <si>
    <t>EFRAIN ASTUL CRUZ AMADOR</t>
  </si>
  <si>
    <t>KENIA ROXANA ROMERO RAMIREZ</t>
  </si>
  <si>
    <t>3,843.00 HNL</t>
  </si>
  <si>
    <t>A25506-3254</t>
  </si>
  <si>
    <t>ELEAZAR DELGADO</t>
  </si>
  <si>
    <t>PAULINA PENELEU CRUZ</t>
  </si>
  <si>
    <t>MEXICO - BAJA CALIFORNIA SUR - BAHIA ASUNCION</t>
  </si>
  <si>
    <t>A25506-3070</t>
  </si>
  <si>
    <t>ELEAZAR ZUNIGA DIAZ</t>
  </si>
  <si>
    <t>ROSA MARIA BAUTISTA GONZALEZ</t>
  </si>
  <si>
    <t>4,875.00 MXN</t>
  </si>
  <si>
    <t>MEXICO - SAN LUIS POTOSI - RIOVERDE</t>
  </si>
  <si>
    <t>A25506-2603</t>
  </si>
  <si>
    <t>4,725.00 MXN</t>
  </si>
  <si>
    <t>A25506-2361</t>
  </si>
  <si>
    <t>260.00 USD</t>
  </si>
  <si>
    <t>4,628.00 MXN</t>
  </si>
  <si>
    <t>A25506-2105</t>
  </si>
  <si>
    <t>5,191.00 MXN</t>
  </si>
  <si>
    <t>A25506-1992</t>
  </si>
  <si>
    <t>3,620.00 MXN</t>
  </si>
  <si>
    <t>A25506-1931</t>
  </si>
  <si>
    <t>3,602.00 MXN</t>
  </si>
  <si>
    <t>A25506-1610</t>
  </si>
  <si>
    <t>4,235.00 MXN</t>
  </si>
  <si>
    <t>A25506-7770</t>
  </si>
  <si>
    <t>4,022.00 MXN</t>
  </si>
  <si>
    <t>A25506-8269</t>
  </si>
  <si>
    <t>REYNALDO DOROTEO TORRES ESPINOZA</t>
  </si>
  <si>
    <t>3,822.80 MXN</t>
  </si>
  <si>
    <t>A25506-8268</t>
  </si>
  <si>
    <t>270.00 USD</t>
  </si>
  <si>
    <t>5,432.40 MXN</t>
  </si>
  <si>
    <t>A25506-8775</t>
  </si>
  <si>
    <t>ELIAS ALCALA CHAVEZ</t>
  </si>
  <si>
    <t>EMANUEL GARCIA GARCIA</t>
  </si>
  <si>
    <t>A25506-2148</t>
  </si>
  <si>
    <t>ELIAZAR HUMBERTO NAVAS</t>
  </si>
  <si>
    <t>MARIA DE JESUS NAVAS RECINOS</t>
  </si>
  <si>
    <t>501.80 GTQ</t>
  </si>
  <si>
    <t>A25506-2330</t>
  </si>
  <si>
    <t>ELIDA LUZ OCHOA CARDONA</t>
  </si>
  <si>
    <t>CRISTOFER DANIEL PEREZ MORALES</t>
  </si>
  <si>
    <t>34,700.00 MXN</t>
  </si>
  <si>
    <t>MEXICO - CHIAPAS - SAN CRISTOBAL DE LAS CASAS</t>
  </si>
  <si>
    <t>A25506-3094</t>
  </si>
  <si>
    <t>ELISA CANTU RODRIGUEZ</t>
  </si>
  <si>
    <t>ELIZABETH GUADALUPE GALLEGOS JUAREZ</t>
  </si>
  <si>
    <t>3,882.00 MXN</t>
  </si>
  <si>
    <t>A25506-1814</t>
  </si>
  <si>
    <t>ELIZABETH RAMIREZ ORTIZ</t>
  </si>
  <si>
    <t>GERARDO DUARTE LEMUS</t>
  </si>
  <si>
    <t>728.00 MXN</t>
  </si>
  <si>
    <t>MEXICO - GUANAJUATO - PENJAMO</t>
  </si>
  <si>
    <t>A25506-1542</t>
  </si>
  <si>
    <t>MARIA HERMINIA ORTIZ PEREZ</t>
  </si>
  <si>
    <t>3,300.00 MXN</t>
  </si>
  <si>
    <t>A25506-8736</t>
  </si>
  <si>
    <t>ANA GABRIELA RAMIREZ ORTIZ</t>
  </si>
  <si>
    <t>2,925.00 MXN</t>
  </si>
  <si>
    <t>A25506-2137</t>
  </si>
  <si>
    <t>ELIZABETH ROJAS</t>
  </si>
  <si>
    <t>J MAURO ROJAS CASTILLO</t>
  </si>
  <si>
    <t>A25506-3269</t>
  </si>
  <si>
    <t>ELSY CAROLINA BARRIENTOS VILLA</t>
  </si>
  <si>
    <t>HAYDE VILLA NAVARRO</t>
  </si>
  <si>
    <t>5,883.00 MXN</t>
  </si>
  <si>
    <t>MEXICO - MEXICO (ESTADO) - ACOLMAN</t>
  </si>
  <si>
    <t>A25506-3126</t>
  </si>
  <si>
    <t>LIBNY PRISCILA GOMEZ MARTINEZ</t>
  </si>
  <si>
    <t>4,531.20 GTQ</t>
  </si>
  <si>
    <t>GUATEMALA - HUEHUETENANGO - NENTON</t>
  </si>
  <si>
    <t>A25506-2434</t>
  </si>
  <si>
    <t>495.00 USD</t>
  </si>
  <si>
    <t>3,811.50 GTQ</t>
  </si>
  <si>
    <t>A25506-2265</t>
  </si>
  <si>
    <t>7,040.00 MXN</t>
  </si>
  <si>
    <t>A25506-1928</t>
  </si>
  <si>
    <t>MARTHA MIRANDA MORALES</t>
  </si>
  <si>
    <t>MEXICO - GUERRERO - EL OCOTITO</t>
  </si>
  <si>
    <t>A25506-1637</t>
  </si>
  <si>
    <t>26,100.00 MXN</t>
  </si>
  <si>
    <t>A25506-1564</t>
  </si>
  <si>
    <t>452.00 USD</t>
  </si>
  <si>
    <t>3,507.52 GTQ</t>
  </si>
  <si>
    <t>A25506-1458</t>
  </si>
  <si>
    <t>ALBERTO JIMENEZ ROMERO</t>
  </si>
  <si>
    <t>1,212.00 USD</t>
  </si>
  <si>
    <t>19,973.76 MXN</t>
  </si>
  <si>
    <t>A25506-6754</t>
  </si>
  <si>
    <t>662.00 USD</t>
  </si>
  <si>
    <t>13,405.50 MXN</t>
  </si>
  <si>
    <t>A25506-8794</t>
  </si>
  <si>
    <t>840.00 USD</t>
  </si>
  <si>
    <t>6,442.80 GTQ</t>
  </si>
  <si>
    <t>A25506-3407</t>
  </si>
  <si>
    <t>EMMANUEL ANGELES BOLANOS</t>
  </si>
  <si>
    <t>MARIA DE LA LUZ ANGELES BOLANOS</t>
  </si>
  <si>
    <t>MEXICO - QUERETARO - SAN JUAN DEL RIO</t>
  </si>
  <si>
    <t>A25506-3406</t>
  </si>
  <si>
    <t>ESTHER LORANI LOPEZ VILLEDA</t>
  </si>
  <si>
    <t>3,264.00 MXN</t>
  </si>
  <si>
    <t>A25506-3153</t>
  </si>
  <si>
    <t>231.00 USD</t>
  </si>
  <si>
    <t>4,550.70 MXN</t>
  </si>
  <si>
    <t>A25506-3030</t>
  </si>
  <si>
    <t>3,259.20 MXN</t>
  </si>
  <si>
    <t>A25506-2584</t>
  </si>
  <si>
    <t>248.00 USD</t>
  </si>
  <si>
    <t>4,662.40 MXN</t>
  </si>
  <si>
    <t>A25506-2316</t>
  </si>
  <si>
    <t>177.00 USD</t>
  </si>
  <si>
    <t>3,150.60 MXN</t>
  </si>
  <si>
    <t>A25506-2089</t>
  </si>
  <si>
    <t>398.00 USD</t>
  </si>
  <si>
    <t>7,164.00 MXN</t>
  </si>
  <si>
    <t>A25506-1976</t>
  </si>
  <si>
    <t>4,669.80 MXN</t>
  </si>
  <si>
    <t>A25506-1801</t>
  </si>
  <si>
    <t>54.20 USD</t>
  </si>
  <si>
    <t>999.99 MXN</t>
  </si>
  <si>
    <t>A25506-1800</t>
  </si>
  <si>
    <t>128.00 USD</t>
  </si>
  <si>
    <t>2,361.60 MXN</t>
  </si>
  <si>
    <t>A25506-1655</t>
  </si>
  <si>
    <t>289.00 USD</t>
  </si>
  <si>
    <t>5,202.00 MXN</t>
  </si>
  <si>
    <t>A25506-1547</t>
  </si>
  <si>
    <t>1,576.00 USD</t>
  </si>
  <si>
    <t>26,004.00 MXN</t>
  </si>
  <si>
    <t>A25506-6630</t>
  </si>
  <si>
    <t>4,824.00 MXN</t>
  </si>
  <si>
    <t>A25506-2824</t>
  </si>
  <si>
    <t>ENRIQUE ESPINOZA VALDEZ</t>
  </si>
  <si>
    <t>JUANA ALEJANDRA FAJARDO SILVA</t>
  </si>
  <si>
    <t>928.00 MXN</t>
  </si>
  <si>
    <t>A25506-2823</t>
  </si>
  <si>
    <t>AIDE RAMOS GARCIA</t>
  </si>
  <si>
    <t>11,130.00 MXN</t>
  </si>
  <si>
    <t>A25506-2675</t>
  </si>
  <si>
    <t>EPIFANIO LOPEZ PEREZ</t>
  </si>
  <si>
    <t>GLORIA MARTINEZ RAMOS</t>
  </si>
  <si>
    <t>1,605.00 USD</t>
  </si>
  <si>
    <t>30,029.55 MXN</t>
  </si>
  <si>
    <t>A25506-2545</t>
  </si>
  <si>
    <t>379.00 USD</t>
  </si>
  <si>
    <t>7,011.50 MXN</t>
  </si>
  <si>
    <t>A25506-2062</t>
  </si>
  <si>
    <t>3,510.00 MXN</t>
  </si>
  <si>
    <t>A25506-6835</t>
  </si>
  <si>
    <t>GLORIA JOANNA MATA MARTINEZ</t>
  </si>
  <si>
    <t>A25506-6690</t>
  </si>
  <si>
    <t>4,038.00 MXN</t>
  </si>
  <si>
    <t>A25506-7830</t>
  </si>
  <si>
    <t>4,221.00 MXN</t>
  </si>
  <si>
    <t>A25506-7891</t>
  </si>
  <si>
    <t>ERACLIO TORRES</t>
  </si>
  <si>
    <t>MARIA GUADALUPE GOMEZ MARTINEZ</t>
  </si>
  <si>
    <t>9,850.00 MXN</t>
  </si>
  <si>
    <t>A25506-3280</t>
  </si>
  <si>
    <t>ERICK FERNANDO MARTTINEZ</t>
  </si>
  <si>
    <t>WENDY MARILU MARTINEZ CASTELLANOS</t>
  </si>
  <si>
    <t>3,715.50 HNL</t>
  </si>
  <si>
    <t>A25506-2375</t>
  </si>
  <si>
    <t>9,896.00 HNL</t>
  </si>
  <si>
    <t>A25506-3299</t>
  </si>
  <si>
    <t>ERICK GUTIERREZ MARTINEZ</t>
  </si>
  <si>
    <t>DANIA YURIDIA DOMINGUEZ CARDOSO</t>
  </si>
  <si>
    <t>7,569.90 MXN</t>
  </si>
  <si>
    <t>MEXICO - MEXICO (ESTADO) - EDO. MEXICO</t>
  </si>
  <si>
    <t>A25506-1706</t>
  </si>
  <si>
    <t>113.00 USD</t>
  </si>
  <si>
    <t>2,000.10 MXN</t>
  </si>
  <si>
    <t>A25506-1534</t>
  </si>
  <si>
    <t>120.12 USD</t>
  </si>
  <si>
    <t>2,000.00 MXN</t>
  </si>
  <si>
    <t>A25506-1533</t>
  </si>
  <si>
    <t>ITZEL ANTOLINO COLIN</t>
  </si>
  <si>
    <t>18.00 USD</t>
  </si>
  <si>
    <t>300.06 MXN</t>
  </si>
  <si>
    <t>MEXICO - MEXICO (ESTADO) - TOLUCA</t>
  </si>
  <si>
    <t>A25506-2674</t>
  </si>
  <si>
    <t>ERICK HERNANDEZ RODRIGUEZ</t>
  </si>
  <si>
    <t>JUANA CATALINA CALVILLO SOLANO</t>
  </si>
  <si>
    <t>3,610.00 MXN</t>
  </si>
  <si>
    <t>A25506-2435</t>
  </si>
  <si>
    <t>GERARDO MEJIA ZAVALA</t>
  </si>
  <si>
    <t>14,416.00 MXN</t>
  </si>
  <si>
    <t>A25506-2429</t>
  </si>
  <si>
    <t>10,812.00 MXN</t>
  </si>
  <si>
    <t>A25506-2033</t>
  </si>
  <si>
    <t>JORGE LUIS GUERRERO CALVILLO</t>
  </si>
  <si>
    <t>6,363.00 MXN</t>
  </si>
  <si>
    <t>A25506-1903</t>
  </si>
  <si>
    <t>7,200.00 MXN</t>
  </si>
  <si>
    <t>A25506-1722</t>
  </si>
  <si>
    <t>5,430.00 MXN</t>
  </si>
  <si>
    <t>A25506-7401</t>
  </si>
  <si>
    <t>ERICK MARTINEZ SILVA</t>
  </si>
  <si>
    <t>KARLA OTILIA TORRES SILVA</t>
  </si>
  <si>
    <t>2,584.40 MXN</t>
  </si>
  <si>
    <t>A25506-7400</t>
  </si>
  <si>
    <t>A25506-3381</t>
  </si>
  <si>
    <t>ERICK SANCHEZ ANDRADE</t>
  </si>
  <si>
    <t>17,253.00 MXN</t>
  </si>
  <si>
    <t>A25506-3046</t>
  </si>
  <si>
    <t>1,956.00 MXN</t>
  </si>
  <si>
    <t>A25506-3035</t>
  </si>
  <si>
    <t>A25506-2328</t>
  </si>
  <si>
    <t>MA REINA SANCHEZ</t>
  </si>
  <si>
    <t>15,984.00 MXN</t>
  </si>
  <si>
    <t>A25506-3314</t>
  </si>
  <si>
    <t>ERIK DELGADO GUADARRAMA</t>
  </si>
  <si>
    <t>CANDIDA GUADARRAMA MIRANDA</t>
  </si>
  <si>
    <t>5,754.00 MXN</t>
  </si>
  <si>
    <t>A25506-3155</t>
  </si>
  <si>
    <t>7,880.00 MXN</t>
  </si>
  <si>
    <t>A25506-6761</t>
  </si>
  <si>
    <t>JUANA ROSA ISELA DOMINGUEZ PORTILLO</t>
  </si>
  <si>
    <t>A25506-3186</t>
  </si>
  <si>
    <t>ERIK FERNANDO MARTINEZ</t>
  </si>
  <si>
    <t>520.00 USD</t>
  </si>
  <si>
    <t>12,854.40 HNL</t>
  </si>
  <si>
    <t>A25506-2955</t>
  </si>
  <si>
    <t>A25506-2810</t>
  </si>
  <si>
    <t>24,710.00 HNL</t>
  </si>
  <si>
    <t>A25506-2275</t>
  </si>
  <si>
    <t>14,850.00 HNL</t>
  </si>
  <si>
    <t>A25506-1861</t>
  </si>
  <si>
    <t>12,360.00 HNL</t>
  </si>
  <si>
    <t>A25506-1435</t>
  </si>
  <si>
    <t>12,345.00 HNL</t>
  </si>
  <si>
    <t>A25506-6801</t>
  </si>
  <si>
    <t>12,790.00 HNL</t>
  </si>
  <si>
    <t>A25506-7743</t>
  </si>
  <si>
    <t>15,366.00 HNL</t>
  </si>
  <si>
    <t>A25506-8659</t>
  </si>
  <si>
    <t>12,810.00 HNL</t>
  </si>
  <si>
    <t>A25506-2131</t>
  </si>
  <si>
    <t>ERIK ORLANDO GARCIA MEJIA</t>
  </si>
  <si>
    <t>LUZ ADRIANA SANCHEZ PEREZ</t>
  </si>
  <si>
    <t>2,241.25 MXN</t>
  </si>
  <si>
    <t>A25506-7789</t>
  </si>
  <si>
    <t>ERIKA DINORA ALVARADO CLAROS</t>
  </si>
  <si>
    <t>ERICA MARLENY CLAROS CLAROS</t>
  </si>
  <si>
    <t>14,058.00 HNL</t>
  </si>
  <si>
    <t>HONDURAS - LA PAZ - SANTIAGO PURINGLA</t>
  </si>
  <si>
    <t>A25506-8717</t>
  </si>
  <si>
    <t>ERWIN LEONARDO CAN</t>
  </si>
  <si>
    <t>SINDY PAOLA ZAMORA GARCIA</t>
  </si>
  <si>
    <t>1,075.20 GTQ</t>
  </si>
  <si>
    <t>GUATEMALA - CHIMALTENANGO - CHIMALTENANGO</t>
  </si>
  <si>
    <t>A25506-8668</t>
  </si>
  <si>
    <t>2,304.00 GTQ</t>
  </si>
  <si>
    <t>A25506-8342</t>
  </si>
  <si>
    <t>400.92 GTQ</t>
  </si>
  <si>
    <t>A25506-8298</t>
  </si>
  <si>
    <t>LESBI YRENE OLIVA RIQUIAC</t>
  </si>
  <si>
    <t>30.00 USD</t>
  </si>
  <si>
    <t>231.60 GTQ</t>
  </si>
  <si>
    <t>A25506-2784</t>
  </si>
  <si>
    <t>ESMERAI ORTIZ</t>
  </si>
  <si>
    <t>MARIBEL ORTIZ MAZA</t>
  </si>
  <si>
    <t>46,250.00 MXN</t>
  </si>
  <si>
    <t>A25506-1858</t>
  </si>
  <si>
    <t>SILVIA PRIETO MOLINA</t>
  </si>
  <si>
    <t>21,660.00 MXN</t>
  </si>
  <si>
    <t>MEXICO - HIDALGO - IXMIQUILPAN</t>
  </si>
  <si>
    <t>A25506-1856</t>
  </si>
  <si>
    <t>21,720.00 MXN</t>
  </si>
  <si>
    <t>A25506-1748</t>
  </si>
  <si>
    <t>JOSE ORTIZ RAMIREZ</t>
  </si>
  <si>
    <t>36,600.00 MXN</t>
  </si>
  <si>
    <t>A25506-3306</t>
  </si>
  <si>
    <t>ESMERALDA QUINTANILLA</t>
  </si>
  <si>
    <t>MARIA ESTER HERNANDEZ RODRIGUEZ</t>
  </si>
  <si>
    <t>2,279.76 HNL</t>
  </si>
  <si>
    <t>A25506-2906</t>
  </si>
  <si>
    <t>PETRONILA QUINTANILLA</t>
  </si>
  <si>
    <t>14,596.60 HNL</t>
  </si>
  <si>
    <t>A25506-7754</t>
  </si>
  <si>
    <t>ESTEBAN SALINAS TELLO</t>
  </si>
  <si>
    <t>DAVID ESTEBAN SALINAS COVARRUBIAS</t>
  </si>
  <si>
    <t>MEXICO - SAN LUIS POTOSI - CD VALLES</t>
  </si>
  <si>
    <t>A25506-1883</t>
  </si>
  <si>
    <t>ESTHER ESQUIVEL RODRIGUEZ</t>
  </si>
  <si>
    <t>MARISA MARTINEZ SANCHEZ</t>
  </si>
  <si>
    <t>36,180.00 MXN</t>
  </si>
  <si>
    <t>A25506-3160</t>
  </si>
  <si>
    <t>EULALIO HERNANDEZ LOPEZ</t>
  </si>
  <si>
    <t>LISETH MENDOZA NINO</t>
  </si>
  <si>
    <t>A25506-1897</t>
  </si>
  <si>
    <t>2,700.00 MXN</t>
  </si>
  <si>
    <t>A25506-1669</t>
  </si>
  <si>
    <t>LUCIO GUADALUPE SANTELLANA RAMOS</t>
  </si>
  <si>
    <t>898.50 MXN</t>
  </si>
  <si>
    <t>MEXICO - COAHUILA - CASTANOS</t>
  </si>
  <si>
    <t>A25506-1596</t>
  </si>
  <si>
    <t>5,100.00 MXN</t>
  </si>
  <si>
    <t>A25506-1572</t>
  </si>
  <si>
    <t>A25506-1559</t>
  </si>
  <si>
    <t>MARGARITA GARCIA INES</t>
  </si>
  <si>
    <t>3,320.00 MXN</t>
  </si>
  <si>
    <t>A25506-1468</t>
  </si>
  <si>
    <t>10,002.00 MXN</t>
  </si>
  <si>
    <t>A25506-1466</t>
  </si>
  <si>
    <t>MARIA LOPEZ OLIVA</t>
  </si>
  <si>
    <t>3,334.00 MXN</t>
  </si>
  <si>
    <t>A25506-1465</t>
  </si>
  <si>
    <t>A25506-2974</t>
  </si>
  <si>
    <t>EULOGIO RAUDA WENCE</t>
  </si>
  <si>
    <t>FRANCISCO ALEJANDRO DIAZ CORONADO</t>
  </si>
  <si>
    <t>684.00 USD</t>
  </si>
  <si>
    <t>12,996.00 MXN</t>
  </si>
  <si>
    <t>A25506-3203</t>
  </si>
  <si>
    <t>EVERARDO OSTOS GONZALEZ</t>
  </si>
  <si>
    <t>AIDE HERNANDEZ HERNANDEZ</t>
  </si>
  <si>
    <t>6,951.00 MXN</t>
  </si>
  <si>
    <t>A25506-6625</t>
  </si>
  <si>
    <t>A25506-2596</t>
  </si>
  <si>
    <t>FABIAN ALVAREZ PEREZ</t>
  </si>
  <si>
    <t>FRANCISCO JAVIER FLORES GALLARDO</t>
  </si>
  <si>
    <t>A25506-3276</t>
  </si>
  <si>
    <t>FABIAN HERNANDEZ CORREA</t>
  </si>
  <si>
    <t>MARIA JOAQUINA RAMIREZ GARCIA</t>
  </si>
  <si>
    <t>39,420.00 MXN</t>
  </si>
  <si>
    <t>A25506-2753</t>
  </si>
  <si>
    <t>MARIA JUAQUINA RAMIREZ GARCIA</t>
  </si>
  <si>
    <t>37,800.00 MXN</t>
  </si>
  <si>
    <t>A25506-2301</t>
  </si>
  <si>
    <t>FATIMA DEL CARMEN HERNANDEZ OCHOA</t>
  </si>
  <si>
    <t>ANA ISABEL HERNANDEZ MATUTE</t>
  </si>
  <si>
    <t>34,720.00 MXN</t>
  </si>
  <si>
    <t>A25506-6881</t>
  </si>
  <si>
    <t>JOSE VIRGEN HERNANDEZ HERNANDEZ</t>
  </si>
  <si>
    <t>PROMERICA</t>
  </si>
  <si>
    <t>EL SALVADOR - SANTA ANA - METAPAN</t>
  </si>
  <si>
    <t>A25506-7441</t>
  </si>
  <si>
    <t>FATIMA LOURDES RIVAS LIRA</t>
  </si>
  <si>
    <t>ILEANA RUTH LIRA LAGUNA</t>
  </si>
  <si>
    <t>NICARAGUA - MATAGALPA - SEBACO</t>
  </si>
  <si>
    <t>A25506-8767</t>
  </si>
  <si>
    <t>INGREE ELIETH LOPEZ ALVAREZ</t>
  </si>
  <si>
    <t>NICARAGUA - MATAGALPA - SAN ISIDRO</t>
  </si>
  <si>
    <t>A25506-7833</t>
  </si>
  <si>
    <t>FAVIOLA GUTIERREZ LEON</t>
  </si>
  <si>
    <t>RONNIE DANIEL DIAZ GUTIERREZ</t>
  </si>
  <si>
    <t>10,075.00 MXN</t>
  </si>
  <si>
    <t>A25506-2778</t>
  </si>
  <si>
    <t>FEDERICO CARRILLO GUERRERO</t>
  </si>
  <si>
    <t>MARISELA ROBLES ALCALA</t>
  </si>
  <si>
    <t>18,315.00 MXN</t>
  </si>
  <si>
    <t>A25506-2618</t>
  </si>
  <si>
    <t>18,830.00 MXN</t>
  </si>
  <si>
    <t>A25506-2463</t>
  </si>
  <si>
    <t>18,097.20 MXN</t>
  </si>
  <si>
    <t>A25506-2327</t>
  </si>
  <si>
    <t>10,650.00 MXN</t>
  </si>
  <si>
    <t>A25506-2210</t>
  </si>
  <si>
    <t>A25506-1790</t>
  </si>
  <si>
    <t>A25506-1686</t>
  </si>
  <si>
    <t>A25506-1592</t>
  </si>
  <si>
    <t>4,212.50 MXN</t>
  </si>
  <si>
    <t>A25506-1519</t>
  </si>
  <si>
    <t>MANUEL MACHADO SICAIROS</t>
  </si>
  <si>
    <t>8,134.00 MXN</t>
  </si>
  <si>
    <t>MEXICO - SONORA - SAN LUIS RIO COLORADO</t>
  </si>
  <si>
    <t>A25506-1518</t>
  </si>
  <si>
    <t>5,810.00 MXN</t>
  </si>
  <si>
    <t>A25506-3106</t>
  </si>
  <si>
    <t>FELIPE ARMENDARIZ BAEZ</t>
  </si>
  <si>
    <t>IRMA BAEZ HUERTA</t>
  </si>
  <si>
    <t>5,850.00 MXN</t>
  </si>
  <si>
    <t>A25506-2204</t>
  </si>
  <si>
    <t>FELIPE DE JESUS RUIZ RICO</t>
  </si>
  <si>
    <t>JOSE ISABEL RUIZ ARRIAGA</t>
  </si>
  <si>
    <t>725.00 USD</t>
  </si>
  <si>
    <t>12,658.50 MXN</t>
  </si>
  <si>
    <t>A25506-6867</t>
  </si>
  <si>
    <t>FELIPE FRIAS MORALES</t>
  </si>
  <si>
    <t>A25506-7845</t>
  </si>
  <si>
    <t>3,557.70 MXN</t>
  </si>
  <si>
    <t>A25506-7526</t>
  </si>
  <si>
    <t>9,800.00 MXN</t>
  </si>
  <si>
    <t>A25506-7479</t>
  </si>
  <si>
    <t>A25506-6897</t>
  </si>
  <si>
    <t>FELIPE HERNANDEZ CRISPIN</t>
  </si>
  <si>
    <t>SANDRA IVETH DIAZ GONZALEZ</t>
  </si>
  <si>
    <t>40,194.00 MXN</t>
  </si>
  <si>
    <t>A25506-6640</t>
  </si>
  <si>
    <t>FELIPE HERNANDEZ GARCIA</t>
  </si>
  <si>
    <t>ANGELICA MARIA DAVILA TOVAR</t>
  </si>
  <si>
    <t>20,060.00 MXN</t>
  </si>
  <si>
    <t>A25506-7727</t>
  </si>
  <si>
    <t>747.00 USD</t>
  </si>
  <si>
    <t>15,014.70 MXN</t>
  </si>
  <si>
    <t>A25506-7513</t>
  </si>
  <si>
    <t>16,000.00 MXN</t>
  </si>
  <si>
    <t>A25506-1900</t>
  </si>
  <si>
    <t>FELIX JIMENEZ CAPETILLO</t>
  </si>
  <si>
    <t>YESSICA PAOLA PUGA MARTINEZ</t>
  </si>
  <si>
    <t>2,017.12 MXN</t>
  </si>
  <si>
    <t>A25506-1899</t>
  </si>
  <si>
    <t>MEXICO - NUEVO LEON - DOCTOR ARROYO</t>
  </si>
  <si>
    <t>A25506-1787</t>
  </si>
  <si>
    <t>MAYELA ALEJANDRA GONZALEZ GODINA</t>
  </si>
  <si>
    <t>45.00 USD</t>
  </si>
  <si>
    <t>814.50 MXN</t>
  </si>
  <si>
    <t>A25506-1418</t>
  </si>
  <si>
    <t>10,614.50 MXN</t>
  </si>
  <si>
    <t>A25506-6793</t>
  </si>
  <si>
    <t>FELIX ORTEZ PADILLA</t>
  </si>
  <si>
    <t>DENIS ULICES FUNEZ MENDEZ</t>
  </si>
  <si>
    <t>517.00 USD</t>
  </si>
  <si>
    <t>13,224.86 HNL</t>
  </si>
  <si>
    <t>A25506-6792</t>
  </si>
  <si>
    <t>HEYDY MELIXA GONZALEZ</t>
  </si>
  <si>
    <t>274.00 USD</t>
  </si>
  <si>
    <t>7,008.92 HNL</t>
  </si>
  <si>
    <t>A25506-3302</t>
  </si>
  <si>
    <t>FELIX REYES GARCIA</t>
  </si>
  <si>
    <t>LUZ MARIA RANGEL DOMINGUEZ</t>
  </si>
  <si>
    <t>A25506-2880</t>
  </si>
  <si>
    <t>TERESA LUNA MARTINEZ</t>
  </si>
  <si>
    <t>1,912.00 MXN</t>
  </si>
  <si>
    <t>A25506-2571</t>
  </si>
  <si>
    <t>18,900.00 MXN</t>
  </si>
  <si>
    <t>A25506-1689</t>
  </si>
  <si>
    <t>ANGEL REYES GARCIA</t>
  </si>
  <si>
    <t>A25506-3221</t>
  </si>
  <si>
    <t>FERMIN EDGARDO MELENDEZ MORALES</t>
  </si>
  <si>
    <t>MA JUANA MORALES MARTINEZ</t>
  </si>
  <si>
    <t>2,184.60 MXN</t>
  </si>
  <si>
    <t>A25506-6659</t>
  </si>
  <si>
    <t>2,019.00 MXN</t>
  </si>
  <si>
    <t>A25506-7723</t>
  </si>
  <si>
    <t>A25506-8760</t>
  </si>
  <si>
    <t>14,550.00 MXN</t>
  </si>
  <si>
    <t>A25506-2852</t>
  </si>
  <si>
    <t>FERMIN QUINTANILLA SANCHEZ</t>
  </si>
  <si>
    <t>MARIA YOLANDA VASQUEZ LOPEZ</t>
  </si>
  <si>
    <t>A25506-1921</t>
  </si>
  <si>
    <t>14,838.00 HNL</t>
  </si>
  <si>
    <t>A25506-1728</t>
  </si>
  <si>
    <t>9,876.00 HNL</t>
  </si>
  <si>
    <t>A25506-8322</t>
  </si>
  <si>
    <t>MARIA ONEYDA VASQUEZ LOPEZ</t>
  </si>
  <si>
    <t>2,200.00 USD</t>
  </si>
  <si>
    <t>56,496.00 HNL</t>
  </si>
  <si>
    <t>A25506-7885</t>
  </si>
  <si>
    <t>ASTERIO QUINTANILLA PEREZ</t>
  </si>
  <si>
    <t>999.96 HNL</t>
  </si>
  <si>
    <t>A25506-3391</t>
  </si>
  <si>
    <t>FERNANDO DELGADO HERRERA</t>
  </si>
  <si>
    <t>ELSA HERRERA SALAZAR</t>
  </si>
  <si>
    <t>11,502.00 MXN</t>
  </si>
  <si>
    <t>A25506-2895</t>
  </si>
  <si>
    <t>FERNANDO GARCIA DOMINGUEZ</t>
  </si>
  <si>
    <t>FERNANDO GARCIA RESENDIZ</t>
  </si>
  <si>
    <t>15,010.00 MXN</t>
  </si>
  <si>
    <t>MEXICO - NUEVO LEON - CADEREYTA</t>
  </si>
  <si>
    <t>A25506-2894</t>
  </si>
  <si>
    <t>OLIVIA RESENDIZ PADILLA</t>
  </si>
  <si>
    <t>A25506-2751</t>
  </si>
  <si>
    <t>2,116.80 MXN</t>
  </si>
  <si>
    <t>A25506-2682</t>
  </si>
  <si>
    <t>1,070.00 USD</t>
  </si>
  <si>
    <t>20,030.40 MXN</t>
  </si>
  <si>
    <t>A25506-2164</t>
  </si>
  <si>
    <t>3,907.20 MXN</t>
  </si>
  <si>
    <t>A25506-1882</t>
  </si>
  <si>
    <t>2,407.30 MXN</t>
  </si>
  <si>
    <t>A25506-1881</t>
  </si>
  <si>
    <t>1,105.00 USD</t>
  </si>
  <si>
    <t>20,000.50 MXN</t>
  </si>
  <si>
    <t>A25506-1742</t>
  </si>
  <si>
    <t>1,112.00 USD</t>
  </si>
  <si>
    <t>20,016.00 MXN</t>
  </si>
  <si>
    <t>A25506-1652</t>
  </si>
  <si>
    <t>A25506-1575</t>
  </si>
  <si>
    <t>6,013.25 MXN</t>
  </si>
  <si>
    <t>A25506-3311</t>
  </si>
  <si>
    <t>FERNANDO GONZALEZ TORRES</t>
  </si>
  <si>
    <t>PATRICIA TORRES RINCON</t>
  </si>
  <si>
    <t>1,719.00 MXN</t>
  </si>
  <si>
    <t>A25506-3310</t>
  </si>
  <si>
    <t>CANDELARIA CENDEJAS CAMARILLO</t>
  </si>
  <si>
    <t>158.00 USD</t>
  </si>
  <si>
    <t>3,017.80 MXN</t>
  </si>
  <si>
    <t>MEXICO - MICHOACAN - YURECUARO</t>
  </si>
  <si>
    <t>A25506-2468</t>
  </si>
  <si>
    <t>1,811.00 MXN</t>
  </si>
  <si>
    <t>A25506-2467</t>
  </si>
  <si>
    <t>A25506-2447</t>
  </si>
  <si>
    <t>3,549.00 MXN</t>
  </si>
  <si>
    <t>A25506-2174</t>
  </si>
  <si>
    <t>1,750.00 MXN</t>
  </si>
  <si>
    <t>A25506-2173</t>
  </si>
  <si>
    <t>286.00 USD</t>
  </si>
  <si>
    <t>5,005.00 MXN</t>
  </si>
  <si>
    <t>A25506-6814</t>
  </si>
  <si>
    <t>A25506-7505</t>
  </si>
  <si>
    <t>A25506-7504</t>
  </si>
  <si>
    <t>4,000.00 MXN</t>
  </si>
  <si>
    <t>A25506-3339</t>
  </si>
  <si>
    <t>FERNANDO GREGORIO INESTROZA PERDOMO</t>
  </si>
  <si>
    <t>ANGILY CECILIA FONSECA PERDOMO</t>
  </si>
  <si>
    <t>2,776.48 HNL</t>
  </si>
  <si>
    <t>HONDURAS - INTIBUCA - INTIBUCA</t>
  </si>
  <si>
    <t>A25506-3338</t>
  </si>
  <si>
    <t>GREGORIO INESTROZA</t>
  </si>
  <si>
    <t>10,213.48 HNL</t>
  </si>
  <si>
    <t>A25506-2963</t>
  </si>
  <si>
    <t>152.00 USD</t>
  </si>
  <si>
    <t>3,763.52 HNL</t>
  </si>
  <si>
    <t>A25506-2962</t>
  </si>
  <si>
    <t>12,132.40 HNL</t>
  </si>
  <si>
    <t>A25506-2792</t>
  </si>
  <si>
    <t>A25506-2621</t>
  </si>
  <si>
    <t>18,060.20 HNL</t>
  </si>
  <si>
    <t>A25506-2460</t>
  </si>
  <si>
    <t>17,070.60 HNL</t>
  </si>
  <si>
    <t>A25506-2072</t>
  </si>
  <si>
    <t>3,504.56 HNL</t>
  </si>
  <si>
    <t>A25506-2071</t>
  </si>
  <si>
    <t>12,340.00 HNL</t>
  </si>
  <si>
    <t>A25506-1960</t>
  </si>
  <si>
    <t>2,749.60 HNL</t>
  </si>
  <si>
    <t>A25506-1959</t>
  </si>
  <si>
    <t>9,820.00 HNL</t>
  </si>
  <si>
    <t>A25506-1661</t>
  </si>
  <si>
    <t>10,863.60 HNL</t>
  </si>
  <si>
    <t>A25506-8309</t>
  </si>
  <si>
    <t>2,356.12 HNL</t>
  </si>
  <si>
    <t>A25506-6809</t>
  </si>
  <si>
    <t>FERNANDO MARTINEZ GONZALEZ</t>
  </si>
  <si>
    <t>JAVIER MARTINEZ MUNOZ</t>
  </si>
  <si>
    <t>A25506-3449</t>
  </si>
  <si>
    <t>FERNANDO SOLIS CALVILLO</t>
  </si>
  <si>
    <t>ALEJANDRA GONZALEZ ARRONA</t>
  </si>
  <si>
    <t>450.00 USD</t>
  </si>
  <si>
    <t>8,595.00 MXN</t>
  </si>
  <si>
    <t>A25506-2217</t>
  </si>
  <si>
    <t>12,397.00 MXN</t>
  </si>
  <si>
    <t>A25506-2216</t>
  </si>
  <si>
    <t>A25506-8657</t>
  </si>
  <si>
    <t>FLAVIO RODRIGUEZ VILLEGAS</t>
  </si>
  <si>
    <t>LETICIA ORTIZ PRADO</t>
  </si>
  <si>
    <t>6,402.00 MXN</t>
  </si>
  <si>
    <t>A25506-3413</t>
  </si>
  <si>
    <t>FRANCI ANAEL BENITEZ BENITEZ</t>
  </si>
  <si>
    <t>DELSY EMILIA VELASQUEZ HERNANDEZ</t>
  </si>
  <si>
    <t>A25506-3075</t>
  </si>
  <si>
    <t>A25506-3074</t>
  </si>
  <si>
    <t>JORGE ALBERTO GRANADOS BENITEZ</t>
  </si>
  <si>
    <t>7,428.00 HNL</t>
  </si>
  <si>
    <t>A25506-3031</t>
  </si>
  <si>
    <t>KENIA ARELI ARGUETA RAMOS</t>
  </si>
  <si>
    <t>A25506-2945</t>
  </si>
  <si>
    <t>WILLIAM ORLANDO MEJIA RIVERA</t>
  </si>
  <si>
    <t>A25506-2944</t>
  </si>
  <si>
    <t>A25506-2827</t>
  </si>
  <si>
    <t>ELSA MARIA MARQUEZ ARGUETA</t>
  </si>
  <si>
    <t>1,800.00 USD</t>
  </si>
  <si>
    <t>44,460.00 HNL</t>
  </si>
  <si>
    <t>A25506-2353</t>
  </si>
  <si>
    <t>2,474.00 HNL</t>
  </si>
  <si>
    <t>A25506-1892</t>
  </si>
  <si>
    <t>4,910.00 HNL</t>
  </si>
  <si>
    <t>A25506-1664</t>
  </si>
  <si>
    <t>BESI PAOLA BEJARANO PINEDA</t>
  </si>
  <si>
    <t>HONDURAS - LA PAZ - LA PAZ</t>
  </si>
  <si>
    <t>A25506-8739</t>
  </si>
  <si>
    <t>16,653.00 HNL</t>
  </si>
  <si>
    <t>A25506-2010</t>
  </si>
  <si>
    <t>FRANCIS ALBERTO QUINTANILLA PEREZ</t>
  </si>
  <si>
    <t>KEILA ARACELY SORTO CRUZ</t>
  </si>
  <si>
    <t>21.00 USD</t>
  </si>
  <si>
    <t>516.60 HNL</t>
  </si>
  <si>
    <t>HONDURAS - LEMPIRA - GRACIAS</t>
  </si>
  <si>
    <t>A25506-2009</t>
  </si>
  <si>
    <t>MARINO QUINTANILLA PEREZ</t>
  </si>
  <si>
    <t>7,134.00 HNL</t>
  </si>
  <si>
    <t>A25506-3258</t>
  </si>
  <si>
    <t>FRANCISCA CASILDO DORANTES</t>
  </si>
  <si>
    <t>MARCOS CASILDO DORANTES</t>
  </si>
  <si>
    <t>160.00 USD</t>
  </si>
  <si>
    <t>3,136.00 MXN</t>
  </si>
  <si>
    <t>MEXICO - GUERRERO - SAN MARCOS</t>
  </si>
  <si>
    <t>A25506-1745</t>
  </si>
  <si>
    <t>ROSARIO MARTINEZ RIOS</t>
  </si>
  <si>
    <t>MEXICO - GUERRERO - ACAPULCO</t>
  </si>
  <si>
    <t>A25506-1744</t>
  </si>
  <si>
    <t>ARIEL VAZQUEZ CASILDO</t>
  </si>
  <si>
    <t>A25506-7453</t>
  </si>
  <si>
    <t>77.00 USD</t>
  </si>
  <si>
    <t>1,516.90 MXN</t>
  </si>
  <si>
    <t>A25506-2199</t>
  </si>
  <si>
    <t>FRANCISCA VILLANUEVA HERNANDEZ</t>
  </si>
  <si>
    <t>DANIEL VILLANUEVA LARA</t>
  </si>
  <si>
    <t>A25506-1409</t>
  </si>
  <si>
    <t>FRANCISCO DAVILA HUETE</t>
  </si>
  <si>
    <t>MARJURY YAJAIRA BETANCO SANCHEZ</t>
  </si>
  <si>
    <t>NICARAGUA - MATAGALPA - LA DALIA</t>
  </si>
  <si>
    <t>A25506-1407</t>
  </si>
  <si>
    <t>A25506-1406</t>
  </si>
  <si>
    <t>ANGELICA DEL CARMEN CASTRO BLANDON</t>
  </si>
  <si>
    <t>A25506-1405</t>
  </si>
  <si>
    <t>ENMA YALIETH BRAVO ANGULO</t>
  </si>
  <si>
    <t>A25506-7732</t>
  </si>
  <si>
    <t>70.00 USD</t>
  </si>
  <si>
    <t>A25506-1719</t>
  </si>
  <si>
    <t>FRANCISCO GABRIEL ROSAS DIAZ</t>
  </si>
  <si>
    <t>DIANA ANALI CORONA DIAZ</t>
  </si>
  <si>
    <t>389.00 USD</t>
  </si>
  <si>
    <t>7,002.00 MXN</t>
  </si>
  <si>
    <t>A25506-1626</t>
  </si>
  <si>
    <t>PERLA RIVERA RODRIGUEZ</t>
  </si>
  <si>
    <t>2,475.00 USD</t>
  </si>
  <si>
    <t>43,312.50 MXN</t>
  </si>
  <si>
    <t>A25506-1613</t>
  </si>
  <si>
    <t>4,912.60 MXN</t>
  </si>
  <si>
    <t>A25506-3183</t>
  </si>
  <si>
    <t>FRANCISCO GALLARDO LOPEZ</t>
  </si>
  <si>
    <t>MAYRA RUBI GONZALEZ LOERA</t>
  </si>
  <si>
    <t>39,400.00 MXN</t>
  </si>
  <si>
    <t>A25506-3103</t>
  </si>
  <si>
    <t>39,000.00 MXN</t>
  </si>
  <si>
    <t>A25506-2068</t>
  </si>
  <si>
    <t>5,400.00 MXN</t>
  </si>
  <si>
    <t>A25506-8769</t>
  </si>
  <si>
    <t>FRANCISCO GARCIA DOMINGUEZ</t>
  </si>
  <si>
    <t>JULIANA MORA LOPEZ</t>
  </si>
  <si>
    <t>MEXICO - GUANAJUATO - CELAYA</t>
  </si>
  <si>
    <t>A25506-2969</t>
  </si>
  <si>
    <t>BRENDA LIZBETH VILLANUEVA ORDUNA</t>
  </si>
  <si>
    <t>16,920.00 MXN</t>
  </si>
  <si>
    <t>A25506-2722</t>
  </si>
  <si>
    <t>18,513.00 MXN</t>
  </si>
  <si>
    <t>A25506-2721</t>
  </si>
  <si>
    <t>A25506-2595</t>
  </si>
  <si>
    <t>18,500.00 MXN</t>
  </si>
  <si>
    <t>A25506-2167</t>
  </si>
  <si>
    <t>8,775.00 MXN</t>
  </si>
  <si>
    <t>A25506-7796</t>
  </si>
  <si>
    <t>20,150.00 MXN</t>
  </si>
  <si>
    <t>A25506-7481</t>
  </si>
  <si>
    <t>A25506-8748</t>
  </si>
  <si>
    <t>19,206.00 MXN</t>
  </si>
  <si>
    <t>A25506-8353</t>
  </si>
  <si>
    <t>11,880.00 MXN</t>
  </si>
  <si>
    <t>A25506-8352</t>
  </si>
  <si>
    <t>A25506-3439</t>
  </si>
  <si>
    <t>FRANCISCO MARTINEZ RODRIGUEZ</t>
  </si>
  <si>
    <t>LAURA JANETH MORALES SEGOVIA</t>
  </si>
  <si>
    <t>956.50 MXN</t>
  </si>
  <si>
    <t>A25506-6837</t>
  </si>
  <si>
    <t>A25506-7738</t>
  </si>
  <si>
    <t>8,024.00 MXN</t>
  </si>
  <si>
    <t>MEXICO - SAN LUIS POTOSI - AHUALULCO</t>
  </si>
  <si>
    <t>A25506-8747</t>
  </si>
  <si>
    <t>5,823.00 MXN</t>
  </si>
  <si>
    <t>A25506-2143</t>
  </si>
  <si>
    <t>FRANCISCO RAMIREZ FEUNTES</t>
  </si>
  <si>
    <t>MA TRINIDAD HERNANDEZ CAZARES</t>
  </si>
  <si>
    <t>MEXICO - GUANAJUATO - VILLAGRAN</t>
  </si>
  <si>
    <t>A25506-2960</t>
  </si>
  <si>
    <t>FREDY JOSEPH AYALA MATUTE</t>
  </si>
  <si>
    <t>LOURDES SUYAPA MATUTE PERDOMO</t>
  </si>
  <si>
    <t>4,930.00 HNL</t>
  </si>
  <si>
    <t>HONDURAS - SANTA BARBARA - AZACUALPA</t>
  </si>
  <si>
    <t>A25506-2032</t>
  </si>
  <si>
    <t>4,948.00 HNL</t>
  </si>
  <si>
    <t>A25506-6842</t>
  </si>
  <si>
    <t>370.00 USD</t>
  </si>
  <si>
    <t>9,464.60 HNL</t>
  </si>
  <si>
    <t>A25506-8243</t>
  </si>
  <si>
    <t>132.00 USD</t>
  </si>
  <si>
    <t>3,380.52 HNL</t>
  </si>
  <si>
    <t>A25506-8227</t>
  </si>
  <si>
    <t>FREDY MORAN PADILLA</t>
  </si>
  <si>
    <t>GLENDA YANIRA DE PAZ TOJ</t>
  </si>
  <si>
    <t>1,006.20 GTQ</t>
  </si>
  <si>
    <t>A25506-2363</t>
  </si>
  <si>
    <t>FROILAN CORTINA GARCIA</t>
  </si>
  <si>
    <t>ANA MARIA GARCIA JACOBO</t>
  </si>
  <si>
    <t>14,240.00 MXN</t>
  </si>
  <si>
    <t>A25506-1902</t>
  </si>
  <si>
    <t>18,090.00 MXN</t>
  </si>
  <si>
    <t>A25506-7519</t>
  </si>
  <si>
    <t>50,075.00 MXN</t>
  </si>
  <si>
    <t>A25506-2333</t>
  </si>
  <si>
    <t>GABRIEL ALEJANDRO SAUCEDO DIAZ</t>
  </si>
  <si>
    <t>DANNA PAOLA CASTANON GUTIERREZ</t>
  </si>
  <si>
    <t>6,903.00 MXN</t>
  </si>
  <si>
    <t>A25506-2008</t>
  </si>
  <si>
    <t>5,949.90 MXN</t>
  </si>
  <si>
    <t>A25506-3404</t>
  </si>
  <si>
    <t>GABRIEL DOMINGUEZ SANTOS</t>
  </si>
  <si>
    <t>BRISSA DESAMARIA NORIEGA TERRONES</t>
  </si>
  <si>
    <t>32.00 USD</t>
  </si>
  <si>
    <t>611.52 MXN</t>
  </si>
  <si>
    <t>A25506-3403</t>
  </si>
  <si>
    <t>ALASKA BEATRIZ MENDEZ MEDINA</t>
  </si>
  <si>
    <t>7,644.00 MXN</t>
  </si>
  <si>
    <t>A25506-3059</t>
  </si>
  <si>
    <t>3,902.00 MXN</t>
  </si>
  <si>
    <t>A25506-2743</t>
  </si>
  <si>
    <t>9,350.00 MXN</t>
  </si>
  <si>
    <t>A25506-2491</t>
  </si>
  <si>
    <t>7,300.00 MXN</t>
  </si>
  <si>
    <t>A25506-2369</t>
  </si>
  <si>
    <t>A25506-2042</t>
  </si>
  <si>
    <t>AGUEDA VIVIANA ADAME ONTIVEROS</t>
  </si>
  <si>
    <t>8,844.50 MXN</t>
  </si>
  <si>
    <t>A25506-2006</t>
  </si>
  <si>
    <t>4,527.50 MXN</t>
  </si>
  <si>
    <t>A25506-1908</t>
  </si>
  <si>
    <t>A25506-1907</t>
  </si>
  <si>
    <t>A25506-1727</t>
  </si>
  <si>
    <t>3,608.00 MXN</t>
  </si>
  <si>
    <t>A25506-3025</t>
  </si>
  <si>
    <t>GABRIEL FIGUEROA VALLADARES</t>
  </si>
  <si>
    <t>MARIA GUADALUPE VALLADARES SOTELO</t>
  </si>
  <si>
    <t>9,618.70 MXN</t>
  </si>
  <si>
    <t>A25506-2561</t>
  </si>
  <si>
    <t>GABRIEL MACEDO PALACIOS</t>
  </si>
  <si>
    <t>MANUELA GARCIA ROJAS</t>
  </si>
  <si>
    <t>18,460.00 MXN</t>
  </si>
  <si>
    <t>A25506-2274</t>
  </si>
  <si>
    <t>8,845.00 MXN</t>
  </si>
  <si>
    <t>A25506-6657</t>
  </si>
  <si>
    <t>8,012.00 MXN</t>
  </si>
  <si>
    <t>A25506-7752</t>
  </si>
  <si>
    <t>GABRIEL SAUZEDO DIAZ</t>
  </si>
  <si>
    <t>A25506-8712</t>
  </si>
  <si>
    <t>6,630.00 MXN</t>
  </si>
  <si>
    <t>A25506-8265</t>
  </si>
  <si>
    <t>8,442.00 MXN</t>
  </si>
  <si>
    <t>A25506-8228</t>
  </si>
  <si>
    <t>6,432.00 MXN</t>
  </si>
  <si>
    <t>A25506-3389</t>
  </si>
  <si>
    <t>GABRIEL VALLADARES FLORENTINO</t>
  </si>
  <si>
    <t>RUBEN TORRES MARTINEZ</t>
  </si>
  <si>
    <t>37.00 USD</t>
  </si>
  <si>
    <t>709.66 MXN</t>
  </si>
  <si>
    <t>MEXICO - GUERRERO - IGUALA</t>
  </si>
  <si>
    <t>A25506-8289</t>
  </si>
  <si>
    <t>NANCY SELENE RAMIREZ ARAUJO</t>
  </si>
  <si>
    <t>A25506-3441</t>
  </si>
  <si>
    <t>GABRIELA GARCIA CASTILLA</t>
  </si>
  <si>
    <t>MARIA FERNANDA CASAS CEPEDA</t>
  </si>
  <si>
    <t>15,096.90 MXN</t>
  </si>
  <si>
    <t>A25506-3107</t>
  </si>
  <si>
    <t>LEONOR CEPEDA</t>
  </si>
  <si>
    <t>16,464.00 MXN</t>
  </si>
  <si>
    <t>A25506-2570</t>
  </si>
  <si>
    <t>6,475.00 MXN</t>
  </si>
  <si>
    <t>A25506-2427</t>
  </si>
  <si>
    <t>6,490.80 MXN</t>
  </si>
  <si>
    <t>A25506-2132</t>
  </si>
  <si>
    <t>LESLI JOSELIN GODOY ALVAREZ</t>
  </si>
  <si>
    <t>10,680.00 MXN</t>
  </si>
  <si>
    <t>A25506-2125</t>
  </si>
  <si>
    <t>470.00 USD</t>
  </si>
  <si>
    <t>8,366.00 MXN</t>
  </si>
  <si>
    <t>A25506-1837</t>
  </si>
  <si>
    <t>6,171.00 MXN</t>
  </si>
  <si>
    <t>A25506-1732</t>
  </si>
  <si>
    <t>7,027.80 MXN</t>
  </si>
  <si>
    <t>A25506-1654</t>
  </si>
  <si>
    <t>A25506-3397</t>
  </si>
  <si>
    <t>GENARO HERNANDEZ REZA</t>
  </si>
  <si>
    <t>ROSALINA GARCIA REZA</t>
  </si>
  <si>
    <t>1,532.00 MXN</t>
  </si>
  <si>
    <t>MEXICO - GUERRERO - TETIPAC</t>
  </si>
  <si>
    <t>A25506-2977</t>
  </si>
  <si>
    <t>GENARO NICOLAS LOPEZ</t>
  </si>
  <si>
    <t>DIEGO REYES BENITEZ</t>
  </si>
  <si>
    <t>2,646.00 MXN</t>
  </si>
  <si>
    <t>A25506-2380</t>
  </si>
  <si>
    <t>A25506-2245</t>
  </si>
  <si>
    <t>43,337.25 MXN</t>
  </si>
  <si>
    <t>A25506-2155</t>
  </si>
  <si>
    <t>1,791.00 MXN</t>
  </si>
  <si>
    <t>A25506-2845</t>
  </si>
  <si>
    <t>GENOVEVA SANCHEZ DAVALOS</t>
  </si>
  <si>
    <t>ANDREA GUADALUPE GARCIA SOTO</t>
  </si>
  <si>
    <t>7,456.00 MXN</t>
  </si>
  <si>
    <t>MEXICO - DURANGO - FRANCISCO I MADERO</t>
  </si>
  <si>
    <t>A25506-2844</t>
  </si>
  <si>
    <t>J CRUZ SOLORZANO BRICENO</t>
  </si>
  <si>
    <t>9,320.00 MXN</t>
  </si>
  <si>
    <t>A25506-3088</t>
  </si>
  <si>
    <t>GEORGINA DELGADO GUERRA</t>
  </si>
  <si>
    <t>RAUL RIVERA DELGADO</t>
  </si>
  <si>
    <t>3,912.00 MXN</t>
  </si>
  <si>
    <t>A25506-7860</t>
  </si>
  <si>
    <t>GERARDO GUTIERREZ SAUCEDO</t>
  </si>
  <si>
    <t>SARA MARTINEZ CASTILLO</t>
  </si>
  <si>
    <t>A25506-2578</t>
  </si>
  <si>
    <t>GERARDO ISAAC ARCIGA TALAVERA</t>
  </si>
  <si>
    <t>GERARDO ARCIGA ORNELAS</t>
  </si>
  <si>
    <t>A25506-2120</t>
  </si>
  <si>
    <t>5,162.00 MXN</t>
  </si>
  <si>
    <t>A25506-3134</t>
  </si>
  <si>
    <t>GERARDO RANGEL RIVERA</t>
  </si>
  <si>
    <t>ROSA ISELA RAMIREZ GONZALEZ</t>
  </si>
  <si>
    <t>15,760.00 MXN</t>
  </si>
  <si>
    <t>A25506-2891</t>
  </si>
  <si>
    <t>17,100.00 MXN</t>
  </si>
  <si>
    <t>A25506-2445</t>
  </si>
  <si>
    <t>10,980.00 MXN</t>
  </si>
  <si>
    <t>A25506-2339</t>
  </si>
  <si>
    <t>A25506-2065</t>
  </si>
  <si>
    <t>A25506-1698</t>
  </si>
  <si>
    <t>7,160.00 MXN</t>
  </si>
  <si>
    <t>A25506-1538</t>
  </si>
  <si>
    <t>6,676.00 MXN</t>
  </si>
  <si>
    <t>A25506-6634</t>
  </si>
  <si>
    <t>A25506-7485</t>
  </si>
  <si>
    <t>A25506-7872</t>
  </si>
  <si>
    <t>MACRINA RIVERA RIVERA</t>
  </si>
  <si>
    <t>30,375.00 MXN</t>
  </si>
  <si>
    <t>A25506-2035</t>
  </si>
  <si>
    <t>GERARDO RODRIGUEZ</t>
  </si>
  <si>
    <t>CLAUDIA MUNOZ GUTIERREZ</t>
  </si>
  <si>
    <t>10,708.50 MXN</t>
  </si>
  <si>
    <t>A25506-1906</t>
  </si>
  <si>
    <t>GERARDO SANTOS CRUZ</t>
  </si>
  <si>
    <t>14,736.00 HNL</t>
  </si>
  <si>
    <t>A25506-6641</t>
  </si>
  <si>
    <t>GERARDO TOVAR ZUNIGA</t>
  </si>
  <si>
    <t>ISELA CHAVEZ GUTIERREZ</t>
  </si>
  <si>
    <t>1,900.00 USD</t>
  </si>
  <si>
    <t>38,000.00 MXN</t>
  </si>
  <si>
    <t>MEXICO - MICHOACAN - LAZARO CARDENAS</t>
  </si>
  <si>
    <t>A25506-6626</t>
  </si>
  <si>
    <t>GERMAN OSTOS GONZALEZ</t>
  </si>
  <si>
    <t>VIRGINIA GONZALEZ MORALES</t>
  </si>
  <si>
    <t>MEXICO - SAN LUIS POTOSI - EBANO</t>
  </si>
  <si>
    <t>A25506-3373</t>
  </si>
  <si>
    <t>GERSON GABRIEL RODRIGUEZ SANCHEZ</t>
  </si>
  <si>
    <t>706.56 GTQ</t>
  </si>
  <si>
    <t>A25506-1851</t>
  </si>
  <si>
    <t>3,777.90 GTQ</t>
  </si>
  <si>
    <t>A25506-1444</t>
  </si>
  <si>
    <t>3,782.80 GTQ</t>
  </si>
  <si>
    <t>A25506-1672</t>
  </si>
  <si>
    <t>GERSON PALMA</t>
  </si>
  <si>
    <t>SONIA DEL CARMEN ORTIZ RIVAS</t>
  </si>
  <si>
    <t>SELECTOS</t>
  </si>
  <si>
    <t>A25506-2397</t>
  </si>
  <si>
    <t>GLENDA AZUCENA VASQUEZ VASQUEZ</t>
  </si>
  <si>
    <t>OLIDIAN MARITHZA VASQUEZ VASQUEZ</t>
  </si>
  <si>
    <t>7,422.00 HNL</t>
  </si>
  <si>
    <t>HONDURAS - COMAYAGUA - SIGUATEPEQUE</t>
  </si>
  <si>
    <t>A25506-3173</t>
  </si>
  <si>
    <t>GLENDA CANTERO PAZ</t>
  </si>
  <si>
    <t>MARIA OLIMPIA CASTILLO PINEDA</t>
  </si>
  <si>
    <t>898.00 USD</t>
  </si>
  <si>
    <t>22,189.58 HNL</t>
  </si>
  <si>
    <t>A25506-3085</t>
  </si>
  <si>
    <t>7,410.00 HNL</t>
  </si>
  <si>
    <t>A25506-1579</t>
  </si>
  <si>
    <t>MARIA LUCIA CANTARERO PAZ</t>
  </si>
  <si>
    <t>17,036.10 HNL</t>
  </si>
  <si>
    <t>A25506-7805</t>
  </si>
  <si>
    <t>PABLO GONZALEZ ORELLANA</t>
  </si>
  <si>
    <t>A25506-8703</t>
  </si>
  <si>
    <t>GLORIA YESENIA CANTARERO PAZ</t>
  </si>
  <si>
    <t>5,021.25 HNL</t>
  </si>
  <si>
    <t>A25506-2007</t>
  </si>
  <si>
    <t>GLORIA GUADALUPE RODRIGUEZ PALACIO</t>
  </si>
  <si>
    <t>ESTELA GANDARA SOTO</t>
  </si>
  <si>
    <t>12,649.00 MXN</t>
  </si>
  <si>
    <t>A25506-3379</t>
  </si>
  <si>
    <t>GODOFREDO VALLADARES</t>
  </si>
  <si>
    <t>DIEGO EFRAIN PEREZ PEREZ</t>
  </si>
  <si>
    <t>28.00 USD</t>
  </si>
  <si>
    <t>511.56 MXN</t>
  </si>
  <si>
    <t>MEXICO - TLAXCALA - APIZACO</t>
  </si>
  <si>
    <t>A25506-3352</t>
  </si>
  <si>
    <t>GONZALO MORALES RAMIREZ</t>
  </si>
  <si>
    <t>RAFAELA BALDERAS DELGADO</t>
  </si>
  <si>
    <t>1,910.00 MXN</t>
  </si>
  <si>
    <t>A25506-3278</t>
  </si>
  <si>
    <t>1,975.00 MXN</t>
  </si>
  <si>
    <t>A25506-3188</t>
  </si>
  <si>
    <t>MILTON REVOLARIO ASENCIO</t>
  </si>
  <si>
    <t>GUATEMALA - JUTIAPA - JUTIAPA</t>
  </si>
  <si>
    <t>A25506-3141</t>
  </si>
  <si>
    <t>1,984.00 MXN</t>
  </si>
  <si>
    <t>A25506-2956</t>
  </si>
  <si>
    <t>369.00 USD</t>
  </si>
  <si>
    <t>7,011.00 MXN</t>
  </si>
  <si>
    <t>A25506-2426</t>
  </si>
  <si>
    <t>A25506-2118</t>
  </si>
  <si>
    <t>LILIANA BALDERAS BALDERAS</t>
  </si>
  <si>
    <t>337.07 USD</t>
  </si>
  <si>
    <t>5,999.85 MXN</t>
  </si>
  <si>
    <t>A25506-2015</t>
  </si>
  <si>
    <t>2,163.60 MXN</t>
  </si>
  <si>
    <t>A25506-1730</t>
  </si>
  <si>
    <t>FABIAN MORALES RAMIREZ</t>
  </si>
  <si>
    <t>45,000.00 MXN</t>
  </si>
  <si>
    <t>A25506-6825</t>
  </si>
  <si>
    <t>5,829.00 MXN</t>
  </si>
  <si>
    <t>A25506-6789</t>
  </si>
  <si>
    <t>1,622.40 MXN</t>
  </si>
  <si>
    <t>A25506-6736</t>
  </si>
  <si>
    <t>MIGUEL MARTINEZ RAMIREZ</t>
  </si>
  <si>
    <t>MEXICO - ZACATECAS - ZACATECAS</t>
  </si>
  <si>
    <t>A25506-6666</t>
  </si>
  <si>
    <t>3,015.00 MXN</t>
  </si>
  <si>
    <t>A25506-7835</t>
  </si>
  <si>
    <t>A25506-7439</t>
  </si>
  <si>
    <t>1,782.00 MXN</t>
  </si>
  <si>
    <t>A25506-8670</t>
  </si>
  <si>
    <t>2,026.50 MXN</t>
  </si>
  <si>
    <t>A25506-8287</t>
  </si>
  <si>
    <t>1,206.00 MXN</t>
  </si>
  <si>
    <t>A25506-3345</t>
  </si>
  <si>
    <t>GRACIELA BADILLO FUENTES</t>
  </si>
  <si>
    <t>MARIA DE LA CRUZ RAMIREZ CHAVEZ</t>
  </si>
  <si>
    <t>MEXICO - MEXICO D.F. - GUSTAVO A MADERO</t>
  </si>
  <si>
    <t>A25506-2889</t>
  </si>
  <si>
    <t>GABRIELA CRUZ RAMIREZ</t>
  </si>
  <si>
    <t>MEXICO - HIDALGO - ALFAJAYUCAN</t>
  </si>
  <si>
    <t>A25506-2837</t>
  </si>
  <si>
    <t>MARCO ANTONIO VAZQUEZ ZUNIGA</t>
  </si>
  <si>
    <t>9,573.20 MXN</t>
  </si>
  <si>
    <t>A25506-7472</t>
  </si>
  <si>
    <t>4,800.00 MXN</t>
  </si>
  <si>
    <t>A25506-2920</t>
  </si>
  <si>
    <t>GREGORIO RAMIREZ RAMIREZ</t>
  </si>
  <si>
    <t>6,660.50 MXN</t>
  </si>
  <si>
    <t>A25506-2910</t>
  </si>
  <si>
    <t>6,664.00 MXN</t>
  </si>
  <si>
    <t>A25506-7528</t>
  </si>
  <si>
    <t>GRISELDA PERALTA JAIMES</t>
  </si>
  <si>
    <t>EDUARDO GARCIA RUFINO</t>
  </si>
  <si>
    <t>A25506-2799</t>
  </si>
  <si>
    <t>GUADALUPE REYES GARCIA</t>
  </si>
  <si>
    <t>REYNA LIZETH REYES ESPARZA</t>
  </si>
  <si>
    <t>1,135.00 USD</t>
  </si>
  <si>
    <t>21,008.85 MXN</t>
  </si>
  <si>
    <t>A25506-2765</t>
  </si>
  <si>
    <t>892.00 USD</t>
  </si>
  <si>
    <t>16,510.92 MXN</t>
  </si>
  <si>
    <t>A25506-2056</t>
  </si>
  <si>
    <t>A25506-1715</t>
  </si>
  <si>
    <t>10,824.00 MXN</t>
  </si>
  <si>
    <t>A25506-1656</t>
  </si>
  <si>
    <t>SANDRA ABIGAIL GARCIA ONTIVEROS</t>
  </si>
  <si>
    <t>A25506-6898</t>
  </si>
  <si>
    <t>10,185.00 MXN</t>
  </si>
  <si>
    <t>A25506-3062</t>
  </si>
  <si>
    <t>GUILLERMO LUNA ROBLEDO</t>
  </si>
  <si>
    <t>CLAUDIA MARIA HERNANDEZ SALINAS</t>
  </si>
  <si>
    <t>1,374.10 MXN</t>
  </si>
  <si>
    <t>A25506-2798</t>
  </si>
  <si>
    <t>12,957.00 MXN</t>
  </si>
  <si>
    <t>A25506-2728</t>
  </si>
  <si>
    <t>6,510.00 MXN</t>
  </si>
  <si>
    <t>A25506-2175</t>
  </si>
  <si>
    <t>6,125.00 MXN</t>
  </si>
  <si>
    <t>A25506-1548</t>
  </si>
  <si>
    <t>A25506-8800</t>
  </si>
  <si>
    <t>GUILLERMO SAUL GUERRERO SANTIAGO</t>
  </si>
  <si>
    <t>MIGUEL EFRAIN RUBIO ACOSTA</t>
  </si>
  <si>
    <t>773.40 HNL</t>
  </si>
  <si>
    <t>A25506-1731</t>
  </si>
  <si>
    <t>GUILLERMO VENEGAS</t>
  </si>
  <si>
    <t>MARGARITA RIOS CORTES</t>
  </si>
  <si>
    <t>13,050.00 MXN</t>
  </si>
  <si>
    <t>MEXICO - OAXACA - MIAHUATLAN DE PORFIRIO DIAZ</t>
  </si>
  <si>
    <t>A25506-1569</t>
  </si>
  <si>
    <t>ANSELMO GARCIA</t>
  </si>
  <si>
    <t>1,250.00 USD</t>
  </si>
  <si>
    <t>21,175.00 MXN</t>
  </si>
  <si>
    <t>A25506-2688</t>
  </si>
  <si>
    <t>GUSTAVO GUERRERO</t>
  </si>
  <si>
    <t>MARIO ALBERTO CONTRERAS GUERRERO</t>
  </si>
  <si>
    <t>1,900.00 MXN</t>
  </si>
  <si>
    <t>A25506-6900</t>
  </si>
  <si>
    <t>GUSTAVO JOSE GONZALEZ GONZALEZ</t>
  </si>
  <si>
    <t>KARINA JANETH PADRON DUQUE</t>
  </si>
  <si>
    <t>A25506-7793</t>
  </si>
  <si>
    <t>3,030.00 MXN</t>
  </si>
  <si>
    <t>A25506-7839</t>
  </si>
  <si>
    <t>GUSTAVO MEDERO PORCAYO</t>
  </si>
  <si>
    <t>ANTONIO FLORES MARTINEZ</t>
  </si>
  <si>
    <t>25.00 USD</t>
  </si>
  <si>
    <t>502.50 MXN</t>
  </si>
  <si>
    <t>MEXICO - MEXICO (ESTADO) - IXTAPAN DE LA SAL</t>
  </si>
  <si>
    <t>A25506-7837</t>
  </si>
  <si>
    <t>GUSTAVO MEDERO URCALLO</t>
  </si>
  <si>
    <t>SARA MEDERO PORCAYO</t>
  </si>
  <si>
    <t>A25506-7836</t>
  </si>
  <si>
    <t>MARIA LIZBETH MENDOZA ROMERO</t>
  </si>
  <si>
    <t>9,045.00 MXN</t>
  </si>
  <si>
    <t>A25506-8740</t>
  </si>
  <si>
    <t>4,559.00 MXN</t>
  </si>
  <si>
    <t>A25506-8698</t>
  </si>
  <si>
    <t>GUSTAVO TORRES RINCON</t>
  </si>
  <si>
    <t>MARIA DEL CARMEN TORRES RINCON</t>
  </si>
  <si>
    <t>205.00 USD</t>
  </si>
  <si>
    <t>4,003.65 MXN</t>
  </si>
  <si>
    <t>MEXICO - SAN LUIS POTOSI - SANTA MARIA DEL RIO</t>
  </si>
  <si>
    <t>A25506-8258</t>
  </si>
  <si>
    <t>A25506-2528</t>
  </si>
  <si>
    <t>HALMINTON MARTINEZ CRUZ</t>
  </si>
  <si>
    <t>MAGALY DEL CARMEN BLANDON MORALES</t>
  </si>
  <si>
    <t>NICARAGUA - MANAGUA - MANAGUA</t>
  </si>
  <si>
    <t>A25506-7831</t>
  </si>
  <si>
    <t>HARBIN ELEAZAR PONCE RODRIGUEZ</t>
  </si>
  <si>
    <t>BIANCA KARINA CARDENAS PASTORA</t>
  </si>
  <si>
    <t>A25506-3233</t>
  </si>
  <si>
    <t>HEBERT MAURICIO COTO ACEVEDO</t>
  </si>
  <si>
    <t>MANUEL DE JESUS HERNANDEZ CANIZALEZ</t>
  </si>
  <si>
    <t>BANCO DAVIVIENDA SALVADORENO (ANTIGUO HSBC)</t>
  </si>
  <si>
    <t>A25506-3020</t>
  </si>
  <si>
    <t>740.00 USD</t>
  </si>
  <si>
    <t>A25506-2909</t>
  </si>
  <si>
    <t>760.00 USD</t>
  </si>
  <si>
    <t>A25506-2727</t>
  </si>
  <si>
    <t>A25506-2583</t>
  </si>
  <si>
    <t>380.00 USD</t>
  </si>
  <si>
    <t>A25506-2457</t>
  </si>
  <si>
    <t>375.00 USD</t>
  </si>
  <si>
    <t>A25506-2456</t>
  </si>
  <si>
    <t>MARIA JUANA GUEVARA RAMOS</t>
  </si>
  <si>
    <t>BANCO DE FOMENTO AGROPECUARIO</t>
  </si>
  <si>
    <t>A25506-2315</t>
  </si>
  <si>
    <t>710.00 USD</t>
  </si>
  <si>
    <t>A25506-2193</t>
  </si>
  <si>
    <t>A25506-2192</t>
  </si>
  <si>
    <t>A25506-2057</t>
  </si>
  <si>
    <t>VANESSA MARIA GUINEA DE HERNANDEZ</t>
  </si>
  <si>
    <t>A25506-2019</t>
  </si>
  <si>
    <t>A25506-2018</t>
  </si>
  <si>
    <t>A25506-1786</t>
  </si>
  <si>
    <t>A25506-1785</t>
  </si>
  <si>
    <t>A25506-1662</t>
  </si>
  <si>
    <t>A25506-1616</t>
  </si>
  <si>
    <t>A25506-1600</t>
  </si>
  <si>
    <t>NATHALY DANIELA SIGUENZA GUEVARA</t>
  </si>
  <si>
    <t>DESPENSA FAMILIAR</t>
  </si>
  <si>
    <t>A25506-1599</t>
  </si>
  <si>
    <t>A25506-1427</t>
  </si>
  <si>
    <t>A25506-6845</t>
  </si>
  <si>
    <t>MARINA ISABEL CORNEJO DE HERNANDEZ</t>
  </si>
  <si>
    <t>MAXI DESPENSA</t>
  </si>
  <si>
    <t>A25506-6797</t>
  </si>
  <si>
    <t>A25506-6643</t>
  </si>
  <si>
    <t>850.00 USD</t>
  </si>
  <si>
    <t>A25506-7706</t>
  </si>
  <si>
    <t>655.00 USD</t>
  </si>
  <si>
    <t>A25506-7516</t>
  </si>
  <si>
    <t>ADRIAN DE JESUS HERNANDEZ CORNEJO</t>
  </si>
  <si>
    <t>A25506-8683</t>
  </si>
  <si>
    <t>A25506-1646</t>
  </si>
  <si>
    <t>HECTOR HUGO RODRIGUEZ IBARRA</t>
  </si>
  <si>
    <t>8,875.00 MXN</t>
  </si>
  <si>
    <t>A25506-3420</t>
  </si>
  <si>
    <t>HECTOR OMAR RAMIREZ ALVAREZ</t>
  </si>
  <si>
    <t>EMILIA DOLORES MONCIVAIS RANGEL</t>
  </si>
  <si>
    <t>10,809.60 MXN</t>
  </si>
  <si>
    <t>A25506-8348</t>
  </si>
  <si>
    <t>GUADALUPE BRIONES RUIZ</t>
  </si>
  <si>
    <t>A25506-7430</t>
  </si>
  <si>
    <t>HECTOR RENES BRAVO GARCIA</t>
  </si>
  <si>
    <t>MARI CARMEN DIAZ MARTINEZ</t>
  </si>
  <si>
    <t>19,600.00 MXN</t>
  </si>
  <si>
    <t>MEXICO - OAXACA - OAXACA</t>
  </si>
  <si>
    <t>A25506-2981</t>
  </si>
  <si>
    <t>HECTOR ROLANDO MONTERO JUAREZ</t>
  </si>
  <si>
    <t>EVANGELINA JUAREZ HERNANDEZ</t>
  </si>
  <si>
    <t>28,500.00 MXN</t>
  </si>
  <si>
    <t>A25506-2842</t>
  </si>
  <si>
    <t>27,765.00 MXN</t>
  </si>
  <si>
    <t>A25506-2732</t>
  </si>
  <si>
    <t>46,575.00 MXN</t>
  </si>
  <si>
    <t>A25506-6673</t>
  </si>
  <si>
    <t>HECTOR MONTERO RAMIREZ</t>
  </si>
  <si>
    <t>A25506-6650</t>
  </si>
  <si>
    <t>HECTOR SANTILLAN</t>
  </si>
  <si>
    <t>DIONICIO HURTADO RODRIGUEZ</t>
  </si>
  <si>
    <t>175.00 USD</t>
  </si>
  <si>
    <t>3,517.50 MXN</t>
  </si>
  <si>
    <t>A25506-7818</t>
  </si>
  <si>
    <t>7,917.00 MXN</t>
  </si>
  <si>
    <t>A25506-8294</t>
  </si>
  <si>
    <t>A25506-3434</t>
  </si>
  <si>
    <t>HELEODORO VALENTIN GARCIA</t>
  </si>
  <si>
    <t>MARIA NOEMA VALENTIN GARCIA</t>
  </si>
  <si>
    <t>202.10 USD</t>
  </si>
  <si>
    <t>4,999.95 HNL</t>
  </si>
  <si>
    <t>A25506-3293</t>
  </si>
  <si>
    <t>7,431.00 HNL</t>
  </si>
  <si>
    <t>A25506-3139</t>
  </si>
  <si>
    <t>CRISTINA ISABEL RAMIREZ ALFARO</t>
  </si>
  <si>
    <t>2,525.52 HNL</t>
  </si>
  <si>
    <t>HONDURAS - OCOTEPEQUE - OCOTEPEQUE</t>
  </si>
  <si>
    <t>A25506-3098</t>
  </si>
  <si>
    <t>ERIKA JULISSA HERNANDEZ HERNANDEZ</t>
  </si>
  <si>
    <t>263.00 USD</t>
  </si>
  <si>
    <t>6,511.88 HNL</t>
  </si>
  <si>
    <t>HONDURAS - OCOTEPEQUE - SAN MARCOS</t>
  </si>
  <si>
    <t>A25506-3090</t>
  </si>
  <si>
    <t>MARIANOEMA VALENTIN GARCIA</t>
  </si>
  <si>
    <t>3,515.92 HNL</t>
  </si>
  <si>
    <t>A25506-3023</t>
  </si>
  <si>
    <t>A25506-2804</t>
  </si>
  <si>
    <t>IRMA SUYAPA GARCIA RODRIGUEZ</t>
  </si>
  <si>
    <t>970.00 USD</t>
  </si>
  <si>
    <t>24,017.20 HNL</t>
  </si>
  <si>
    <t>A25506-2577</t>
  </si>
  <si>
    <t>4,001.40 HNL</t>
  </si>
  <si>
    <t>A25506-2576</t>
  </si>
  <si>
    <t>12,844.00 HNL</t>
  </si>
  <si>
    <t>A25506-2170</t>
  </si>
  <si>
    <t>972.00 USD</t>
  </si>
  <si>
    <t>24,008.40 HNL</t>
  </si>
  <si>
    <t>A25506-1890</t>
  </si>
  <si>
    <t>ROSA ELIDA MEJIA ALVARADO</t>
  </si>
  <si>
    <t>1,525.20 HNL</t>
  </si>
  <si>
    <t>A25506-1889</t>
  </si>
  <si>
    <t>692.00 USD</t>
  </si>
  <si>
    <t>17,023.20 HNL</t>
  </si>
  <si>
    <t>A25506-1484</t>
  </si>
  <si>
    <t>A25506-2934</t>
  </si>
  <si>
    <t>HERIBERTO BASALDUA CABRERA</t>
  </si>
  <si>
    <t>MARIA MELISSA BAZALDUA CABRERA</t>
  </si>
  <si>
    <t>3,990.00 MXN</t>
  </si>
  <si>
    <t>CAJA POPULAR MEXICANA</t>
  </si>
  <si>
    <t>MEXICO - GUANAJUATO - DOCTOR MORA</t>
  </si>
  <si>
    <t>A25506-2933</t>
  </si>
  <si>
    <t>MONICA ORDUNA ROJAS</t>
  </si>
  <si>
    <t>1,710.00 MXN</t>
  </si>
  <si>
    <t>A25506-1985</t>
  </si>
  <si>
    <t>BLANCA ESTRELLA JIMENEZ SALINAS</t>
  </si>
  <si>
    <t>1,806.00 MXN</t>
  </si>
  <si>
    <t>ISSEG FARMACIA</t>
  </si>
  <si>
    <t>MEXICO - GUANAJUATO - VICTORIA</t>
  </si>
  <si>
    <t>A25506-7729</t>
  </si>
  <si>
    <t>HERIBERTO MOYA ROMER</t>
  </si>
  <si>
    <t>ANGELICA GUERRERO CARDENAS</t>
  </si>
  <si>
    <t>16,080.00 MXN</t>
  </si>
  <si>
    <t>A25506-6710</t>
  </si>
  <si>
    <t>HERNAN GARCIA GUERRERO</t>
  </si>
  <si>
    <t>LIZETH PAULINA VARGAS GONZALEZ</t>
  </si>
  <si>
    <t>A25506-6730</t>
  </si>
  <si>
    <t>HILARIA SUY CHOX</t>
  </si>
  <si>
    <t>ANTONIA SUY IXQUIACTAP</t>
  </si>
  <si>
    <t>A25506-7448</t>
  </si>
  <si>
    <t>HIPOLITA SARAHI FELIX BUSTAMANTE</t>
  </si>
  <si>
    <t>MIRIAM ANGELINA ESTRADA ESPINOZA</t>
  </si>
  <si>
    <t>50.22 USD</t>
  </si>
  <si>
    <t>999.88 MXN</t>
  </si>
  <si>
    <t>A25506-7446</t>
  </si>
  <si>
    <t>AURORA TORRES CORTEZ</t>
  </si>
  <si>
    <t>3,976.00 MXN</t>
  </si>
  <si>
    <t>A25506-7445</t>
  </si>
  <si>
    <t>DIANA ELSA AGUIRRE FELIX</t>
  </si>
  <si>
    <t>11,934.00 MXN</t>
  </si>
  <si>
    <t>A25506-8338</t>
  </si>
  <si>
    <t>A25506-8337</t>
  </si>
  <si>
    <t>ALVARO SAMUEL AGUIRRE FELIX</t>
  </si>
  <si>
    <t>225.00 USD</t>
  </si>
  <si>
    <t>4,500.00 MXN</t>
  </si>
  <si>
    <t>A25506-7879</t>
  </si>
  <si>
    <t>1,011.00 MXN</t>
  </si>
  <si>
    <t>A25506-2563</t>
  </si>
  <si>
    <t>HIPOLITO MARTINEZ</t>
  </si>
  <si>
    <t>MA DEL CARMEN RAMIREZ</t>
  </si>
  <si>
    <t>9,275.00 MXN</t>
  </si>
  <si>
    <t>A25506-3459</t>
  </si>
  <si>
    <t>HORACIO TORRES SUAREZ</t>
  </si>
  <si>
    <t>SANJUANA GUADALUPE DOMINGUEZ BETANCURT</t>
  </si>
  <si>
    <t>640.00 USD</t>
  </si>
  <si>
    <t>12,256.00 MXN</t>
  </si>
  <si>
    <t>A25506-2286</t>
  </si>
  <si>
    <t>14,784.00 MXN</t>
  </si>
  <si>
    <t>A25506-2188</t>
  </si>
  <si>
    <t>9,450.00 MXN</t>
  </si>
  <si>
    <t>A25506-1950</t>
  </si>
  <si>
    <t>9,150.00 MXN</t>
  </si>
  <si>
    <t>A25506-1869</t>
  </si>
  <si>
    <t>13,342.20 MXN</t>
  </si>
  <si>
    <t>A25506-1759</t>
  </si>
  <si>
    <t>7,117.50 MXN</t>
  </si>
  <si>
    <t>A25506-1478</t>
  </si>
  <si>
    <t>603.00 USD</t>
  </si>
  <si>
    <t>10,009.80 MXN</t>
  </si>
  <si>
    <t>A25506-1462</t>
  </si>
  <si>
    <t>2,497.50 MXN</t>
  </si>
  <si>
    <t>A25506-3242</t>
  </si>
  <si>
    <t>HUGO ALEJO TORRES MEDINA</t>
  </si>
  <si>
    <t>MARTHA ELENA HERNANDEZ HERNANDEZ</t>
  </si>
  <si>
    <t>3,174.40 MXN</t>
  </si>
  <si>
    <t>A25506-1942</t>
  </si>
  <si>
    <t>HECTOR LEAL GONZALEZ</t>
  </si>
  <si>
    <t>5,251.90 MXN</t>
  </si>
  <si>
    <t>A25506-1834</t>
  </si>
  <si>
    <t>1,660.50 MXN</t>
  </si>
  <si>
    <t>A25506-1598</t>
  </si>
  <si>
    <t>1,700.00 MXN</t>
  </si>
  <si>
    <t>A25506-1429</t>
  </si>
  <si>
    <t>1,326.40 MXN</t>
  </si>
  <si>
    <t>A25506-7778</t>
  </si>
  <si>
    <t>YESICA TORRES LEAL</t>
  </si>
  <si>
    <t>A25506-8772</t>
  </si>
  <si>
    <t>BEATRIZ ADRIANA TORRES MEDINA</t>
  </si>
  <si>
    <t>A25506-8302</t>
  </si>
  <si>
    <t>MODESTA MEDINA MARTINEZ</t>
  </si>
  <si>
    <t>MEXICO - HIDALGO - CHAPULHUACAN</t>
  </si>
  <si>
    <t>A25506-8301</t>
  </si>
  <si>
    <t>YIMI MAGDIEL RAMIREZ GARCIA</t>
  </si>
  <si>
    <t>10,040.00 MXN</t>
  </si>
  <si>
    <t>A25506-7876</t>
  </si>
  <si>
    <t>JORGE TORREZ OLGUIN</t>
  </si>
  <si>
    <t>7,839.00 MXN</t>
  </si>
  <si>
    <t>A25506-2558</t>
  </si>
  <si>
    <t>HUGO FERMIN ICAL POP</t>
  </si>
  <si>
    <t>ANAHI GARCIA QUINTERO</t>
  </si>
  <si>
    <t>14,800.00 MXN</t>
  </si>
  <si>
    <t>A25506-3301</t>
  </si>
  <si>
    <t>HUGO FLORES GOMEZ</t>
  </si>
  <si>
    <t>CECIA FLORES GOMEZ</t>
  </si>
  <si>
    <t>2,112.00 MXN</t>
  </si>
  <si>
    <t>A25506-6783</t>
  </si>
  <si>
    <t>TRINIDAD GOMEZ BENAVIDES</t>
  </si>
  <si>
    <t>5,872.50 MXN</t>
  </si>
  <si>
    <t>A25506-3430</t>
  </si>
  <si>
    <t>HUMBERTO LOERA FAVELA</t>
  </si>
  <si>
    <t>MARIA MAGDALENA GOMEZ REYES</t>
  </si>
  <si>
    <t>11,496.00 MXN</t>
  </si>
  <si>
    <t>A25506-3291</t>
  </si>
  <si>
    <t>JOSE GUADALUPE LOERA FABRLA</t>
  </si>
  <si>
    <t>3,944.00 MXN</t>
  </si>
  <si>
    <t>A25506-3240</t>
  </si>
  <si>
    <t>11,916.00 MXN</t>
  </si>
  <si>
    <t>A25506-2919</t>
  </si>
  <si>
    <t>11,418.00 MXN</t>
  </si>
  <si>
    <t>A25506-2711</t>
  </si>
  <si>
    <t>A25506-2710</t>
  </si>
  <si>
    <t>11,280.00 MXN</t>
  </si>
  <si>
    <t>A25506-2599</t>
  </si>
  <si>
    <t>11,340.00 MXN</t>
  </si>
  <si>
    <t>A25506-2557</t>
  </si>
  <si>
    <t>9,325.00 MXN</t>
  </si>
  <si>
    <t>A25506-2556</t>
  </si>
  <si>
    <t>A25506-2358</t>
  </si>
  <si>
    <t>A25506-1974</t>
  </si>
  <si>
    <t>914.00 MXN</t>
  </si>
  <si>
    <t>A25506-1973</t>
  </si>
  <si>
    <t>5,484.00 MXN</t>
  </si>
  <si>
    <t>A25506-1880</t>
  </si>
  <si>
    <t>A25506-1802</t>
  </si>
  <si>
    <t>9,225.00 MXN</t>
  </si>
  <si>
    <t>A25506-1674</t>
  </si>
  <si>
    <t>A25506-1480</t>
  </si>
  <si>
    <t>6,640.00 MXN</t>
  </si>
  <si>
    <t>A25506-1439</t>
  </si>
  <si>
    <t>8,305.00 MXN</t>
  </si>
  <si>
    <t>A25506-6839</t>
  </si>
  <si>
    <t>12,174.00 MXN</t>
  </si>
  <si>
    <t>A25506-6716</t>
  </si>
  <si>
    <t>40,520.00 MXN</t>
  </si>
  <si>
    <t>A25506-7753</t>
  </si>
  <si>
    <t>10,160.00 MXN</t>
  </si>
  <si>
    <t>A25506-7501</t>
  </si>
  <si>
    <t>6,051.00 MXN</t>
  </si>
  <si>
    <t>A25506-7500</t>
  </si>
  <si>
    <t>14,119.00 MXN</t>
  </si>
  <si>
    <t>A25506-8776</t>
  </si>
  <si>
    <t>1,025.00 USD</t>
  </si>
  <si>
    <t>20,038.75 MXN</t>
  </si>
  <si>
    <t>A25506-8677</t>
  </si>
  <si>
    <t>9,780.00 MXN</t>
  </si>
  <si>
    <t>A25506-8339</t>
  </si>
  <si>
    <t>39,600.00 MXN</t>
  </si>
  <si>
    <t>A25506-3073</t>
  </si>
  <si>
    <t>IGNACIO NAYORAL</t>
  </si>
  <si>
    <t>HILARIO FUENTES FLORES</t>
  </si>
  <si>
    <t>1,940.00 MXN</t>
  </si>
  <si>
    <t>A25506-2597</t>
  </si>
  <si>
    <t>JULIA MAYORAL RUIZ</t>
  </si>
  <si>
    <t>265.00 USD</t>
  </si>
  <si>
    <t>5,008.50 MXN</t>
  </si>
  <si>
    <t>A25506-7844</t>
  </si>
  <si>
    <t>IGNACIO PEREZ GAVINA</t>
  </si>
  <si>
    <t>LUIS ALBERTO PEREZ ORTIZ</t>
  </si>
  <si>
    <t>8,060.00 MXN</t>
  </si>
  <si>
    <t>MEXICO - GUANAJUATO - YURIRIA</t>
  </si>
  <si>
    <t>A25506-1461</t>
  </si>
  <si>
    <t>INOCENCIO GUTIERREZ SAUCEDO</t>
  </si>
  <si>
    <t>TERESA DE JESUS MARTINEZ TORRES</t>
  </si>
  <si>
    <t>8,275.00 MXN</t>
  </si>
  <si>
    <t>A25506-2350</t>
  </si>
  <si>
    <t>IRMA MARILU AGUILAR OCHOA</t>
  </si>
  <si>
    <t>ANA BERTHA CAMBRANO ESPINOZA</t>
  </si>
  <si>
    <t>35,400.00 MXN</t>
  </si>
  <si>
    <t>MEXICO - CHIAPAS - PALENQUE</t>
  </si>
  <si>
    <t>A25506-6863</t>
  </si>
  <si>
    <t>LUIS ALFONSO AGUILAR OCHOA</t>
  </si>
  <si>
    <t>A25506-6709</t>
  </si>
  <si>
    <t>SILVESTRE AGUILAR MARTINEZ</t>
  </si>
  <si>
    <t>A25506-7867</t>
  </si>
  <si>
    <t>MARITZA ANTONIA PERDIDO VILLANUEVA</t>
  </si>
  <si>
    <t>EL SALVADOR - SANTA ANA - SANTA ANA</t>
  </si>
  <si>
    <t>A25506-7864</t>
  </si>
  <si>
    <t>A25506-6890</t>
  </si>
  <si>
    <t>ISAI RAMOS</t>
  </si>
  <si>
    <t>TERESA RAMOS RODRIGUEZ</t>
  </si>
  <si>
    <t>1,836.90 MXN</t>
  </si>
  <si>
    <t>MEXICO - TLAXCALA - TLAXCALA</t>
  </si>
  <si>
    <t>A25506-6706</t>
  </si>
  <si>
    <t>A25506-2857</t>
  </si>
  <si>
    <t>ISAIAS CONSUELO GOMEZ</t>
  </si>
  <si>
    <t>ZENAIDA CONSUELO GOMEZ</t>
  </si>
  <si>
    <t>5,032.80 MXN</t>
  </si>
  <si>
    <t>MEXICO - GUERRERO - TLACOTEPEC</t>
  </si>
  <si>
    <t>A25506-3125</t>
  </si>
  <si>
    <t>ISAURO HERIBERTO REYES BERNAL</t>
  </si>
  <si>
    <t>JOVITA BERNAL MASCORRO</t>
  </si>
  <si>
    <t>1,779.30 MXN</t>
  </si>
  <si>
    <t>A25506-2892</t>
  </si>
  <si>
    <t>FATIMA CECILIA REYES BERNAL</t>
  </si>
  <si>
    <t>5,890.00 MXN</t>
  </si>
  <si>
    <t>A25506-2888</t>
  </si>
  <si>
    <t>MA GUADALUPE ACOSTA GARCIA</t>
  </si>
  <si>
    <t>966.00 MXN</t>
  </si>
  <si>
    <t>A25506-2887</t>
  </si>
  <si>
    <t>12,558.00 MXN</t>
  </si>
  <si>
    <t>A25506-2886</t>
  </si>
  <si>
    <t>A25506-3056</t>
  </si>
  <si>
    <t>ISIDRO AVALOS GOMEZ</t>
  </si>
  <si>
    <t>LAURA LILIANA GONZALEZ LUCIO</t>
  </si>
  <si>
    <t>5,046.60 MXN</t>
  </si>
  <si>
    <t>A25506-3055</t>
  </si>
  <si>
    <t>JUANA YOMIRA PINON MARTINEZ</t>
  </si>
  <si>
    <t>A25506-6812</t>
  </si>
  <si>
    <t>A25506-6713</t>
  </si>
  <si>
    <t>A25506-7795</t>
  </si>
  <si>
    <t>A25506-1811</t>
  </si>
  <si>
    <t>ISIDRO MARTINEZ ESCAMILLA</t>
  </si>
  <si>
    <t>IGNACIA CASTANEDA ROSALES</t>
  </si>
  <si>
    <t>1,099.00 USD</t>
  </si>
  <si>
    <t>20,001.80 MXN</t>
  </si>
  <si>
    <t>MEXICO - GUANAJUATO - IRAPUATO</t>
  </si>
  <si>
    <t>A25506-1490</t>
  </si>
  <si>
    <t>ISMAEL BORGE ZELAYA</t>
  </si>
  <si>
    <t>AURA LILA CASTRO LOPEZ</t>
  </si>
  <si>
    <t>LAFISE (BANCENTRO)</t>
  </si>
  <si>
    <t>A25506-1489</t>
  </si>
  <si>
    <t>MARCO ANTONIO MANZANARES</t>
  </si>
  <si>
    <t>A25506-3194</t>
  </si>
  <si>
    <t>ISRAEL GARCIA GOMEZ</t>
  </si>
  <si>
    <t>BRENDA ESTEFANIA PEREZ BARCO</t>
  </si>
  <si>
    <t>A25506-3193</t>
  </si>
  <si>
    <t>DANIELA HERNANDEZ SANCHEZ</t>
  </si>
  <si>
    <t>A25506-2703</t>
  </si>
  <si>
    <t>2,049.30 MXN</t>
  </si>
  <si>
    <t>A25506-2702</t>
  </si>
  <si>
    <t>9,128.70 MXN</t>
  </si>
  <si>
    <t>A25506-2477</t>
  </si>
  <si>
    <t>1,820.00 MXN</t>
  </si>
  <si>
    <t>A25506-2476</t>
  </si>
  <si>
    <t>A25506-2342</t>
  </si>
  <si>
    <t>2,011.40 MXN</t>
  </si>
  <si>
    <t>A25506-2341</t>
  </si>
  <si>
    <t>A25506-6828</t>
  </si>
  <si>
    <t>A25506-6827</t>
  </si>
  <si>
    <t>3,819.00 MXN</t>
  </si>
  <si>
    <t>A25506-8700</t>
  </si>
  <si>
    <t>A25506-6856</t>
  </si>
  <si>
    <t>IVAN DE JESUS ALFARO ESCOBAR</t>
  </si>
  <si>
    <t>ROXANA ESCOBAR VAZQUEZ</t>
  </si>
  <si>
    <t>3,012.00 MXN</t>
  </si>
  <si>
    <t>A25506-8757</t>
  </si>
  <si>
    <t>SANDRA KARINA ESCOBAR VAZQUEZ</t>
  </si>
  <si>
    <t>2,522.00 MXN</t>
  </si>
  <si>
    <t>A25506-3416</t>
  </si>
  <si>
    <t>IVAN TOVAR ACOSTA</t>
  </si>
  <si>
    <t>AURORA RAMIREZ GALAVIZ</t>
  </si>
  <si>
    <t>2,865.00 MXN</t>
  </si>
  <si>
    <t>A25506-3415</t>
  </si>
  <si>
    <t>FILEMON TOVAR RAMIREZ</t>
  </si>
  <si>
    <t>A25506-2049</t>
  </si>
  <si>
    <t>2,707.50 MXN</t>
  </si>
  <si>
    <t>A25506-2048</t>
  </si>
  <si>
    <t>7,220.00 MXN</t>
  </si>
  <si>
    <t>A25506-1929</t>
  </si>
  <si>
    <t>7,120.00 MXN</t>
  </si>
  <si>
    <t>A25506-1840</t>
  </si>
  <si>
    <t>3,650.00 MXN</t>
  </si>
  <si>
    <t>A25506-1818</t>
  </si>
  <si>
    <t>2,730.00 MXN</t>
  </si>
  <si>
    <t>A25506-1446</t>
  </si>
  <si>
    <t>9,900.00 MXN</t>
  </si>
  <si>
    <t>A25506-1404</t>
  </si>
  <si>
    <t>1,494.90 MXN</t>
  </si>
  <si>
    <t>A25506-1475</t>
  </si>
  <si>
    <t>MA DEL REFUJIO BUENDIA CUEVAS</t>
  </si>
  <si>
    <t>16,434.00 MXN</t>
  </si>
  <si>
    <t>A25506-8787</t>
  </si>
  <si>
    <t>J CARMEN ROQUE GARCIA</t>
  </si>
  <si>
    <t>JOSE FRANCISCO ROQUE GARCIA</t>
  </si>
  <si>
    <t>A25506-3100</t>
  </si>
  <si>
    <t>JACOBO ZAMORA URQUIZA</t>
  </si>
  <si>
    <t>CRISTINA MEDEROS CISNEROS</t>
  </si>
  <si>
    <t>5,093.40 MXN</t>
  </si>
  <si>
    <t>A25506-2680</t>
  </si>
  <si>
    <t>A25506-2293</t>
  </si>
  <si>
    <t>3,526.00 MXN</t>
  </si>
  <si>
    <t>A25506-2163</t>
  </si>
  <si>
    <t>MA DEISY JIMENEZ MEDRANO</t>
  </si>
  <si>
    <t>3,552.00 MXN</t>
  </si>
  <si>
    <t>A25506-2106</t>
  </si>
  <si>
    <t>ORVELIN MEDRANO ZAMORA</t>
  </si>
  <si>
    <t>MEXICO - MEXICO (ESTADO) - PALMAR CHICO</t>
  </si>
  <si>
    <t>A25506-6866</t>
  </si>
  <si>
    <t>RAUL ZAMORA ALBARRAN</t>
  </si>
  <si>
    <t>14,105.00 MXN</t>
  </si>
  <si>
    <t>A25506-7832</t>
  </si>
  <si>
    <t>5,037.50 MXN</t>
  </si>
  <si>
    <t>A25506-7512</t>
  </si>
  <si>
    <t>A25506-8802</t>
  </si>
  <si>
    <t>1,462.50 MXN</t>
  </si>
  <si>
    <t>A25506-2112</t>
  </si>
  <si>
    <t>JAIRO LOPEZ VELASQUEZ</t>
  </si>
  <si>
    <t>LORENA VELAZQUEZ GARCIA</t>
  </si>
  <si>
    <t>4,654.00 MXN</t>
  </si>
  <si>
    <t>A25506-6655</t>
  </si>
  <si>
    <t>10,030.00 MXN</t>
  </si>
  <si>
    <t>A25506-8229</t>
  </si>
  <si>
    <t>UVER VELAZQUEZ GARCIA</t>
  </si>
  <si>
    <t>32,160.00 MXN</t>
  </si>
  <si>
    <t>A25506-2244</t>
  </si>
  <si>
    <t>JAQUELINE PALMA GUERRA</t>
  </si>
  <si>
    <t>MARTA LIDIA GUERRA LEMUS</t>
  </si>
  <si>
    <t>3,860.00 GTQ</t>
  </si>
  <si>
    <t>A25506-2243</t>
  </si>
  <si>
    <t>A25506-6819</t>
  </si>
  <si>
    <t>JAVIER GARZA AMARO</t>
  </si>
  <si>
    <t>PERLA YAZMIN NAVARRO LOPEZ</t>
  </si>
  <si>
    <t>224.00 USD</t>
  </si>
  <si>
    <t>4,502.40 MXN</t>
  </si>
  <si>
    <t>MEXICO - TAMAULIPAS - ABASOLO</t>
  </si>
  <si>
    <t>A25506-6743</t>
  </si>
  <si>
    <t>249.00 USD</t>
  </si>
  <si>
    <t>5,004.90 MXN</t>
  </si>
  <si>
    <t>A25506-7745</t>
  </si>
  <si>
    <t>275.00 USD</t>
  </si>
  <si>
    <t>5,524.75 MXN</t>
  </si>
  <si>
    <t>A25506-7529</t>
  </si>
  <si>
    <t>A25506-8246</t>
  </si>
  <si>
    <t>A25506-2179</t>
  </si>
  <si>
    <t>JAVIER MARTINEZ ESCAMILLA</t>
  </si>
  <si>
    <t>JUANA ZAVALA AGUIRRE</t>
  </si>
  <si>
    <t>A25506-1763</t>
  </si>
  <si>
    <t>A25506-3128</t>
  </si>
  <si>
    <t>JAVIER MENDEZ BELTRAN</t>
  </si>
  <si>
    <t>PLACIDO MENDEZ PEREZ</t>
  </si>
  <si>
    <t>1,994.00 MXN</t>
  </si>
  <si>
    <t>A25506-2507</t>
  </si>
  <si>
    <t>JUAN JAVIER MENDEZ CARMONA</t>
  </si>
  <si>
    <t>2,007.50 MXN</t>
  </si>
  <si>
    <t>A25506-2168</t>
  </si>
  <si>
    <t>REYNA MENDEZ BELTRAN</t>
  </si>
  <si>
    <t>1,941.50 MXN</t>
  </si>
  <si>
    <t>A25506-2005</t>
  </si>
  <si>
    <t>5,421.00 MXN</t>
  </si>
  <si>
    <t>A25506-1793</t>
  </si>
  <si>
    <t>BULMARO MENDEZ BELTRAN</t>
  </si>
  <si>
    <t>A25506-1792</t>
  </si>
  <si>
    <t>A25506-1754</t>
  </si>
  <si>
    <t>JAVIER SUAREZ VEGA</t>
  </si>
  <si>
    <t>SONIA MARTINEZ FLORES</t>
  </si>
  <si>
    <t>A25506-1710</t>
  </si>
  <si>
    <t>A25506-2481</t>
  </si>
  <si>
    <t>JAVIER VARGAS GONZALEZ</t>
  </si>
  <si>
    <t>MIRIAM GUADALUPE DUARTE RAMIREZ</t>
  </si>
  <si>
    <t>7,280.00 MXN</t>
  </si>
  <si>
    <t>A25506-1994</t>
  </si>
  <si>
    <t>1,805.00 MXN</t>
  </si>
  <si>
    <t>A25506-6732</t>
  </si>
  <si>
    <t>JAYDEN PASCUAL AS IXTOS</t>
  </si>
  <si>
    <t>MARIA AS IXTOS</t>
  </si>
  <si>
    <t>7,700.00 GTQ</t>
  </si>
  <si>
    <t>A25506-2990</t>
  </si>
  <si>
    <t>JESSY YOLANY GARCIA RODRIGUEZ</t>
  </si>
  <si>
    <t>VICTOR HENRRY GARCIA GARCIA</t>
  </si>
  <si>
    <t>3,513.08 HNL</t>
  </si>
  <si>
    <t>A25506-2989</t>
  </si>
  <si>
    <t>CINDY RUBI CASTELLON MATUTE</t>
  </si>
  <si>
    <t>A25506-2550</t>
  </si>
  <si>
    <t>1,578.00 USD</t>
  </si>
  <si>
    <t>38,976.60 HNL</t>
  </si>
  <si>
    <t>A25506-2271</t>
  </si>
  <si>
    <t>ROSA LILIAN LOPEZ PAVON</t>
  </si>
  <si>
    <t>1,237.50 HNL</t>
  </si>
  <si>
    <t>A25506-1984</t>
  </si>
  <si>
    <t>5,236.40 HNL</t>
  </si>
  <si>
    <t>A25506-1935</t>
  </si>
  <si>
    <t>7,657.00 HNL</t>
  </si>
  <si>
    <t>A25506-1877</t>
  </si>
  <si>
    <t>8,151.00 HNL</t>
  </si>
  <si>
    <t>A25506-1764</t>
  </si>
  <si>
    <t>8,398.00 HNL</t>
  </si>
  <si>
    <t>A25506-1666</t>
  </si>
  <si>
    <t>18,270.60 HNL</t>
  </si>
  <si>
    <t>A25506-1460</t>
  </si>
  <si>
    <t>JESUS ALBERTO GARCIA ALMARAZ</t>
  </si>
  <si>
    <t>WENDY XIMENA GARCIA ALMARAZ</t>
  </si>
  <si>
    <t>4,950.00 MXN</t>
  </si>
  <si>
    <t>A25506-6702</t>
  </si>
  <si>
    <t>JESUS ALBERTO GONZALEZ TORRES</t>
  </si>
  <si>
    <t>MEXICO - JALISCO - LA BARCA</t>
  </si>
  <si>
    <t>A25506-7769</t>
  </si>
  <si>
    <t>2,006.00 MXN</t>
  </si>
  <si>
    <t>A25506-7886</t>
  </si>
  <si>
    <t>9,950.00 MXN</t>
  </si>
  <si>
    <t>A25506-8691</t>
  </si>
  <si>
    <t>JESUS ALEJANDRO RIVERA CISNEROS</t>
  </si>
  <si>
    <t>SOLEDAD ROJAS PEREZ</t>
  </si>
  <si>
    <t>MEXICO - GUANAJUATO - SALVATIERRA</t>
  </si>
  <si>
    <t>A25506-2836</t>
  </si>
  <si>
    <t>JESUS ANTONIO CRUZ RAMIREZ</t>
  </si>
  <si>
    <t>9,990.00 MXN</t>
  </si>
  <si>
    <t>A25506-3313</t>
  </si>
  <si>
    <t>JESUS CABALLERO VALDEZ</t>
  </si>
  <si>
    <t>MARIBEL RODRIGUEZ LOPEZ</t>
  </si>
  <si>
    <t>2,681.00 MXN</t>
  </si>
  <si>
    <t>A25506-3207</t>
  </si>
  <si>
    <t>A25506-2064</t>
  </si>
  <si>
    <t>A25506-1990</t>
  </si>
  <si>
    <t>1,810.00 MXN</t>
  </si>
  <si>
    <t>A25506-6922</t>
  </si>
  <si>
    <t>JUAN JOSE CABALLERO VALDEZ</t>
  </si>
  <si>
    <t>1,515.00 MXN</t>
  </si>
  <si>
    <t>A25506-6921</t>
  </si>
  <si>
    <t>A25506-6810</t>
  </si>
  <si>
    <t>1,521.00 MXN</t>
  </si>
  <si>
    <t>A25506-7798</t>
  </si>
  <si>
    <t>1,006.00 MXN</t>
  </si>
  <si>
    <t>A25506-2587</t>
  </si>
  <si>
    <t>JESUS GARCIA RAMIREZ</t>
  </si>
  <si>
    <t>MARIA DE LA LUZ GUEVARA RODRIGUEZ</t>
  </si>
  <si>
    <t>5,640.00 MXN</t>
  </si>
  <si>
    <t>A25506-2226</t>
  </si>
  <si>
    <t>JESUS EDUARDO RAMIREZ GUEVARA</t>
  </si>
  <si>
    <t>A25506-2095</t>
  </si>
  <si>
    <t>A25506-2061</t>
  </si>
  <si>
    <t>A25506-2083</t>
  </si>
  <si>
    <t>JESUS GOMEZ ROMUALDO</t>
  </si>
  <si>
    <t>MARIA DEL ROSARIO FIGUEROA GARNICA</t>
  </si>
  <si>
    <t>3,570.00 MXN</t>
  </si>
  <si>
    <t>A25506-2082</t>
  </si>
  <si>
    <t>JANET ROMUALDO ROMUALDO</t>
  </si>
  <si>
    <t>21,420.00 MXN</t>
  </si>
  <si>
    <t>A25506-7786</t>
  </si>
  <si>
    <t>JESUS GUARDADO BUENDIA</t>
  </si>
  <si>
    <t>19,889.10 MXN</t>
  </si>
  <si>
    <t>A25506-8207</t>
  </si>
  <si>
    <t>17,889.00 MXN</t>
  </si>
  <si>
    <t>A25506-3152</t>
  </si>
  <si>
    <t>JESUS HERNANDEZ NORIEGA</t>
  </si>
  <si>
    <t>MA PATRICIA MUNOZ SALAZAR</t>
  </si>
  <si>
    <t>16,745.00 MXN</t>
  </si>
  <si>
    <t>A25506-2616</t>
  </si>
  <si>
    <t>17,064.00 MXN</t>
  </si>
  <si>
    <t>A25506-3423</t>
  </si>
  <si>
    <t>JESUS MISAEL JUAREZ VEGA</t>
  </si>
  <si>
    <t>MAYRA HERNANDEZ GARCIA</t>
  </si>
  <si>
    <t>37,818.00 MXN</t>
  </si>
  <si>
    <t>A25506-3069</t>
  </si>
  <si>
    <t>9,750.00 MXN</t>
  </si>
  <si>
    <t>A25506-2995</t>
  </si>
  <si>
    <t>5,320.00 MXN</t>
  </si>
  <si>
    <t>A25506-2497</t>
  </si>
  <si>
    <t>5,475.00 MXN</t>
  </si>
  <si>
    <t>A25506-2110</t>
  </si>
  <si>
    <t>A25506-1983</t>
  </si>
  <si>
    <t>12,635.00 MXN</t>
  </si>
  <si>
    <t>A25506-1875</t>
  </si>
  <si>
    <t>7,204.00 MXN</t>
  </si>
  <si>
    <t>A25506-1795</t>
  </si>
  <si>
    <t>A25506-1682</t>
  </si>
  <si>
    <t>12,600.00 MXN</t>
  </si>
  <si>
    <t>A25506-1608</t>
  </si>
  <si>
    <t>5,950.00 MXN</t>
  </si>
  <si>
    <t>A25506-7412</t>
  </si>
  <si>
    <t>3,920.00 MXN</t>
  </si>
  <si>
    <t>A25506-3199</t>
  </si>
  <si>
    <t>JESUS MUNOZ MARTINEZ</t>
  </si>
  <si>
    <t>GLORIA MUNIZ MUNIZ</t>
  </si>
  <si>
    <t>A25506-2774</t>
  </si>
  <si>
    <t>3,706.00 MXN</t>
  </si>
  <si>
    <t>A25506-2750</t>
  </si>
  <si>
    <t>1,890.00 MXN</t>
  </si>
  <si>
    <t>A25506-2560</t>
  </si>
  <si>
    <t>MAGALI AZUCENA NINO RODRIGUEZ</t>
  </si>
  <si>
    <t>A25506-2404</t>
  </si>
  <si>
    <t>A25506-2295</t>
  </si>
  <si>
    <t>A25506-2261</t>
  </si>
  <si>
    <t>A25506-2067</t>
  </si>
  <si>
    <t>3,580.00 MXN</t>
  </si>
  <si>
    <t>A25506-1938</t>
  </si>
  <si>
    <t>5,436.00 MXN</t>
  </si>
  <si>
    <t>A25506-1855</t>
  </si>
  <si>
    <t>A25506-1558</t>
  </si>
  <si>
    <t>A25506-8773</t>
  </si>
  <si>
    <t>3,922.00 MXN</t>
  </si>
  <si>
    <t>A25506-3446</t>
  </si>
  <si>
    <t>JESUS RAMON MUNOZ MUNOZ</t>
  </si>
  <si>
    <t>13,314.00 MXN</t>
  </si>
  <si>
    <t>A25506-3124</t>
  </si>
  <si>
    <t>A25506-2996</t>
  </si>
  <si>
    <t>7,600.00 MXN</t>
  </si>
  <si>
    <t>A25506-3309</t>
  </si>
  <si>
    <t>JESUS TORRES CAMARENA</t>
  </si>
  <si>
    <t>ANA MIREYA GARCIA MURILLO</t>
  </si>
  <si>
    <t>A25506-7507</t>
  </si>
  <si>
    <t>A25506-7396</t>
  </si>
  <si>
    <t>2,940.00 MXN</t>
  </si>
  <si>
    <t>A25506-1924</t>
  </si>
  <si>
    <t>JESUS UBALDO ESTEBAN</t>
  </si>
  <si>
    <t>JOSE GUADALUPE DE LA CRUZ RAMIREZ</t>
  </si>
  <si>
    <t>1,602.00 USD</t>
  </si>
  <si>
    <t>28,515.60 MXN</t>
  </si>
  <si>
    <t>A25506-2610</t>
  </si>
  <si>
    <t>JIMI ALEXANDER SANCHEZ ELVIN</t>
  </si>
  <si>
    <t>LOURDES ARACELY SOSA CORDOVA</t>
  </si>
  <si>
    <t>A25506-1885</t>
  </si>
  <si>
    <t>JIMMY ALEXANDER MADARIAGA IZAGUIRRE</t>
  </si>
  <si>
    <t>MARIA CRISTINA MEJIA OSORTO</t>
  </si>
  <si>
    <t>7,365.00 HNL</t>
  </si>
  <si>
    <t>A25506-1520</t>
  </si>
  <si>
    <t>MARIA CRISTINA MEGUIA OSORTO</t>
  </si>
  <si>
    <t>405.02 USD</t>
  </si>
  <si>
    <t>9,999.94 HNL</t>
  </si>
  <si>
    <t>A25506-7734</t>
  </si>
  <si>
    <t>4,919.04 HNL</t>
  </si>
  <si>
    <t>A25506-8730</t>
  </si>
  <si>
    <t>1,081.50 HNL</t>
  </si>
  <si>
    <t>A25506-8702</t>
  </si>
  <si>
    <t>6,437.50 HNL</t>
  </si>
  <si>
    <t>A25506-2982</t>
  </si>
  <si>
    <t>JIMMY DANIEL CASTILLO GARCIA</t>
  </si>
  <si>
    <t>MARICELA GARCIA HERNANDEZ</t>
  </si>
  <si>
    <t>A25506-3181</t>
  </si>
  <si>
    <t>JOEL HERNANDEZ LOPEZ</t>
  </si>
  <si>
    <t>ZENAIDA HERNANDEZ LOPEZ</t>
  </si>
  <si>
    <t>A25506-7460</t>
  </si>
  <si>
    <t>MARCELINA GARCIA PEREZ</t>
  </si>
  <si>
    <t>19,840.00 MXN</t>
  </si>
  <si>
    <t>A25506-7859</t>
  </si>
  <si>
    <t>A25506-2093</t>
  </si>
  <si>
    <t>JONATHAN ALTAMIRA ESPARZA</t>
  </si>
  <si>
    <t>ALMA ARACELI CHAVEZ CAMPOS</t>
  </si>
  <si>
    <t>560.22 USD</t>
  </si>
  <si>
    <t>9,999.93 MXN</t>
  </si>
  <si>
    <t>A25506-1673</t>
  </si>
  <si>
    <t>834.00 USD</t>
  </si>
  <si>
    <t>15,012.00 MXN</t>
  </si>
  <si>
    <t>A25506-1549</t>
  </si>
  <si>
    <t>601.00 USD</t>
  </si>
  <si>
    <t>10,000.64 MXN</t>
  </si>
  <si>
    <t>A25506-6848</t>
  </si>
  <si>
    <t>MA ANTONIA RODRIGUEZ AGUINAGA</t>
  </si>
  <si>
    <t>50,250.00 MXN</t>
  </si>
  <si>
    <t>A25506-7709</t>
  </si>
  <si>
    <t>JONATHAN GARZA CASOS</t>
  </si>
  <si>
    <t>ARACELY CRUZ MORENO</t>
  </si>
  <si>
    <t>179.00 USD</t>
  </si>
  <si>
    <t>3,615.80 MXN</t>
  </si>
  <si>
    <t>A25506-7702</t>
  </si>
  <si>
    <t>FERNANDO CAZAREZ ORTEGA</t>
  </si>
  <si>
    <t>19,649.00 MXN</t>
  </si>
  <si>
    <t>A25506-8803</t>
  </si>
  <si>
    <t>1,266.20 MXN</t>
  </si>
  <si>
    <t>A25506-8283</t>
  </si>
  <si>
    <t>A25506-3376</t>
  </si>
  <si>
    <t>JONATHAN MAURICIO LUNA HERNANDEZ</t>
  </si>
  <si>
    <t>ITZEL GUADALUPE CUEVAS ACEVEDO</t>
  </si>
  <si>
    <t>5,730.00 MXN</t>
  </si>
  <si>
    <t>A25506-3239</t>
  </si>
  <si>
    <t>4,927.50 MXN</t>
  </si>
  <si>
    <t>A25506-2754</t>
  </si>
  <si>
    <t>A25506-2480</t>
  </si>
  <si>
    <t>6,188.00 MXN</t>
  </si>
  <si>
    <t>A25506-2383</t>
  </si>
  <si>
    <t>6,973.20 MXN</t>
  </si>
  <si>
    <t>A25506-2051</t>
  </si>
  <si>
    <t>9,845.00 MXN</t>
  </si>
  <si>
    <t>A25506-1525</t>
  </si>
  <si>
    <t>1,012.60 MXN</t>
  </si>
  <si>
    <t>A25506-7452</t>
  </si>
  <si>
    <t>A25506-8728</t>
  </si>
  <si>
    <t>A25506-3412</t>
  </si>
  <si>
    <t>JONY ALEXANDER PSCUAL MARTINEZ</t>
  </si>
  <si>
    <t>MARIA DELMY DINA MARTINEZ</t>
  </si>
  <si>
    <t>22,230.00 HNL</t>
  </si>
  <si>
    <t>A25506-3101</t>
  </si>
  <si>
    <t>21,046.00 HNL</t>
  </si>
  <si>
    <t>A25506-2723</t>
  </si>
  <si>
    <t>24,453.00 HNL</t>
  </si>
  <si>
    <t>A25506-2060</t>
  </si>
  <si>
    <t>41,820.00 HNL</t>
  </si>
  <si>
    <t>A25506-6911</t>
  </si>
  <si>
    <t>A25506-7812</t>
  </si>
  <si>
    <t>A25506-8743</t>
  </si>
  <si>
    <t>YARITZA YASMIN MEJIA ORELLANA</t>
  </si>
  <si>
    <t>A25506-3328</t>
  </si>
  <si>
    <t>JORGE ALEJANDRO RIVAS LARA</t>
  </si>
  <si>
    <t>10,455.50 MXN</t>
  </si>
  <si>
    <t>A25506-3096</t>
  </si>
  <si>
    <t>JORGE ANTONIO DE LA ROSA HURTADO</t>
  </si>
  <si>
    <t>A25506-2144</t>
  </si>
  <si>
    <t>JUAN ANTONIO DE LA ROSA</t>
  </si>
  <si>
    <t>2,238.75 MXN</t>
  </si>
  <si>
    <t>A25506-6820</t>
  </si>
  <si>
    <t>A25506-3350</t>
  </si>
  <si>
    <t>JORGE ARMANDO SAUCEDO GALAVIZ</t>
  </si>
  <si>
    <t>GABRIELA DIAZ MARIN</t>
  </si>
  <si>
    <t>4,584.00 MXN</t>
  </si>
  <si>
    <t>A25506-3206</t>
  </si>
  <si>
    <t>3,743.00 MXN</t>
  </si>
  <si>
    <t>A25506-3014</t>
  </si>
  <si>
    <t>3,705.00 MXN</t>
  </si>
  <si>
    <t>A25506-2701</t>
  </si>
  <si>
    <t>315.00 USD</t>
  </si>
  <si>
    <t>5,890.50 MXN</t>
  </si>
  <si>
    <t>A25506-2257</t>
  </si>
  <si>
    <t>1,063.20 MXN</t>
  </si>
  <si>
    <t>A25506-2219</t>
  </si>
  <si>
    <t>343.00 USD</t>
  </si>
  <si>
    <t>6,002.50 MXN</t>
  </si>
  <si>
    <t>A25506-2218</t>
  </si>
  <si>
    <t>A25506-1991</t>
  </si>
  <si>
    <t>2,353.00 MXN</t>
  </si>
  <si>
    <t>A25506-8791</t>
  </si>
  <si>
    <t>JORGE CALIX CAMPOS</t>
  </si>
  <si>
    <t>CARLOS ALBERTO CAMPOS</t>
  </si>
  <si>
    <t>A25506-6878</t>
  </si>
  <si>
    <t>JORGE GARCIA GOMEZ</t>
  </si>
  <si>
    <t>MAYRA MONICA GARCIA GOMEZ</t>
  </si>
  <si>
    <t>A25506-1628</t>
  </si>
  <si>
    <t>JORGE GARCIA RODRIGUEZ</t>
  </si>
  <si>
    <t>JUAN JORGE GARCIA GOMEZ</t>
  </si>
  <si>
    <t>15,840.00 MXN</t>
  </si>
  <si>
    <t>A25506-7543</t>
  </si>
  <si>
    <t>JORGE GONZALEZ ALONSO</t>
  </si>
  <si>
    <t>JORGE ALONSO GONZALEZ</t>
  </si>
  <si>
    <t>A25506-7542</t>
  </si>
  <si>
    <t>PATRICIA ADAME AGUIRRE</t>
  </si>
  <si>
    <t>26.00 USD</t>
  </si>
  <si>
    <t>500.50 MXN</t>
  </si>
  <si>
    <t>A25506-7541</t>
  </si>
  <si>
    <t>MIGUEL ALONSO GONZALEZ</t>
  </si>
  <si>
    <t>10,070.00 MXN</t>
  </si>
  <si>
    <t>A25506-6663</t>
  </si>
  <si>
    <t>JORGE IVAN MARTINEZ GARCIA</t>
  </si>
  <si>
    <t>ROCIO BELEM CRUZ PUENTE</t>
  </si>
  <si>
    <t>8,000.00 MXN</t>
  </si>
  <si>
    <t>A25506-2303</t>
  </si>
  <si>
    <t>JORGE LUIS GONZALEZ</t>
  </si>
  <si>
    <t>CINTHIA NATALY ZAVALA VAZQUEZ</t>
  </si>
  <si>
    <t>500.64 MXN</t>
  </si>
  <si>
    <t>A25506-2332</t>
  </si>
  <si>
    <t>JORGE LUIS LINO DE JESUS</t>
  </si>
  <si>
    <t>ALMA ROSA LINO DE JESUS</t>
  </si>
  <si>
    <t>285.00 USD</t>
  </si>
  <si>
    <t>5,044.50 MXN</t>
  </si>
  <si>
    <t>A25506-3027</t>
  </si>
  <si>
    <t>JORGE MANUEL LUNA RAMIREZ</t>
  </si>
  <si>
    <t>ARGENIS JOEL VISCARRA RAMIREZ</t>
  </si>
  <si>
    <t>5,889.00 MXN</t>
  </si>
  <si>
    <t>NU BANK</t>
  </si>
  <si>
    <t>A25506-6780</t>
  </si>
  <si>
    <t>JORGE MENDOZA GOMEZ</t>
  </si>
  <si>
    <t>FABIAN ESTAY SALAZAR RAMIREZ</t>
  </si>
  <si>
    <t>670.00 USD</t>
  </si>
  <si>
    <t>13,467.00 MXN</t>
  </si>
  <si>
    <t>MEXICO - JALISCO - LAGOS DE MORENO</t>
  </si>
  <si>
    <t>A25506-6779</t>
  </si>
  <si>
    <t>MARIA RAQUEL MARTINEZ REA</t>
  </si>
  <si>
    <t>1,608.00 MXN</t>
  </si>
  <si>
    <t>A25506-7488</t>
  </si>
  <si>
    <t>1,400.00 MXN</t>
  </si>
  <si>
    <t>A25506-7486</t>
  </si>
  <si>
    <t>A25506-6917</t>
  </si>
  <si>
    <t>JORGE OSMIN MOLINA AGUSTIN</t>
  </si>
  <si>
    <t>NORMA ARACELY PACHECO SANCHEZ</t>
  </si>
  <si>
    <t>12,795.00 HNL</t>
  </si>
  <si>
    <t>HONDURAS - COPAN - CORQUIN</t>
  </si>
  <si>
    <t>A25506-7483</t>
  </si>
  <si>
    <t>RAMON PACHECO</t>
  </si>
  <si>
    <t>784.00 USD</t>
  </si>
  <si>
    <t>20,015.52 HNL</t>
  </si>
  <si>
    <t>A25506-3214</t>
  </si>
  <si>
    <t>JORGE SANCHEZ MARES</t>
  </si>
  <si>
    <t>ARELI ALEXANDRA RAYAS SALAS</t>
  </si>
  <si>
    <t>A25506-7792</t>
  </si>
  <si>
    <t>JOSE ABELARDO OBREGON DAVILA</t>
  </si>
  <si>
    <t>FRANCISCO JAVIER MENDOZA SOZA</t>
  </si>
  <si>
    <t>A25506-7787</t>
  </si>
  <si>
    <t>MARLING JANETH OBANDO</t>
  </si>
  <si>
    <t>A25506-2776</t>
  </si>
  <si>
    <t>JOSE ALBERTO BECERRIL</t>
  </si>
  <si>
    <t>MARIA ISABEL MENDOZA CALDERON</t>
  </si>
  <si>
    <t>9,123.80 MXN</t>
  </si>
  <si>
    <t>A25506-2573</t>
  </si>
  <si>
    <t>A25506-2197</t>
  </si>
  <si>
    <t>GERARDO BECERRIL MENDOZA</t>
  </si>
  <si>
    <t>1,003.20 MXN</t>
  </si>
  <si>
    <t>A25506-2196</t>
  </si>
  <si>
    <t>8,624.00 MXN</t>
  </si>
  <si>
    <t>A25506-2159</t>
  </si>
  <si>
    <t>JOSE ALEJANDRO MEDINA CERDA</t>
  </si>
  <si>
    <t>SUJEY GISELA GARCIA AGUILAR</t>
  </si>
  <si>
    <t>2,507.40 MXN</t>
  </si>
  <si>
    <t>MEXICO - NUEVO LEON - LINARES</t>
  </si>
  <si>
    <t>A25506-6880</t>
  </si>
  <si>
    <t>JOSE ALEXANDER MORALES URBINA</t>
  </si>
  <si>
    <t>REINA ELETICIA MELGAR VASQUEZ</t>
  </si>
  <si>
    <t>352.00 USD</t>
  </si>
  <si>
    <t>9,007.68 HNL</t>
  </si>
  <si>
    <t>A25506-6879</t>
  </si>
  <si>
    <t>WILMER ALEXANDER COTO LANDAVERDE</t>
  </si>
  <si>
    <t>509.00 USD</t>
  </si>
  <si>
    <t>13,025.31 HNL</t>
  </si>
  <si>
    <t>A25506-6686</t>
  </si>
  <si>
    <t>JOSE ALFREDO BANUELOS SALAZAR</t>
  </si>
  <si>
    <t>JOSE LUIS BANUELOS SALAZAR</t>
  </si>
  <si>
    <t>MEXICO - MICHOACAN - EL LIMON DE PAPATZINDAN</t>
  </si>
  <si>
    <t>A25506-3089</t>
  </si>
  <si>
    <t>JOSE ALFREDO CASTILLO</t>
  </si>
  <si>
    <t>1,959.00 MXN</t>
  </si>
  <si>
    <t>A25506-3013</t>
  </si>
  <si>
    <t>JOSE ALFREDO DE LUNA CARMONA</t>
  </si>
  <si>
    <t>5,862.00 MXN</t>
  </si>
  <si>
    <t>A25506-7714</t>
  </si>
  <si>
    <t>JOSE ALFREDO MENDEZ REYES</t>
  </si>
  <si>
    <t>ALFREDO MENDEZ MARTINEZ</t>
  </si>
  <si>
    <t>1,493.00 USD</t>
  </si>
  <si>
    <t>30,009.30 MXN</t>
  </si>
  <si>
    <t>A25506-2092</t>
  </si>
  <si>
    <t>JOSE ALFREDO TORRES BRIONES</t>
  </si>
  <si>
    <t>SAHARA GABRIELA OLVERA CRESPO</t>
  </si>
  <si>
    <t>14,280.00 MXN</t>
  </si>
  <si>
    <t>A25506-2001</t>
  </si>
  <si>
    <t>17,928.90 MXN</t>
  </si>
  <si>
    <t>A25506-1912</t>
  </si>
  <si>
    <t>17,640.00 MXN</t>
  </si>
  <si>
    <t>A25506-1799</t>
  </si>
  <si>
    <t>18,018.00 MXN</t>
  </si>
  <si>
    <t>A25506-1736</t>
  </si>
  <si>
    <t>14,400.00 MXN</t>
  </si>
  <si>
    <t>A25506-1601</t>
  </si>
  <si>
    <t>11,830.00 MXN</t>
  </si>
  <si>
    <t>A25506-7767</t>
  </si>
  <si>
    <t>JUANA ELIZABETH TORRES OLVERA</t>
  </si>
  <si>
    <t>A25506-8733</t>
  </si>
  <si>
    <t>A25506-8280</t>
  </si>
  <si>
    <t>5,000.00 MXN</t>
  </si>
  <si>
    <t>A25506-1915</t>
  </si>
  <si>
    <t>JOSE ALFREDO TORRES OLVERA</t>
  </si>
  <si>
    <t>DEISY MARLEN TORRES BRIONES</t>
  </si>
  <si>
    <t>1,801.00 MXN</t>
  </si>
  <si>
    <t>A25506-1910</t>
  </si>
  <si>
    <t>KARINA DANIELA RODRIGUEZ VARGAS</t>
  </si>
  <si>
    <t>10,800.00 MXN</t>
  </si>
  <si>
    <t>A25506-1735</t>
  </si>
  <si>
    <t>A25506-8340</t>
  </si>
  <si>
    <t>JOSE ANDRES PATZAN XETEY</t>
  </si>
  <si>
    <t>5,319.90 GTQ</t>
  </si>
  <si>
    <t>A25506-3272</t>
  </si>
  <si>
    <t>JOSE ANGEL CALIX BONILLA</t>
  </si>
  <si>
    <t>MERCEDES CALIX ROMERO</t>
  </si>
  <si>
    <t>A25506-3271</t>
  </si>
  <si>
    <t>FANNY LIZZETH GUZMAN DISCUA</t>
  </si>
  <si>
    <t>41.00 USD</t>
  </si>
  <si>
    <t>1,015.16 HNL</t>
  </si>
  <si>
    <t>A25506-2853</t>
  </si>
  <si>
    <t>BLASA GARCIA LOPEZ</t>
  </si>
  <si>
    <t>17,919.00 MXN</t>
  </si>
  <si>
    <t>A25506-2840</t>
  </si>
  <si>
    <t>GLORIA YASMIN GUIFARRO SOTO</t>
  </si>
  <si>
    <t>7,056.60 HNL</t>
  </si>
  <si>
    <t>A25506-2830</t>
  </si>
  <si>
    <t>114.00 USD</t>
  </si>
  <si>
    <t>2,822.64 HNL</t>
  </si>
  <si>
    <t>A25506-2746</t>
  </si>
  <si>
    <t>KENIA NAZARETH DISCUA CALIX</t>
  </si>
  <si>
    <t>A25506-2241</t>
  </si>
  <si>
    <t>16,929.00 MXN</t>
  </si>
  <si>
    <t>A25506-3365</t>
  </si>
  <si>
    <t>JOSE ANGEL FLORES RAMIREZ</t>
  </si>
  <si>
    <t>FABIOLA SANJUAN OLVERA</t>
  </si>
  <si>
    <t>2,850.00 MXN</t>
  </si>
  <si>
    <t>A25506-3054</t>
  </si>
  <si>
    <t>A25506-3053</t>
  </si>
  <si>
    <t>NALLELY DENISSE GARCIA HERNANDEZ</t>
  </si>
  <si>
    <t>19,460.00 MXN</t>
  </si>
  <si>
    <t>A25506-6636</t>
  </si>
  <si>
    <t>10,015.00 MXN</t>
  </si>
  <si>
    <t>A25506-2487</t>
  </si>
  <si>
    <t>JOSE ANGEL LOPEZ</t>
  </si>
  <si>
    <t>TERESA OCHOA</t>
  </si>
  <si>
    <t>588.00 USD</t>
  </si>
  <si>
    <t>14,523.60 HNL</t>
  </si>
  <si>
    <t>A25506-7757</t>
  </si>
  <si>
    <t>MIRNA LIZETH CONTRERAS VARELA</t>
  </si>
  <si>
    <t>72.00 USD</t>
  </si>
  <si>
    <t>1,844.64 HNL</t>
  </si>
  <si>
    <t>A25506-3067</t>
  </si>
  <si>
    <t>JOSE ANGUIANO REYES</t>
  </si>
  <si>
    <t>MAR Y SOL PEREZ BLANCO</t>
  </si>
  <si>
    <t>48,775.00 MXN</t>
  </si>
  <si>
    <t>A25506-2868</t>
  </si>
  <si>
    <t>VERONICA LIZETTE GUTIERREZ MENDEZ</t>
  </si>
  <si>
    <t>4,200.00 MXN</t>
  </si>
  <si>
    <t>A25506-2795</t>
  </si>
  <si>
    <t>1,625.00 USD</t>
  </si>
  <si>
    <t>30,062.50 MXN</t>
  </si>
  <si>
    <t>A25506-2699</t>
  </si>
  <si>
    <t>30,013.50 MXN</t>
  </si>
  <si>
    <t>A25506-2602</t>
  </si>
  <si>
    <t>1,345.00 USD</t>
  </si>
  <si>
    <t>25,017.00 MXN</t>
  </si>
  <si>
    <t>A25506-2469</t>
  </si>
  <si>
    <t>2,204.00 USD</t>
  </si>
  <si>
    <t>40,002.60 MXN</t>
  </si>
  <si>
    <t>A25506-2264</t>
  </si>
  <si>
    <t>2,009.82 MXN</t>
  </si>
  <si>
    <t>A25506-2198</t>
  </si>
  <si>
    <t>1,995.00 USD</t>
  </si>
  <si>
    <t>35,012.25 MXN</t>
  </si>
  <si>
    <t>A25506-1975</t>
  </si>
  <si>
    <t>1,437.00 USD</t>
  </si>
  <si>
    <t>26,009.70 MXN</t>
  </si>
  <si>
    <t>A25506-1678</t>
  </si>
  <si>
    <t>1,445.00 USD</t>
  </si>
  <si>
    <t>26,010.00 MXN</t>
  </si>
  <si>
    <t>A25506-1584</t>
  </si>
  <si>
    <t>1,314.00 USD</t>
  </si>
  <si>
    <t>22,009.50 MXN</t>
  </si>
  <si>
    <t>A25506-1506</t>
  </si>
  <si>
    <t>13,280.00 MXN</t>
  </si>
  <si>
    <t>A25506-3419</t>
  </si>
  <si>
    <t>JOSE ANTONIO GARCIA AVILA</t>
  </si>
  <si>
    <t>ANTONIO GARCIA TENORIO</t>
  </si>
  <si>
    <t>157.00 USD</t>
  </si>
  <si>
    <t>3,014.40 MXN</t>
  </si>
  <si>
    <t>A25506-2354</t>
  </si>
  <si>
    <t>281.00 USD</t>
  </si>
  <si>
    <t>5,001.80 MXN</t>
  </si>
  <si>
    <t>A25506-7808</t>
  </si>
  <si>
    <t>VICTORIA AVILA CLARA</t>
  </si>
  <si>
    <t>A25506-7807</t>
  </si>
  <si>
    <t>A25506-3465</t>
  </si>
  <si>
    <t>JOSE ANTONIO SANCHEZ CORREA</t>
  </si>
  <si>
    <t>18,192.50 MXN</t>
  </si>
  <si>
    <t>A25506-3323</t>
  </si>
  <si>
    <t>JOSE ANTONIO SANCHEZ GOMEZ</t>
  </si>
  <si>
    <t>MARIA GOMEZ ARAIZA</t>
  </si>
  <si>
    <t>10,069.50 MXN</t>
  </si>
  <si>
    <t>A25506-3166</t>
  </si>
  <si>
    <t>345.00 USD</t>
  </si>
  <si>
    <t>6,796.50 MXN</t>
  </si>
  <si>
    <t>A25506-3165</t>
  </si>
  <si>
    <t>CITLALI GUADALUPE PINA GALVAN</t>
  </si>
  <si>
    <t>255.00 USD</t>
  </si>
  <si>
    <t>5,023.50 MXN</t>
  </si>
  <si>
    <t>A25506-2452</t>
  </si>
  <si>
    <t>A25506-2451</t>
  </si>
  <si>
    <t>A25506-2418</t>
  </si>
  <si>
    <t>5,012.00 MXN</t>
  </si>
  <si>
    <t>A25506-1545</t>
  </si>
  <si>
    <t>11,620.00 MXN</t>
  </si>
  <si>
    <t>A25506-8299</t>
  </si>
  <si>
    <t>A25506-7520</t>
  </si>
  <si>
    <t>JOSE ANTONIO SAUZ GARCIA</t>
  </si>
  <si>
    <t>MA ASUNCION GARCIA ACOSTA</t>
  </si>
  <si>
    <t>A25506-2848</t>
  </si>
  <si>
    <t>JOSE ANTONIO ZAMORA</t>
  </si>
  <si>
    <t>MELVIN JOSE VARGAS</t>
  </si>
  <si>
    <t>A25506-2847</t>
  </si>
  <si>
    <t>KEYLA IVETTE LAGUNA VALLEJOS</t>
  </si>
  <si>
    <t>A25506-3210</t>
  </si>
  <si>
    <t>JOSE ARIEL CANTARERO QUINTANILLA</t>
  </si>
  <si>
    <t>JOSE ABEL CANTARERO RODRIGUEZ</t>
  </si>
  <si>
    <t>23,474.50 HNL</t>
  </si>
  <si>
    <t>A25506-1884</t>
  </si>
  <si>
    <t>DORIS QUINTANILLA DIAZ</t>
  </si>
  <si>
    <t>14,730.00 HNL</t>
  </si>
  <si>
    <t>A25506-6688</t>
  </si>
  <si>
    <t>12,665.00 HNL</t>
  </si>
  <si>
    <t>A25506-7540</t>
  </si>
  <si>
    <t>15,318.00 HNL</t>
  </si>
  <si>
    <t>A25506-8734</t>
  </si>
  <si>
    <t>7,725.00 HNL</t>
  </si>
  <si>
    <t>A25506-3151</t>
  </si>
  <si>
    <t>JOSE ARMANDO FABELA PALACIOS</t>
  </si>
  <si>
    <t>RUTH VALENTINA GALLARDO MARTINEZ</t>
  </si>
  <si>
    <t>410.00 USD</t>
  </si>
  <si>
    <t>8,085.20 MXN</t>
  </si>
  <si>
    <t>A25506-2897</t>
  </si>
  <si>
    <t>A25506-2790</t>
  </si>
  <si>
    <t>IBIS FAVELA PALACIOS</t>
  </si>
  <si>
    <t>27.00 USD</t>
  </si>
  <si>
    <t>501.12 MXN</t>
  </si>
  <si>
    <t>A25506-2789</t>
  </si>
  <si>
    <t>A25506-2666</t>
  </si>
  <si>
    <t>12,610.00 MXN</t>
  </si>
  <si>
    <t>A25506-2579</t>
  </si>
  <si>
    <t>2,800.00 USD</t>
  </si>
  <si>
    <t>53,144.00 MXN</t>
  </si>
  <si>
    <t>A25506-2181</t>
  </si>
  <si>
    <t>507.50 MXN</t>
  </si>
  <si>
    <t>A25506-2180</t>
  </si>
  <si>
    <t>19,250.00 MXN</t>
  </si>
  <si>
    <t>A25506-1999</t>
  </si>
  <si>
    <t>510.44 MXN</t>
  </si>
  <si>
    <t>A25506-1771</t>
  </si>
  <si>
    <t>6,457.50 MXN</t>
  </si>
  <si>
    <t>A25506-1648</t>
  </si>
  <si>
    <t>A25506-1577</t>
  </si>
  <si>
    <t>21,931.00 MXN</t>
  </si>
  <si>
    <t>A25506-1494</t>
  </si>
  <si>
    <t>18,260.00 MXN</t>
  </si>
  <si>
    <t>A25506-6676</t>
  </si>
  <si>
    <t>A25506-7499</t>
  </si>
  <si>
    <t>17,136.00 MXN</t>
  </si>
  <si>
    <t>A25506-6678</t>
  </si>
  <si>
    <t>JOSE BENIGNO LOPEZ CONTRERA</t>
  </si>
  <si>
    <t>DINORA ROSIBEL MARADIAGA CHAVARRIA</t>
  </si>
  <si>
    <t>1,533.60 HNL</t>
  </si>
  <si>
    <t>HONDURAS - CHOLUTECA - TRIUNFO</t>
  </si>
  <si>
    <t>A25506-3422</t>
  </si>
  <si>
    <t>JOSE BYLLI DIAZ VEGA</t>
  </si>
  <si>
    <t>14,385.00 MXN</t>
  </si>
  <si>
    <t>A25506-3253</t>
  </si>
  <si>
    <t>A25506-2994</t>
  </si>
  <si>
    <t>A25506-2499</t>
  </si>
  <si>
    <t>33,762.50 MXN</t>
  </si>
  <si>
    <t>A25506-2498</t>
  </si>
  <si>
    <t>A25506-2323</t>
  </si>
  <si>
    <t>10,620.00 MXN</t>
  </si>
  <si>
    <t>A25506-1798</t>
  </si>
  <si>
    <t>A25506-1711</t>
  </si>
  <si>
    <t>A25506-7698</t>
  </si>
  <si>
    <t>6,015.00 MXN</t>
  </si>
  <si>
    <t>A25506-8751</t>
  </si>
  <si>
    <t>3,880.00 MXN</t>
  </si>
  <si>
    <t>A25506-8264</t>
  </si>
  <si>
    <t>7,052.50 MXN</t>
  </si>
  <si>
    <t>A25506-3336</t>
  </si>
  <si>
    <t>JOSE CAMILO HERNANDEZ</t>
  </si>
  <si>
    <t>26.13 USD</t>
  </si>
  <si>
    <t>499.87 MXN</t>
  </si>
  <si>
    <t>A25506-2898</t>
  </si>
  <si>
    <t>513.00 MXN</t>
  </si>
  <si>
    <t>A25506-1865</t>
  </si>
  <si>
    <t>506.24 MXN</t>
  </si>
  <si>
    <t>A25506-1772</t>
  </si>
  <si>
    <t>513.80 MXN</t>
  </si>
  <si>
    <t>A25506-1649</t>
  </si>
  <si>
    <t>503.16 MXN</t>
  </si>
  <si>
    <t>A25506-2742</t>
  </si>
  <si>
    <t>JOSE CAMILO MEJIA GRANADOS</t>
  </si>
  <si>
    <t>ISIS MERCEDES DISCUA CALIX</t>
  </si>
  <si>
    <t>61,575.00 HNL</t>
  </si>
  <si>
    <t>A25506-2562</t>
  </si>
  <si>
    <t>JOSE CARDONA JUAREZ</t>
  </si>
  <si>
    <t>MARIA DEL CARMEN PALACIOS TURRUBIARTES</t>
  </si>
  <si>
    <t>650.40 USD</t>
  </si>
  <si>
    <t>11,999.88 MXN</t>
  </si>
  <si>
    <t>A25506-2428</t>
  </si>
  <si>
    <t>620.00 USD</t>
  </si>
  <si>
    <t>11,160.00 MXN</t>
  </si>
  <si>
    <t>A25506-2233</t>
  </si>
  <si>
    <t>8,750.00 MXN</t>
  </si>
  <si>
    <t>A25506-2171</t>
  </si>
  <si>
    <t>5,250.00 MXN</t>
  </si>
  <si>
    <t>A25506-3154</t>
  </si>
  <si>
    <t>JOSE CARLOS ALVAREZ</t>
  </si>
  <si>
    <t>FERNANDA ISABEL ALVAREZ</t>
  </si>
  <si>
    <t>254.00 USD</t>
  </si>
  <si>
    <t>5,003.80 MXN</t>
  </si>
  <si>
    <t>A25506-2864</t>
  </si>
  <si>
    <t>JESICA NEGRETE TRUJILLO</t>
  </si>
  <si>
    <t>1,692.00 MXN</t>
  </si>
  <si>
    <t>A25506-2863</t>
  </si>
  <si>
    <t>KARINA RAMIREZ PEREZ</t>
  </si>
  <si>
    <t>4,192.40 MXN</t>
  </si>
  <si>
    <t>A25506-6664</t>
  </si>
  <si>
    <t>DIANA ARACELI ALVAREZ RAMIREZ</t>
  </si>
  <si>
    <t>A25506-8766</t>
  </si>
  <si>
    <t>GLORIA ALVAREZ</t>
  </si>
  <si>
    <t>4,296.60 MXN</t>
  </si>
  <si>
    <t>A25506-8336</t>
  </si>
  <si>
    <t>A25506-2053</t>
  </si>
  <si>
    <t>JOSE CARLOS MEDINA SARMIENTO</t>
  </si>
  <si>
    <t>ELEODORA SARMIENTO REYES</t>
  </si>
  <si>
    <t>7,425.00 HNL</t>
  </si>
  <si>
    <t>HONDURAS - SANTA BARBARA - QUIMISTAN</t>
  </si>
  <si>
    <t>A25506-2052</t>
  </si>
  <si>
    <t>BARTOLO MEDINA SARMIENTO</t>
  </si>
  <si>
    <t>404.04 USD</t>
  </si>
  <si>
    <t>9,999.99 HNL</t>
  </si>
  <si>
    <t>A25506-3458</t>
  </si>
  <si>
    <t>JOSE CEPEDA RODRIGUEZ</t>
  </si>
  <si>
    <t>TEREZA MARQUEZ CHIQUITO</t>
  </si>
  <si>
    <t>7,506.80 MXN</t>
  </si>
  <si>
    <t>MEXICO - NUEVO LEON - APODACA</t>
  </si>
  <si>
    <t>A25506-3378</t>
  </si>
  <si>
    <t>18,240.00 MXN</t>
  </si>
  <si>
    <t>A25506-3324</t>
  </si>
  <si>
    <t>JOSE CESARIO GARCIA HUERTA</t>
  </si>
  <si>
    <t>MA ANGELICA ARREDONDO QUINTERO</t>
  </si>
  <si>
    <t>9,525.00 MXN</t>
  </si>
  <si>
    <t>A25506-3120</t>
  </si>
  <si>
    <t>A25506-3237</t>
  </si>
  <si>
    <t>JOSE CRISTIAN RODRIGUEZ GOMEZ</t>
  </si>
  <si>
    <t>LAURA ISELA BURGOS ORNELAS</t>
  </si>
  <si>
    <t>6,944.00 MXN</t>
  </si>
  <si>
    <t>A25506-3236</t>
  </si>
  <si>
    <t>A25506-2924</t>
  </si>
  <si>
    <t>5,700.00 MXN</t>
  </si>
  <si>
    <t>A25506-2821</t>
  </si>
  <si>
    <t>7,420.00 MXN</t>
  </si>
  <si>
    <t>A25506-2745</t>
  </si>
  <si>
    <t>11,178.00 MXN</t>
  </si>
  <si>
    <t>A25506-2698</t>
  </si>
  <si>
    <t>CARLOS SANTIAGO GARCIA MEDELLIN</t>
  </si>
  <si>
    <t>1,496.00 MXN</t>
  </si>
  <si>
    <t>A25506-2472</t>
  </si>
  <si>
    <t>5,445.00 MXN</t>
  </si>
  <si>
    <t>A25506-2382</t>
  </si>
  <si>
    <t>GUADALUPE AVALOS</t>
  </si>
  <si>
    <t>765.00 MXN</t>
  </si>
  <si>
    <t>A25506-2352</t>
  </si>
  <si>
    <t>5,310.00 MXN</t>
  </si>
  <si>
    <t>A25506-2097</t>
  </si>
  <si>
    <t>A25506-1893</t>
  </si>
  <si>
    <t>ELVIRA GOMEZ TORRES</t>
  </si>
  <si>
    <t>A25506-1804</t>
  </si>
  <si>
    <t>1,001.00 MXN</t>
  </si>
  <si>
    <t>A25506-1803</t>
  </si>
  <si>
    <t>5,460.00 MXN</t>
  </si>
  <si>
    <t>A25506-1683</t>
  </si>
  <si>
    <t>A25506-1593</t>
  </si>
  <si>
    <t>3,376.00 MXN</t>
  </si>
  <si>
    <t>A25506-1503</t>
  </si>
  <si>
    <t>4,947.00 MXN</t>
  </si>
  <si>
    <t>A25506-6850</t>
  </si>
  <si>
    <t>4,016.00 MXN</t>
  </si>
  <si>
    <t>A25506-8779</t>
  </si>
  <si>
    <t>1,952.00 MXN</t>
  </si>
  <si>
    <t>A25506-8778</t>
  </si>
  <si>
    <t>A25506-8762</t>
  </si>
  <si>
    <t>A25506-8761</t>
  </si>
  <si>
    <t>A25506-2959</t>
  </si>
  <si>
    <t>JOSE CRUZ MURILLO TORRES</t>
  </si>
  <si>
    <t>ELEAZAR DIAZ ANAYA</t>
  </si>
  <si>
    <t>MEXICO - ZACATECAS - GUADALUPE ZACATECAS</t>
  </si>
  <si>
    <t>A25506-2694</t>
  </si>
  <si>
    <t>JUANA RAMIREZ LLAMAS</t>
  </si>
  <si>
    <t>A25506-3211</t>
  </si>
  <si>
    <t>JOSE DAVID GOMEZ LOPEZ</t>
  </si>
  <si>
    <t>JOSE ISABEL GOMEZ LOPEZ</t>
  </si>
  <si>
    <t>2,471.00 HNL</t>
  </si>
  <si>
    <t>A25506-3156</t>
  </si>
  <si>
    <t>JOSE ELDER ALEMAN VASQUEZ</t>
  </si>
  <si>
    <t>2,203.64 HNL</t>
  </si>
  <si>
    <t>A25506-2319</t>
  </si>
  <si>
    <t>A25506-1933</t>
  </si>
  <si>
    <t>JUAN ANGEL GOMEZ LOPEZ</t>
  </si>
  <si>
    <t>10,139.30 HNL</t>
  </si>
  <si>
    <t>A25506-7773</t>
  </si>
  <si>
    <t>5,047.14 HNL</t>
  </si>
  <si>
    <t>A25506-8249</t>
  </si>
  <si>
    <t>147.00 USD</t>
  </si>
  <si>
    <t>3,764.67 HNL</t>
  </si>
  <si>
    <t>A25506-8248</t>
  </si>
  <si>
    <t>JOSE ALBERTO GOMEZ LOPEZ</t>
  </si>
  <si>
    <t>21,512.40 HNL</t>
  </si>
  <si>
    <t>A25506-6807</t>
  </si>
  <si>
    <t>JOSE DE JESUS GUTIERREZ SALAZAR</t>
  </si>
  <si>
    <t>ESTHER GOMEZ RODRIGUEZ</t>
  </si>
  <si>
    <t>MEXICO - JALISCO - SAN JUAN DE LOS LAGOS</t>
  </si>
  <si>
    <t>A25506-8729</t>
  </si>
  <si>
    <t>A25506-6767</t>
  </si>
  <si>
    <t>JOSE DE JESUS JUNIOR PENAFLOR CHIQUITO</t>
  </si>
  <si>
    <t>MARIA MERCEDES RUIZ GUTIERREZ</t>
  </si>
  <si>
    <t>A25506-6647</t>
  </si>
  <si>
    <t>JUAN SAMUEL PENAFLOR CHIQUITO</t>
  </si>
  <si>
    <t>2,700.00 USD</t>
  </si>
  <si>
    <t>54,216.00 MXN</t>
  </si>
  <si>
    <t>A25506-7713</t>
  </si>
  <si>
    <t>MA CECILIA MENDEZ REYES</t>
  </si>
  <si>
    <t>2,488.00 USD</t>
  </si>
  <si>
    <t>50,008.80 MXN</t>
  </si>
  <si>
    <t>A25506-3443</t>
  </si>
  <si>
    <t>JOSE DE JESUS RODRIGUEZ ORTEGA</t>
  </si>
  <si>
    <t>MARIA DE LA LUZ PEREZ RODRIGUEZ</t>
  </si>
  <si>
    <t>A25506-3235</t>
  </si>
  <si>
    <t>5,952.00 MXN</t>
  </si>
  <si>
    <t>A25506-2923</t>
  </si>
  <si>
    <t>A25506-2822</t>
  </si>
  <si>
    <t>A25506-2669</t>
  </si>
  <si>
    <t>7,780.00 MXN</t>
  </si>
  <si>
    <t>A25506-2668</t>
  </si>
  <si>
    <t>A25506-2667</t>
  </si>
  <si>
    <t>A25506-2473</t>
  </si>
  <si>
    <t>7,244.00 MXN</t>
  </si>
  <si>
    <t>A25506-2348</t>
  </si>
  <si>
    <t>7,100.00 MXN</t>
  </si>
  <si>
    <t>A25506-2206</t>
  </si>
  <si>
    <t>A25506-2098</t>
  </si>
  <si>
    <t>A25506-1965</t>
  </si>
  <si>
    <t>A25506-1876</t>
  </si>
  <si>
    <t>A25506-1805</t>
  </si>
  <si>
    <t>A25506-1644</t>
  </si>
  <si>
    <t>A25506-1594</t>
  </si>
  <si>
    <t>5,082.00 MXN</t>
  </si>
  <si>
    <t>A25506-1505</t>
  </si>
  <si>
    <t>5,001.00 MXN</t>
  </si>
  <si>
    <t>A25506-6886</t>
  </si>
  <si>
    <t>4,078.00 MXN</t>
  </si>
  <si>
    <t>A25506-7843</t>
  </si>
  <si>
    <t>JOSE DE JESUS SAUCEDO DIAZ</t>
  </si>
  <si>
    <t>A25506-8711</t>
  </si>
  <si>
    <t>A25506-8237</t>
  </si>
  <si>
    <t>A25506-2066</t>
  </si>
  <si>
    <t>JOSE DE JESUS TORRES LOPEZ</t>
  </si>
  <si>
    <t>LIZBET GUADALUPE GONZALEZ CABRERA</t>
  </si>
  <si>
    <t>A25506-1953</t>
  </si>
  <si>
    <t>CANDELARIA GONZALEZ COLMENERO</t>
  </si>
  <si>
    <t>3,448.50 MXN</t>
  </si>
  <si>
    <t>A25506-1952</t>
  </si>
  <si>
    <t>JUANA LOPEZ GUTIERREZ</t>
  </si>
  <si>
    <t>4,209.00 MXN</t>
  </si>
  <si>
    <t>A25506-1951</t>
  </si>
  <si>
    <t>3,477.00 MXN</t>
  </si>
  <si>
    <t>A25506-1872</t>
  </si>
  <si>
    <t>5,222.90 MXN</t>
  </si>
  <si>
    <t>A25506-1871</t>
  </si>
  <si>
    <t>3,421.90 MXN</t>
  </si>
  <si>
    <t>A25506-1870</t>
  </si>
  <si>
    <t>A25506-1762</t>
  </si>
  <si>
    <t>2,555.00 MXN</t>
  </si>
  <si>
    <t>A25506-1761</t>
  </si>
  <si>
    <t>1,847.00 MXN</t>
  </si>
  <si>
    <t>A25506-1760</t>
  </si>
  <si>
    <t>3,467.50 MXN</t>
  </si>
  <si>
    <t>A25506-1463</t>
  </si>
  <si>
    <t>1,665.00 MXN</t>
  </si>
  <si>
    <t>A25506-1766</t>
  </si>
  <si>
    <t>JOSE DESIDERIO ESQUIVEL ESPINO</t>
  </si>
  <si>
    <t>MA ALICIA RAMIREZ RAMIREZ</t>
  </si>
  <si>
    <t>14,640.00 MXN</t>
  </si>
  <si>
    <t>A25506-1423</t>
  </si>
  <si>
    <t>MARIA JESUS ESPINO VAZQUEZ</t>
  </si>
  <si>
    <t>16,580.00 MXN</t>
  </si>
  <si>
    <t>A25506-6874</t>
  </si>
  <si>
    <t>JOSE EMANUEL CHAJON XETEY</t>
  </si>
  <si>
    <t>IRMA YOLANDA CHAJON XETEY</t>
  </si>
  <si>
    <t>A25506-2146</t>
  </si>
  <si>
    <t>JOSE FERNANDO ORTEGA HERNANDEZ</t>
  </si>
  <si>
    <t>JOSE FRANCISCO RUBIO HERNANDEZ</t>
  </si>
  <si>
    <t>17,860.00 MXN</t>
  </si>
  <si>
    <t>A25506-3462</t>
  </si>
  <si>
    <t>JOSE GABRIEL ARAGON VALDEZ</t>
  </si>
  <si>
    <t>17,235.00 MXN</t>
  </si>
  <si>
    <t>A25506-3008</t>
  </si>
  <si>
    <t>17,613.00 MXN</t>
  </si>
  <si>
    <t>A25506-7797</t>
  </si>
  <si>
    <t>A25506-7482</t>
  </si>
  <si>
    <t>A25506-8749</t>
  </si>
  <si>
    <t>17,460.00 MXN</t>
  </si>
  <si>
    <t>A25506-3300</t>
  </si>
  <si>
    <t>JOSE GARCIA HERNANDEZ</t>
  </si>
  <si>
    <t>LUZ HORTENCIA CHAVEZ CASTILLO</t>
  </si>
  <si>
    <t>3,830.00 MXN</t>
  </si>
  <si>
    <t>A25506-3251</t>
  </si>
  <si>
    <t>MARIA CHAMORRO TOMAS</t>
  </si>
  <si>
    <t>A25506-3250</t>
  </si>
  <si>
    <t>ALINE ORTIZ CHAVEZ</t>
  </si>
  <si>
    <t>A25506-3033</t>
  </si>
  <si>
    <t>15,520.00 MXN</t>
  </si>
  <si>
    <t>A25506-2734</t>
  </si>
  <si>
    <t>3,726.00 MXN</t>
  </si>
  <si>
    <t>A25506-2568</t>
  </si>
  <si>
    <t>3,196.00 MXN</t>
  </si>
  <si>
    <t>A25506-2436</t>
  </si>
  <si>
    <t>3,678.00 MXN</t>
  </si>
  <si>
    <t>A25506-2161</t>
  </si>
  <si>
    <t>3,550.00 MXN</t>
  </si>
  <si>
    <t>A25506-1954</t>
  </si>
  <si>
    <t>CLAUDIA LOPEZ RAMIREZ</t>
  </si>
  <si>
    <t>8,052.00 MXN</t>
  </si>
  <si>
    <t>A25506-1934</t>
  </si>
  <si>
    <t>A25506-1791</t>
  </si>
  <si>
    <t>1,835.00 MXN</t>
  </si>
  <si>
    <t>A25506-1566</t>
  </si>
  <si>
    <t>3,366.00 MXN</t>
  </si>
  <si>
    <t>A25506-1562</t>
  </si>
  <si>
    <t>3,370.00 MXN</t>
  </si>
  <si>
    <t>A25506-6803</t>
  </si>
  <si>
    <t>A25506-2002</t>
  </si>
  <si>
    <t>JOSE GARCIA RUIZ</t>
  </si>
  <si>
    <t>TERESA DE JESUS SOTO IBARRA</t>
  </si>
  <si>
    <t>3,078.70 MXN</t>
  </si>
  <si>
    <t>A25506-7704</t>
  </si>
  <si>
    <t>JOSE GONZALEZ CADENA</t>
  </si>
  <si>
    <t>SILVIA GUTIERREZ GARCIA</t>
  </si>
  <si>
    <t>40,180.00 MXN</t>
  </si>
  <si>
    <t>A25506-7490</t>
  </si>
  <si>
    <t>JOSE GUADALUPE MARTINEZ PASILLA</t>
  </si>
  <si>
    <t>ANA ROSA VAZQUEZ GUTIERREZ</t>
  </si>
  <si>
    <t>A25506-8799</t>
  </si>
  <si>
    <t>JOSE GUADALUPE PADRON ROMERO</t>
  </si>
  <si>
    <t>JOSEFINA RAMIREZ MARTINEZ</t>
  </si>
  <si>
    <t>103.00 USD</t>
  </si>
  <si>
    <t>2,008.50 MXN</t>
  </si>
  <si>
    <t>A25506-2773</t>
  </si>
  <si>
    <t>JOSE GUADALUPE PINAL GALLEGOS</t>
  </si>
  <si>
    <t>MA DE JESUS GALLEGOS ZAVALA</t>
  </si>
  <si>
    <t>MEXICO - SAN LUIS POTOSI - VILLA DE ARISTA</t>
  </si>
  <si>
    <t>A25506-3315</t>
  </si>
  <si>
    <t>JOSE GUADALUPE VILLEGAS</t>
  </si>
  <si>
    <t>CATALINA VELAZQUEZ RODRIGUEZ</t>
  </si>
  <si>
    <t>A25506-2903</t>
  </si>
  <si>
    <t>A25506-2304</t>
  </si>
  <si>
    <t>A25506-2080</t>
  </si>
  <si>
    <t>A25506-6661</t>
  </si>
  <si>
    <t>9,036.00 MXN</t>
  </si>
  <si>
    <t>A25506-7503</t>
  </si>
  <si>
    <t>A25506-8266</t>
  </si>
  <si>
    <t>A25506-2660</t>
  </si>
  <si>
    <t>JOSE GUEL MARTINEZ</t>
  </si>
  <si>
    <t>PAULA GUEL MARTINEZ</t>
  </si>
  <si>
    <t>2,139.50 MXN</t>
  </si>
  <si>
    <t>A25506-2263</t>
  </si>
  <si>
    <t>1,763.00 MXN</t>
  </si>
  <si>
    <t>A25506-3189</t>
  </si>
  <si>
    <t>JOSE GUEVARA AGUILAR</t>
  </si>
  <si>
    <t>FRANKLIN SANTANA ALVARADO IZAGUIRRE</t>
  </si>
  <si>
    <t>A25506-2846</t>
  </si>
  <si>
    <t>DIGNA EMERITA ORO PALACIOS</t>
  </si>
  <si>
    <t>A25506-2281</t>
  </si>
  <si>
    <t>4,950.00 HNL</t>
  </si>
  <si>
    <t>A25506-2169</t>
  </si>
  <si>
    <t>RAMONA CARRERA CARRERA</t>
  </si>
  <si>
    <t>4,315.00 MXN</t>
  </si>
  <si>
    <t>MEXICO - TABASCO - VILLA HERMOSA</t>
  </si>
  <si>
    <t>A25506-2147</t>
  </si>
  <si>
    <t>JUAN CARLOS MOLINA DE LA CRUZ</t>
  </si>
  <si>
    <t>5,358.00 MXN</t>
  </si>
  <si>
    <t>A25506-6908</t>
  </si>
  <si>
    <t>JOSE GUSTAVO LOPEZ MOSQUEDA</t>
  </si>
  <si>
    <t>JUANA BANESSA LOPEZ HERNANDEZ</t>
  </si>
  <si>
    <t>A25506-6872</t>
  </si>
  <si>
    <t>4,036.00 MXN</t>
  </si>
  <si>
    <t>A25506-7447</t>
  </si>
  <si>
    <t>A25506-3243</t>
  </si>
  <si>
    <t>JOSE HECTOR SANCHEZ PEREZ</t>
  </si>
  <si>
    <t>JOSE DEMETRIO SANCHEZ DIAZ</t>
  </si>
  <si>
    <t>16,061.50 HNL</t>
  </si>
  <si>
    <t>A25506-2783</t>
  </si>
  <si>
    <t>MARIA ESPERANZA SANCHEZ PEREZ</t>
  </si>
  <si>
    <t>A25506-2506</t>
  </si>
  <si>
    <t>A25506-2366</t>
  </si>
  <si>
    <t>MARIA SANDRA SANCHEZ PEREZ</t>
  </si>
  <si>
    <t>2,464.00 HNL</t>
  </si>
  <si>
    <t>A25506-2365</t>
  </si>
  <si>
    <t>13,552.00 HNL</t>
  </si>
  <si>
    <t>A25506-2041</t>
  </si>
  <si>
    <t>ESDRAS SERVELIO SANCHEZ HERNANDEZ</t>
  </si>
  <si>
    <t>2,460.00 HNL</t>
  </si>
  <si>
    <t>A25506-2012</t>
  </si>
  <si>
    <t>ESDRAS SERVILIO SANCHEZ HERNANDEZ</t>
  </si>
  <si>
    <t>A25506-6646</t>
  </si>
  <si>
    <t>20,256.00 HNL</t>
  </si>
  <si>
    <t>A25506-7527</t>
  </si>
  <si>
    <t>17,871.00 HNL</t>
  </si>
  <si>
    <t>A25506-8750</t>
  </si>
  <si>
    <t>JOSE HERNANDEZ TRUJILLO</t>
  </si>
  <si>
    <t>LEONOR TRUJILLO BERNAL</t>
  </si>
  <si>
    <t>MEXICO - HIDALGO - TULANCINGO</t>
  </si>
  <si>
    <t>A25506-8351</t>
  </si>
  <si>
    <t>202.02 USD</t>
  </si>
  <si>
    <t>A25506-2971</t>
  </si>
  <si>
    <t>JOSE HIPOLITO MARTINEZ GONZALEZ</t>
  </si>
  <si>
    <t>HIPOLITO MARTINEZ DEL CID</t>
  </si>
  <si>
    <t>A25506-2234</t>
  </si>
  <si>
    <t>32,045.00 HNL</t>
  </si>
  <si>
    <t>A25506-2043</t>
  </si>
  <si>
    <t>A25506-1713</t>
  </si>
  <si>
    <t>A25506-1540</t>
  </si>
  <si>
    <t>720.00 USD</t>
  </si>
  <si>
    <t>17,776.80 HNL</t>
  </si>
  <si>
    <t>A25506-1428</t>
  </si>
  <si>
    <t>4,938.00 HNL</t>
  </si>
  <si>
    <t>A25506-8256</t>
  </si>
  <si>
    <t>15,878.20 HNL</t>
  </si>
  <si>
    <t>A25506-7875</t>
  </si>
  <si>
    <t>MONICA ANTONIA CASTRO RODAS</t>
  </si>
  <si>
    <t>5,128.00 HNL</t>
  </si>
  <si>
    <t>A25506-2364</t>
  </si>
  <si>
    <t>JOSE IRAIS VELASCO RAMIREZ</t>
  </si>
  <si>
    <t>YORGOS IRAIS VELASCO FERNANDEZ</t>
  </si>
  <si>
    <t>309.00 USD</t>
  </si>
  <si>
    <t>5,500.20 MXN</t>
  </si>
  <si>
    <t>MEXICO - VERACRUZ - COATZACOALCOS</t>
  </si>
  <si>
    <t>A25506-2522</t>
  </si>
  <si>
    <t>JOSE JAVIER FRIAS MORALES</t>
  </si>
  <si>
    <t>MARTHA FRIAS RAMIREZ</t>
  </si>
  <si>
    <t>16,180.20 MXN</t>
  </si>
  <si>
    <t>A25506-6882</t>
  </si>
  <si>
    <t>1,241.00 USD</t>
  </si>
  <si>
    <t>25,006.15 MXN</t>
  </si>
  <si>
    <t>A25506-8331</t>
  </si>
  <si>
    <t>8,008.00 MXN</t>
  </si>
  <si>
    <t>A25506-7779</t>
  </si>
  <si>
    <t>BRENDA NAYELI SANTIN NIETO</t>
  </si>
  <si>
    <t>8,844.00 MXN</t>
  </si>
  <si>
    <t>A25506-8661</t>
  </si>
  <si>
    <t>7,954.00 MXN</t>
  </si>
  <si>
    <t>A25506-8206</t>
  </si>
  <si>
    <t>A25506-7511</t>
  </si>
  <si>
    <t>JOSE LUIS CASTRO</t>
  </si>
  <si>
    <t>ARACELI FLORES GONZALEZ</t>
  </si>
  <si>
    <t>A25506-3468</t>
  </si>
  <si>
    <t>JOSE LUIS GARCIA RAMIREZ</t>
  </si>
  <si>
    <t>FERNANDO JIMENEZ MORALES</t>
  </si>
  <si>
    <t>26,600.00 MXN</t>
  </si>
  <si>
    <t>A25506-3431</t>
  </si>
  <si>
    <t>MARIA DEL CONSUELO QUINTERO NAVARRO</t>
  </si>
  <si>
    <t>15,288.00 MXN</t>
  </si>
  <si>
    <t>A25506-3135</t>
  </si>
  <si>
    <t>13,755.00 MXN</t>
  </si>
  <si>
    <t>A25506-2539</t>
  </si>
  <si>
    <t>18,117.00 MXN</t>
  </si>
  <si>
    <t>A25506-6742</t>
  </si>
  <si>
    <t>A25506-6741</t>
  </si>
  <si>
    <t>A25506-7416</t>
  </si>
  <si>
    <t>11,760.00 MXN</t>
  </si>
  <si>
    <t>A25506-7415</t>
  </si>
  <si>
    <t>A25506-6662</t>
  </si>
  <si>
    <t>JOSE LUIS GUTIERREZ ARMAS</t>
  </si>
  <si>
    <t>A25506-1712</t>
  </si>
  <si>
    <t>JOSE LUIS MENDEZ IBARRA</t>
  </si>
  <si>
    <t>RUBI JOCELIN DIOSDADO HERNANDEZ</t>
  </si>
  <si>
    <t>A25506-1643</t>
  </si>
  <si>
    <t>CLAUDIA ANGELICA MENDEZ TORRES</t>
  </si>
  <si>
    <t>16,839.20 MXN</t>
  </si>
  <si>
    <t>A25506-2807</t>
  </si>
  <si>
    <t>JOSE LUIS RAYAS ESPINOZA</t>
  </si>
  <si>
    <t>ROSALIA HERNANDEZ SOTO</t>
  </si>
  <si>
    <t>18,600.00 MXN</t>
  </si>
  <si>
    <t>A25506-2709</t>
  </si>
  <si>
    <t>18,800.00 MXN</t>
  </si>
  <si>
    <t>A25506-2614</t>
  </si>
  <si>
    <t>A25506-2479</t>
  </si>
  <si>
    <t>36,500.00 MXN</t>
  </si>
  <si>
    <t>A25506-1833</t>
  </si>
  <si>
    <t>A25506-1612</t>
  </si>
  <si>
    <t>16,910.00 MXN</t>
  </si>
  <si>
    <t>A25506-3349</t>
  </si>
  <si>
    <t>JOSE LUIS RODRIGUEZ GONZALEZ</t>
  </si>
  <si>
    <t>LILIANA SARABIA DUARTE</t>
  </si>
  <si>
    <t>A25506-2946</t>
  </si>
  <si>
    <t>4,560.00 MXN</t>
  </si>
  <si>
    <t>A25506-2541</t>
  </si>
  <si>
    <t>2,606.80 MXN</t>
  </si>
  <si>
    <t>A25506-2291</t>
  </si>
  <si>
    <t>A25506-2136</t>
  </si>
  <si>
    <t>5,193.90 MXN</t>
  </si>
  <si>
    <t>A25506-3384</t>
  </si>
  <si>
    <t>JOSE LUIS SOLIS RAMIREZ</t>
  </si>
  <si>
    <t>JUANA MENDOZA SILVA</t>
  </si>
  <si>
    <t>34,254.00 MXN</t>
  </si>
  <si>
    <t>A25506-3119</t>
  </si>
  <si>
    <t>1,011.63 USD</t>
  </si>
  <si>
    <t>19,999.93 MXN</t>
  </si>
  <si>
    <t>A25506-3118</t>
  </si>
  <si>
    <t>ARNULFO SOLIS RAMIREZ</t>
  </si>
  <si>
    <t>203.00 USD</t>
  </si>
  <si>
    <t>4,015.34 MXN</t>
  </si>
  <si>
    <t>A25506-3077</t>
  </si>
  <si>
    <t>6,828.50 MXN</t>
  </si>
  <si>
    <t>A25506-2915</t>
  </si>
  <si>
    <t>1,055.00 USD</t>
  </si>
  <si>
    <t>20,045.00 MXN</t>
  </si>
  <si>
    <t>A25506-2691</t>
  </si>
  <si>
    <t>2,410.00 USD</t>
  </si>
  <si>
    <t>45,091.10 MXN</t>
  </si>
  <si>
    <t>A25506-2651</t>
  </si>
  <si>
    <t>28,350.00 MXN</t>
  </si>
  <si>
    <t>A25506-2650</t>
  </si>
  <si>
    <t>A25506-2470</t>
  </si>
  <si>
    <t>50,708.00 MXN</t>
  </si>
  <si>
    <t>A25506-2379</t>
  </si>
  <si>
    <t>17,670.00 MXN</t>
  </si>
  <si>
    <t>A25506-8745</t>
  </si>
  <si>
    <t>670.10 USD</t>
  </si>
  <si>
    <t>12,999.94 MXN</t>
  </si>
  <si>
    <t>A25506-6873</t>
  </si>
  <si>
    <t>JOSE LUIS VILLAREAL MARTINEZ</t>
  </si>
  <si>
    <t>6,868.00 MXN</t>
  </si>
  <si>
    <t>A25506-2440</t>
  </si>
  <si>
    <t>JOSE MANUEL GALLEGOS VASQUEZ</t>
  </si>
  <si>
    <t>A25506-2151</t>
  </si>
  <si>
    <t>630.00 USD</t>
  </si>
  <si>
    <t>15,498.00 HNL</t>
  </si>
  <si>
    <t>A25506-7532</t>
  </si>
  <si>
    <t>5,429.32 HNL</t>
  </si>
  <si>
    <t>A25506-8205</t>
  </si>
  <si>
    <t>232.00 USD</t>
  </si>
  <si>
    <t>5,962.40 HNL</t>
  </si>
  <si>
    <t>A25506-7524</t>
  </si>
  <si>
    <t>JOSE MANUEL PEREZ LEYVA</t>
  </si>
  <si>
    <t>NEREIDA LUIS PUENTE</t>
  </si>
  <si>
    <t>3,824.70 MXN</t>
  </si>
  <si>
    <t>A25506-7523</t>
  </si>
  <si>
    <t>ISIDORA LEYVA RODRIGUEZ</t>
  </si>
  <si>
    <t>A25506-2704</t>
  </si>
  <si>
    <t>JOSE MANUEL VELAZQUEZ</t>
  </si>
  <si>
    <t>MARIA FRANCISCA BARBOSA ORTIZ</t>
  </si>
  <si>
    <t>3,746.00 MXN</t>
  </si>
  <si>
    <t>A25506-2535</t>
  </si>
  <si>
    <t>3,680.00 MXN</t>
  </si>
  <si>
    <t>A25506-2306</t>
  </si>
  <si>
    <t>JULIO CESAR ORTIZ GOMEZ</t>
  </si>
  <si>
    <t>885.00 MXN</t>
  </si>
  <si>
    <t>A25506-2305</t>
  </si>
  <si>
    <t>A25506-2077</t>
  </si>
  <si>
    <t>5,220.00 MXN</t>
  </si>
  <si>
    <t>A25506-6833</t>
  </si>
  <si>
    <t>JONATHAN HERNANDEZ VILLEGAS</t>
  </si>
  <si>
    <t>A25506-7716</t>
  </si>
  <si>
    <t>3,007.50 MXN</t>
  </si>
  <si>
    <t>A25506-8722</t>
  </si>
  <si>
    <t>JOSE MARIO MARTINEZ</t>
  </si>
  <si>
    <t>GLORIA ALVARADO MORIN</t>
  </si>
  <si>
    <t>A25506-8250</t>
  </si>
  <si>
    <t>A25506-2921</t>
  </si>
  <si>
    <t>JOSE MAURICIO MARTINEZ CASTELLANOS</t>
  </si>
  <si>
    <t>ERMELINDA CASTELLANOS DIAZ</t>
  </si>
  <si>
    <t>122.00 USD</t>
  </si>
  <si>
    <t>3,020.72 HNL</t>
  </si>
  <si>
    <t>A25506-2805</t>
  </si>
  <si>
    <t>5,979.82 HNL</t>
  </si>
  <si>
    <t>A25506-2740</t>
  </si>
  <si>
    <t>7,227.00 HNL</t>
  </si>
  <si>
    <t>A25506-2654</t>
  </si>
  <si>
    <t>MERLIN OMAR MONGE AGUIRRE</t>
  </si>
  <si>
    <t>1,548.58 USD</t>
  </si>
  <si>
    <t>38,249.93 HNL</t>
  </si>
  <si>
    <t>A25506-2262</t>
  </si>
  <si>
    <t>1,617.00 USD</t>
  </si>
  <si>
    <t>40,020.75 HNL</t>
  </si>
  <si>
    <t>A25506-1923</t>
  </si>
  <si>
    <t>1,214.00 USD</t>
  </si>
  <si>
    <t>30,022.22 HNL</t>
  </si>
  <si>
    <t>A25506-1862</t>
  </si>
  <si>
    <t>12,112.80 HNL</t>
  </si>
  <si>
    <t>A25506-1546</t>
  </si>
  <si>
    <t>1,218.00 USD</t>
  </si>
  <si>
    <t>30,023.70 HNL</t>
  </si>
  <si>
    <t>A25506-1416</t>
  </si>
  <si>
    <t>12,098.10 HNL</t>
  </si>
  <si>
    <t>A25506-6627</t>
  </si>
  <si>
    <t>2,689.00 USD</t>
  </si>
  <si>
    <t>68,515.72 HNL</t>
  </si>
  <si>
    <t>A25506-2999</t>
  </si>
  <si>
    <t>JOSE MAURICIO VASQUEZ RIVERA</t>
  </si>
  <si>
    <t>JOSE ERNESTO VASQUEZ PEREIRA</t>
  </si>
  <si>
    <t>A25506-1909</t>
  </si>
  <si>
    <t>GUADALUPE RIVERA DE VASQUEZ</t>
  </si>
  <si>
    <t>A25506-6794</t>
  </si>
  <si>
    <t>A25506-8236</t>
  </si>
  <si>
    <t>A25506-2138</t>
  </si>
  <si>
    <t>JOSE MAURO ROJAS</t>
  </si>
  <si>
    <t>PACHITA TOVAR GONZALEZ</t>
  </si>
  <si>
    <t>2,704.50 MXN</t>
  </si>
  <si>
    <t>A25506-1606</t>
  </si>
  <si>
    <t>JOSE MEDINA</t>
  </si>
  <si>
    <t>MONICA SANCHEZ MEDINA</t>
  </si>
  <si>
    <t>5,043.00 MXN</t>
  </si>
  <si>
    <t>MEXICO - GUANAJUATO - APASEO EL GRANDE</t>
  </si>
  <si>
    <t>A25506-6717</t>
  </si>
  <si>
    <t>JOSE MIGUEL GOMEZ REYES</t>
  </si>
  <si>
    <t>LLADIRA RAMIREZ GOMEZ</t>
  </si>
  <si>
    <t>6,072.00 MXN</t>
  </si>
  <si>
    <t>A25506-7712</t>
  </si>
  <si>
    <t>ELIZABETH DE LA ROSA SANCHEZ</t>
  </si>
  <si>
    <t>2,807.00 MXN</t>
  </si>
  <si>
    <t>A25506-8313</t>
  </si>
  <si>
    <t>JOSE MIGUEL MORENO RODRIGUEZ</t>
  </si>
  <si>
    <t>ELIZABETH HERNANDEZ TORRES</t>
  </si>
  <si>
    <t>A25506-8251</t>
  </si>
  <si>
    <t>JOSE NATIVIDAD ALVAREZ</t>
  </si>
  <si>
    <t>ESMERALDA VELAZQUEZ REYNA</t>
  </si>
  <si>
    <t>A25506-6851</t>
  </si>
  <si>
    <t>JOSE OBDULIO RAMOS VILLEDA</t>
  </si>
  <si>
    <t>GENARO RAMOS LOPEZ</t>
  </si>
  <si>
    <t>50,800.00 HNL</t>
  </si>
  <si>
    <t>HONDURAS - COPAN - SANTA RITA DE COPAN</t>
  </si>
  <si>
    <t>A25506-2645</t>
  </si>
  <si>
    <t>JOSE OLVIN GARCIA</t>
  </si>
  <si>
    <t>JOSE ANTONIO CHAVEZ</t>
  </si>
  <si>
    <t>17,318.00 HNL</t>
  </si>
  <si>
    <t>A25506-2231</t>
  </si>
  <si>
    <t>RITA GARCIA</t>
  </si>
  <si>
    <t>17,077.50 HNL</t>
  </si>
  <si>
    <t>A25506-2108</t>
  </si>
  <si>
    <t>JOSE OSEAS PEREZ SANTOS</t>
  </si>
  <si>
    <t>MARIA TRINIDAD SANTOS CRUZ</t>
  </si>
  <si>
    <t>A25506-2107</t>
  </si>
  <si>
    <t>9,900.00 HNL</t>
  </si>
  <si>
    <t>A25506-1580</t>
  </si>
  <si>
    <t>A25506-3357</t>
  </si>
  <si>
    <t>JOSE PABLO GOMEZ</t>
  </si>
  <si>
    <t>2,602.95 HNL</t>
  </si>
  <si>
    <t>A25506-3331</t>
  </si>
  <si>
    <t>284.00 USD</t>
  </si>
  <si>
    <t>7,017.64 HNL</t>
  </si>
  <si>
    <t>A25506-3130</t>
  </si>
  <si>
    <t>5,249.12 HNL</t>
  </si>
  <si>
    <t>A25506-3129</t>
  </si>
  <si>
    <t>A25506-3087</t>
  </si>
  <si>
    <t>A25506-3086</t>
  </si>
  <si>
    <t>MARLON ALEXANDER YANES CASTRO</t>
  </si>
  <si>
    <t>312.00 USD</t>
  </si>
  <si>
    <t>7,725.12 HNL</t>
  </si>
  <si>
    <t>A25506-2957</t>
  </si>
  <si>
    <t>36,975.00 HNL</t>
  </si>
  <si>
    <t>A25506-2782</t>
  </si>
  <si>
    <t>29,640.00 HNL</t>
  </si>
  <si>
    <t>A25506-2441</t>
  </si>
  <si>
    <t>10,003.50 HNL</t>
  </si>
  <si>
    <t>A25506-2288</t>
  </si>
  <si>
    <t>2,475.00 HNL</t>
  </si>
  <si>
    <t>A25506-2287</t>
  </si>
  <si>
    <t>5,568.75 HNL</t>
  </si>
  <si>
    <t>A25506-2160</t>
  </si>
  <si>
    <t>24,255.00 HNL</t>
  </si>
  <si>
    <t>A25506-2063</t>
  </si>
  <si>
    <t>297.00 USD</t>
  </si>
  <si>
    <t>7,306.20 HNL</t>
  </si>
  <si>
    <t>A25506-1874</t>
  </si>
  <si>
    <t>145.00 USD</t>
  </si>
  <si>
    <t>3,559.75 HNL</t>
  </si>
  <si>
    <t>A25506-1775</t>
  </si>
  <si>
    <t>A25506-6912</t>
  </si>
  <si>
    <t>7,472.28 HNL</t>
  </si>
  <si>
    <t>A25506-6747</t>
  </si>
  <si>
    <t>431.00 USD</t>
  </si>
  <si>
    <t>11,020.67 HNL</t>
  </si>
  <si>
    <t>A25506-7697</t>
  </si>
  <si>
    <t>YENNI MARICELA RODRIGUEZ DIAZ</t>
  </si>
  <si>
    <t>98.00 USD</t>
  </si>
  <si>
    <t>2,510.76 HNL</t>
  </si>
  <si>
    <t>A25506-7866</t>
  </si>
  <si>
    <t>6,202.46 HNL</t>
  </si>
  <si>
    <t>A25506-7865</t>
  </si>
  <si>
    <t>A25506-7850</t>
  </si>
  <si>
    <t>176.00 USD</t>
  </si>
  <si>
    <t>4,510.88 HNL</t>
  </si>
  <si>
    <t>A25506-3204</t>
  </si>
  <si>
    <t>JOSE PAULO OSTOS GONZALEZ</t>
  </si>
  <si>
    <t>3,972.00 MXN</t>
  </si>
  <si>
    <t>A25506-7711</t>
  </si>
  <si>
    <t>4,812.00 MXN</t>
  </si>
  <si>
    <t>A25506-7399</t>
  </si>
  <si>
    <t>JOSE ROBERTO HERNANDEZ REZA</t>
  </si>
  <si>
    <t>SOLEDAD ANAIRIS ROSALES LEYVA</t>
  </si>
  <si>
    <t>4,970.00 MXN</t>
  </si>
  <si>
    <t>A25506-8708</t>
  </si>
  <si>
    <t>A25506-8784</t>
  </si>
  <si>
    <t>JOSE RODRIGUEZ RODRIGUEZ</t>
  </si>
  <si>
    <t>NOEMI JIMENEZ CASTRO</t>
  </si>
  <si>
    <t>154.00 USD</t>
  </si>
  <si>
    <t>3,003.00 MXN</t>
  </si>
  <si>
    <t>A25506-2965</t>
  </si>
  <si>
    <t>JOSE ROJAS BAYADARES</t>
  </si>
  <si>
    <t>BENITA MOTA CRUZ</t>
  </si>
  <si>
    <t>342.00 USD</t>
  </si>
  <si>
    <t>6,508.26 MXN</t>
  </si>
  <si>
    <t>A25506-2730</t>
  </si>
  <si>
    <t>A25506-2349</t>
  </si>
  <si>
    <t>A25506-6857</t>
  </si>
  <si>
    <t>4,024.00 MXN</t>
  </si>
  <si>
    <t>A25506-2620</t>
  </si>
  <si>
    <t>JOSE ROSARIO TOVAR MORALES</t>
  </si>
  <si>
    <t>SONIA LETICIA TOVAR RIVERA</t>
  </si>
  <si>
    <t>3,011.20 MXN</t>
  </si>
  <si>
    <t>A25506-2423</t>
  </si>
  <si>
    <t>A25506-1784</t>
  </si>
  <si>
    <t>MA REGINA RIVERA RIOS</t>
  </si>
  <si>
    <t>A25506-1567</t>
  </si>
  <si>
    <t>25,230.00 MXN</t>
  </si>
  <si>
    <t>A25506-1436</t>
  </si>
  <si>
    <t>11,627.00 MXN</t>
  </si>
  <si>
    <t>A25506-7440</t>
  </si>
  <si>
    <t>A25506-7861</t>
  </si>
  <si>
    <t>6,063.00 MXN</t>
  </si>
  <si>
    <t>A25506-3268</t>
  </si>
  <si>
    <t>JOSE SAMUEL CANTARERO PAZ</t>
  </si>
  <si>
    <t>A25506-2475</t>
  </si>
  <si>
    <t>18,525.00 HNL</t>
  </si>
  <si>
    <t>A25506-2474</t>
  </si>
  <si>
    <t>A25506-2215</t>
  </si>
  <si>
    <t>14,790.00 HNL</t>
  </si>
  <si>
    <t>A25506-6826</t>
  </si>
  <si>
    <t>14,069.00 HNL</t>
  </si>
  <si>
    <t>A25506-8259</t>
  </si>
  <si>
    <t>402.00 USD</t>
  </si>
  <si>
    <t>10,295.22 HNL</t>
  </si>
  <si>
    <t>A25506-3348</t>
  </si>
  <si>
    <t>GLADYS ISABEL RAMOS BARRERA</t>
  </si>
  <si>
    <t>37,185.00 HNL</t>
  </si>
  <si>
    <t>HONDURAS - COPAN - COPAN RUINAS</t>
  </si>
  <si>
    <t>A25506-3294</t>
  </si>
  <si>
    <t>JOSE ALFREDO MARTINEZ GONZALEZ</t>
  </si>
  <si>
    <t>1,288.04 HNL</t>
  </si>
  <si>
    <t>A25506-3174</t>
  </si>
  <si>
    <t>24,760.00 HNL</t>
  </si>
  <si>
    <t>A25506-3157</t>
  </si>
  <si>
    <t>YOLANI MARINA AMAYA GONZALEZ</t>
  </si>
  <si>
    <t>A25506-3018</t>
  </si>
  <si>
    <t>KEILLIN ALEYDA MELGAR ESCOBAR</t>
  </si>
  <si>
    <t>A25506-2695</t>
  </si>
  <si>
    <t>5,989.50 HNL</t>
  </si>
  <si>
    <t>A25506-2655</t>
  </si>
  <si>
    <t>1,009.00 USD</t>
  </si>
  <si>
    <t>24,922.30 HNL</t>
  </si>
  <si>
    <t>A25506-2343</t>
  </si>
  <si>
    <t>DORIS NELY BENITEZ BENITEZ</t>
  </si>
  <si>
    <t>A25506-2267</t>
  </si>
  <si>
    <t>5,434.00 HNL</t>
  </si>
  <si>
    <t>A25506-2023</t>
  </si>
  <si>
    <t>YOLANI MARINA MAYA GONZALEZ</t>
  </si>
  <si>
    <t>A25506-1420</t>
  </si>
  <si>
    <t>A25506-1419</t>
  </si>
  <si>
    <t>5,530.56 HNL</t>
  </si>
  <si>
    <t>A25506-6757</t>
  </si>
  <si>
    <t>SILVIA SUYAPA LOPEZ LOPEZ</t>
  </si>
  <si>
    <t>494.00 USD</t>
  </si>
  <si>
    <t>12,597.00 HNL</t>
  </si>
  <si>
    <t>A25506-6694</t>
  </si>
  <si>
    <t>25,410.00 HNL</t>
  </si>
  <si>
    <t>A25506-8737</t>
  </si>
  <si>
    <t>KELVIN ALEXANDER UMANA AGUILAR</t>
  </si>
  <si>
    <t>38,520.00 HNL</t>
  </si>
  <si>
    <t>A25506-3382</t>
  </si>
  <si>
    <t>JOSE SANTOS PUENTES COSTILLA</t>
  </si>
  <si>
    <t>JAZMIN LOPEZ ALONSO</t>
  </si>
  <si>
    <t>A25506-3234</t>
  </si>
  <si>
    <t>DULCE IVETH ALFARO GARCIA</t>
  </si>
  <si>
    <t>18,734.00 MXN</t>
  </si>
  <si>
    <t>A25506-2936</t>
  </si>
  <si>
    <t>16,150.00 MXN</t>
  </si>
  <si>
    <t>A25506-2808</t>
  </si>
  <si>
    <t>A25506-2601</t>
  </si>
  <si>
    <t>A25506-2600</t>
  </si>
  <si>
    <t>A25506-2392</t>
  </si>
  <si>
    <t>8,850.00 MXN</t>
  </si>
  <si>
    <t>A25506-1788</t>
  </si>
  <si>
    <t>A25506-1597</t>
  </si>
  <si>
    <t>4,051.20 MXN</t>
  </si>
  <si>
    <t>A25506-1412</t>
  </si>
  <si>
    <t>JUAN FRANCISCO MORENO LOPEZ</t>
  </si>
  <si>
    <t>8,554.15 MXN</t>
  </si>
  <si>
    <t>A25506-3228</t>
  </si>
  <si>
    <t>JOSE SEBASTIAN MACIAS GUARDADO</t>
  </si>
  <si>
    <t>37,525.00 MXN</t>
  </si>
  <si>
    <t>A25506-2881</t>
  </si>
  <si>
    <t>JESUS RENATO GAMEZ VILLEGAS</t>
  </si>
  <si>
    <t>2,103.20 MXN</t>
  </si>
  <si>
    <t>A25506-2769</t>
  </si>
  <si>
    <t>A25506-1944</t>
  </si>
  <si>
    <t>44,550.00 MXN</t>
  </si>
  <si>
    <t>A25506-3209</t>
  </si>
  <si>
    <t>JOSE USEAS PEREZ SANTOS</t>
  </si>
  <si>
    <t>14,826.00 HNL</t>
  </si>
  <si>
    <t>A25506-3080</t>
  </si>
  <si>
    <t>JOSE YOVANI AGUILAR CANTARERO</t>
  </si>
  <si>
    <t>MA DOLORES CANTARERO</t>
  </si>
  <si>
    <t>A25506-2976</t>
  </si>
  <si>
    <t>24,650.00 HNL</t>
  </si>
  <si>
    <t>A25506-1723</t>
  </si>
  <si>
    <t>22,221.00 HNL</t>
  </si>
  <si>
    <t>A25506-3049</t>
  </si>
  <si>
    <t>JOSE ZAMORA URQUIZA</t>
  </si>
  <si>
    <t>OSCAR ESPINOZA BENITEZ</t>
  </si>
  <si>
    <t>A25506-2922</t>
  </si>
  <si>
    <t>3,008.32 MXN</t>
  </si>
  <si>
    <t>A25506-2681</t>
  </si>
  <si>
    <t>7,050.00 MXN</t>
  </si>
  <si>
    <t>A25506-2664</t>
  </si>
  <si>
    <t>4,084.50 MXN</t>
  </si>
  <si>
    <t>A25506-2433</t>
  </si>
  <si>
    <t>5,045.60 MXN</t>
  </si>
  <si>
    <t>A25506-2294</t>
  </si>
  <si>
    <t>A25506-2252</t>
  </si>
  <si>
    <t>A25506-2176</t>
  </si>
  <si>
    <t>A25506-2149</t>
  </si>
  <si>
    <t>A25506-1969</t>
  </si>
  <si>
    <t>444.00 USD</t>
  </si>
  <si>
    <t>8,014.20 MXN</t>
  </si>
  <si>
    <t>A25506-1860</t>
  </si>
  <si>
    <t>A25506-1774</t>
  </si>
  <si>
    <t>325.20 USD</t>
  </si>
  <si>
    <t>5,999.94 MXN</t>
  </si>
  <si>
    <t>A25506-1627</t>
  </si>
  <si>
    <t>585.00 USD</t>
  </si>
  <si>
    <t>10,120.50 MXN</t>
  </si>
  <si>
    <t>A25506-1623</t>
  </si>
  <si>
    <t>10,003.50 MXN</t>
  </si>
  <si>
    <t>A25506-6877</t>
  </si>
  <si>
    <t>3,216.00 MXN</t>
  </si>
  <si>
    <t>MEXICO - MEXICO (ESTADO) - ACAMBAY</t>
  </si>
  <si>
    <t>A25506-6787</t>
  </si>
  <si>
    <t>YADIRA ESPINOZA BENITEZ</t>
  </si>
  <si>
    <t>A25506-6675</t>
  </si>
  <si>
    <t>219.00 USD</t>
  </si>
  <si>
    <t>4,401.90 MXN</t>
  </si>
  <si>
    <t>A25506-7749</t>
  </si>
  <si>
    <t>A25506-7497</t>
  </si>
  <si>
    <t>425.00 USD</t>
  </si>
  <si>
    <t>8,500.00 MXN</t>
  </si>
  <si>
    <t>A25506-8224</t>
  </si>
  <si>
    <t>A25506-7857</t>
  </si>
  <si>
    <t>3,235.20 MXN</t>
  </si>
  <si>
    <t>A25506-1927</t>
  </si>
  <si>
    <t>JOSEFINA RAMIREZ ORTIZ</t>
  </si>
  <si>
    <t>ARACELY VAQUERO MARTINEZ</t>
  </si>
  <si>
    <t>A25506-2652</t>
  </si>
  <si>
    <t>JOSHUA JUAN DIEGO ALMEIDA SANCHEZ</t>
  </si>
  <si>
    <t>RAUL ALMEIDA CADENA</t>
  </si>
  <si>
    <t>13,272.00 MXN</t>
  </si>
  <si>
    <t>A25506-1757</t>
  </si>
  <si>
    <t>6,273.00 MXN</t>
  </si>
  <si>
    <t>A25506-6914</t>
  </si>
  <si>
    <t>JOSUA LOPEZ</t>
  </si>
  <si>
    <t>FRANCISCO JAVIER LOPEZ CARDONA</t>
  </si>
  <si>
    <t>A25506-7418</t>
  </si>
  <si>
    <t>A25506-3421</t>
  </si>
  <si>
    <t>JOSUE ARCENIO GARCIA LOPEZ</t>
  </si>
  <si>
    <t>RENE AMILCAR GARCIA LOPEZ</t>
  </si>
  <si>
    <t>A25506-3162</t>
  </si>
  <si>
    <t>A25506-2663</t>
  </si>
  <si>
    <t>ANA P GONZALEZ</t>
  </si>
  <si>
    <t>2,150.00 USD</t>
  </si>
  <si>
    <t>DEPOSITS USA ANY BANK</t>
  </si>
  <si>
    <t>UNITED STATES - TEXAS - LAREDO</t>
  </si>
  <si>
    <t>A25506-2612</t>
  </si>
  <si>
    <t>MARIA TOMASA SAUCEDO ESCOBAR</t>
  </si>
  <si>
    <t>23,375.00 MXN</t>
  </si>
  <si>
    <t>MEXICO - TAMAULIPAS - CD MIGUEL ALEMAN</t>
  </si>
  <si>
    <t>A25506-2611</t>
  </si>
  <si>
    <t>TOMASA ESCOBAR PEREZ</t>
  </si>
  <si>
    <t>A25506-2589</t>
  </si>
  <si>
    <t>A25506-2128</t>
  </si>
  <si>
    <t>A25506-2127</t>
  </si>
  <si>
    <t>EDGAR BENJAMIN CRUZ ENAMORADO</t>
  </si>
  <si>
    <t>HONDURAS - INTIBUCA - LA ESPERANZA</t>
  </si>
  <si>
    <t>A25506-1848</t>
  </si>
  <si>
    <t>4,942.00 HNL</t>
  </si>
  <si>
    <t>A25506-1660</t>
  </si>
  <si>
    <t>A25506-7870</t>
  </si>
  <si>
    <t>DIGNA JULIANA LOPEZ BARRIENTOS</t>
  </si>
  <si>
    <t>11,445.00 GTQ</t>
  </si>
  <si>
    <t>A25506-1425</t>
  </si>
  <si>
    <t>JOSUE ARMANDO PORTILLO HERNANDEZ</t>
  </si>
  <si>
    <t>INGRID LIZETH MARADIAGA SANCHEZ</t>
  </si>
  <si>
    <t>95.00 USD</t>
  </si>
  <si>
    <t>2,345.55 HNL</t>
  </si>
  <si>
    <t>HONDURAS - CHOLUTECA - CONCEPCION</t>
  </si>
  <si>
    <t>A25506-1424</t>
  </si>
  <si>
    <t>KARLA JEAQUELIN CAMPOS ANDINO</t>
  </si>
  <si>
    <t>1,234.50 HNL</t>
  </si>
  <si>
    <t>A25506-1411</t>
  </si>
  <si>
    <t>1,476.00 HNL</t>
  </si>
  <si>
    <t>A25506-1410</t>
  </si>
  <si>
    <t>MIGUEL ANGEL HERNADEZ AVILA</t>
  </si>
  <si>
    <t>12,300.00 HNL</t>
  </si>
  <si>
    <t>A25506-8793</t>
  </si>
  <si>
    <t>JOSUE LOPEZ CONTRERAS</t>
  </si>
  <si>
    <t>1,340.56 HNL</t>
  </si>
  <si>
    <t>A25506-2839</t>
  </si>
  <si>
    <t>JOVANI GUERRERO PEREZ</t>
  </si>
  <si>
    <t>IMELDA PEREZ CAMPOS</t>
  </si>
  <si>
    <t>1,490.00 USD</t>
  </si>
  <si>
    <t>27,743.80 MXN</t>
  </si>
  <si>
    <t>A25506-6734</t>
  </si>
  <si>
    <t>JUAN AJPOP ECOQUIJ</t>
  </si>
  <si>
    <t>MARIA MAGDALENA AJPOP ECOQUIJ</t>
  </si>
  <si>
    <t>770.00 GTQ</t>
  </si>
  <si>
    <t>A25506-3343</t>
  </si>
  <si>
    <t>JUAN ALBERTO CELESTINO RUIZ</t>
  </si>
  <si>
    <t>CHRISTIAN GRISEL SALAS RODRIGUEZ</t>
  </si>
  <si>
    <t>6,685.00 MXN</t>
  </si>
  <si>
    <t>A25506-3131</t>
  </si>
  <si>
    <t>6,979.00 MXN</t>
  </si>
  <si>
    <t>A25506-2972</t>
  </si>
  <si>
    <t>A25506-2859</t>
  </si>
  <si>
    <t>MANUEL CELESTINO RODRIGUEZ</t>
  </si>
  <si>
    <t>5,580.00 MXN</t>
  </si>
  <si>
    <t>A25506-2731</t>
  </si>
  <si>
    <t>A25506-2523</t>
  </si>
  <si>
    <t>5,454.00 MXN</t>
  </si>
  <si>
    <t>A25506-2399</t>
  </si>
  <si>
    <t>JUAN CARLOS REYES CELESTINO</t>
  </si>
  <si>
    <t>1,613.70 MXN</t>
  </si>
  <si>
    <t>A25506-2398</t>
  </si>
  <si>
    <t>5,379.00 MXN</t>
  </si>
  <si>
    <t>A25506-1828</t>
  </si>
  <si>
    <t>7,400.00 MXN</t>
  </si>
  <si>
    <t>A25506-1827</t>
  </si>
  <si>
    <t>A25506-1726</t>
  </si>
  <si>
    <t>12,656.00 MXN</t>
  </si>
  <si>
    <t>A25506-1725</t>
  </si>
  <si>
    <t>167.00 USD</t>
  </si>
  <si>
    <t>3,012.68 MXN</t>
  </si>
  <si>
    <t>A25506-1442</t>
  </si>
  <si>
    <t>8,300.00 MXN</t>
  </si>
  <si>
    <t>A25506-6865</t>
  </si>
  <si>
    <t>A25506-6695</t>
  </si>
  <si>
    <t>JUAN ANGEL JASSO JASSO</t>
  </si>
  <si>
    <t>ALICIA JAZMIN AGUILERA CAUDILLO</t>
  </si>
  <si>
    <t>11,000.00 MXN</t>
  </si>
  <si>
    <t>A25506-7748</t>
  </si>
  <si>
    <t>MARIA GUADALUPE GONZALEZ BUENROSTRO</t>
  </si>
  <si>
    <t>1,506.75 MXN</t>
  </si>
  <si>
    <t>A25506-8777</t>
  </si>
  <si>
    <t>JUAN ANTONIO HERNANDEZ LARA</t>
  </si>
  <si>
    <t>LAURA CONCEPCION CORONADO VALDEZ</t>
  </si>
  <si>
    <t>11,736.00 MXN</t>
  </si>
  <si>
    <t>A25506-8663</t>
  </si>
  <si>
    <t>A25506-8295</t>
  </si>
  <si>
    <t>30,150.00 MXN</t>
  </si>
  <si>
    <t>A25506-1891</t>
  </si>
  <si>
    <t>JUAN CARLOS TORRES LONGORIA</t>
  </si>
  <si>
    <t>RICARDO LOZANO DOMINGUEZ</t>
  </si>
  <si>
    <t>9,005.00 MXN</t>
  </si>
  <si>
    <t>A25506-7899</t>
  </si>
  <si>
    <t>JUAN CHAVARRIA</t>
  </si>
  <si>
    <t>SANTOS CHAVARRIA HERNANDEZ</t>
  </si>
  <si>
    <t>FEDECACES</t>
  </si>
  <si>
    <t>A25506-6679</t>
  </si>
  <si>
    <t>JUAN DIEGO RAMIREZ ALVAREZ</t>
  </si>
  <si>
    <t>MARIA DEL ROSARIO LOPEZ LOPEZ</t>
  </si>
  <si>
    <t>811.86 MXN</t>
  </si>
  <si>
    <t>A25506-8253</t>
  </si>
  <si>
    <t>DULCE SOCORRO MEDINA RENOVATO</t>
  </si>
  <si>
    <t>A25506-8252</t>
  </si>
  <si>
    <t>A25506-3308</t>
  </si>
  <si>
    <t>JUAN FERNANDO HUERTA RODRIGUEZ</t>
  </si>
  <si>
    <t>FILIBERTO HUERTA RODRIGUEZ</t>
  </si>
  <si>
    <t>A25506-3034</t>
  </si>
  <si>
    <t>LAURA ALEJANDRA ORTIZ CARRANZA</t>
  </si>
  <si>
    <t>5,835.00 MXN</t>
  </si>
  <si>
    <t>A25506-2869</t>
  </si>
  <si>
    <t>JAIME VILLEGAS HERNANDEZ</t>
  </si>
  <si>
    <t>9,187.50 MXN</t>
  </si>
  <si>
    <t>A25506-6840</t>
  </si>
  <si>
    <t>A25506-3256</t>
  </si>
  <si>
    <t>JUAN FLORES ESTRADA</t>
  </si>
  <si>
    <t>MELKIN EMILSON BANEGAS GARAY</t>
  </si>
  <si>
    <t>A25506-2860</t>
  </si>
  <si>
    <t>A25506-2376</t>
  </si>
  <si>
    <t>6,185.00 HNL</t>
  </si>
  <si>
    <t>A25506-6697</t>
  </si>
  <si>
    <t>ERLIN SAMUEL LUQUE RODRIGUEZ</t>
  </si>
  <si>
    <t>3,834.00 HNL</t>
  </si>
  <si>
    <t>A25506-7814</t>
  </si>
  <si>
    <t>WILSON LENIN DIAZ MEJIA</t>
  </si>
  <si>
    <t>A25506-3454</t>
  </si>
  <si>
    <t>JUAN FRANCISCO MARTINEZ ZAVALA</t>
  </si>
  <si>
    <t>JAVIER RIOS HERNANDEZ</t>
  </si>
  <si>
    <t>956.00 USD</t>
  </si>
  <si>
    <t>18,183.12 MXN</t>
  </si>
  <si>
    <t>A25506-3179</t>
  </si>
  <si>
    <t>MARIA TERESA ROSALES CAMACHO</t>
  </si>
  <si>
    <t>1,576.80 MXN</t>
  </si>
  <si>
    <t>A25506-3178</t>
  </si>
  <si>
    <t>FRANCISCO MARTINEZ ESCAMILLA</t>
  </si>
  <si>
    <t>5,026.05 MXN</t>
  </si>
  <si>
    <t>A25506-2458</t>
  </si>
  <si>
    <t>A25506-2415</t>
  </si>
  <si>
    <t>MARIA DE LA CRUZ MARTINEZ ZAVALA</t>
  </si>
  <si>
    <t>34.00 USD</t>
  </si>
  <si>
    <t>612.00 MXN</t>
  </si>
  <si>
    <t>A25506-1767</t>
  </si>
  <si>
    <t>5,415.00 MXN</t>
  </si>
  <si>
    <t>A25506-1839</t>
  </si>
  <si>
    <t>JUAN FRANCISCO ROMERO SANTIAGO</t>
  </si>
  <si>
    <t>JANETTE ALEJANDRA BAHENA CHAVARRIA</t>
  </si>
  <si>
    <t>MEXICO - SAN LUIS POTOSI - TIERRA NUEVA</t>
  </si>
  <si>
    <t>A25506-3282</t>
  </si>
  <si>
    <t>JUAN FRANCISCO SANTANA PERALES</t>
  </si>
  <si>
    <t>MA CARMEN PERALES CORDOVA</t>
  </si>
  <si>
    <t>4,740.00 MXN</t>
  </si>
  <si>
    <t>MEXICO - ZACATECAS - SOMBRERETE</t>
  </si>
  <si>
    <t>A25506-2516</t>
  </si>
  <si>
    <t>3,636.00 MXN</t>
  </si>
  <si>
    <t>A25506-2515</t>
  </si>
  <si>
    <t>JOSE JERONIMO MEDRANO LOPEZ</t>
  </si>
  <si>
    <t>4,186.00 MXN</t>
  </si>
  <si>
    <t>A25506-2378</t>
  </si>
  <si>
    <t>3,696.00 MXN</t>
  </si>
  <si>
    <t>A25506-2377</t>
  </si>
  <si>
    <t>4,048.00 MXN</t>
  </si>
  <si>
    <t>A25506-1451</t>
  </si>
  <si>
    <t>3,308.00 MXN</t>
  </si>
  <si>
    <t>A25506-6901</t>
  </si>
  <si>
    <t>6,114.00 MXN</t>
  </si>
  <si>
    <t>A25506-7431</t>
  </si>
  <si>
    <t>A25506-8325</t>
  </si>
  <si>
    <t>A25506-7871</t>
  </si>
  <si>
    <t>4,623.00 MXN</t>
  </si>
  <si>
    <t>A25506-8716</t>
  </si>
  <si>
    <t>JUAN IGNACIO AGUILAR CAMARILLO</t>
  </si>
  <si>
    <t>DIANA SARAHI CASTILLO DIAZ</t>
  </si>
  <si>
    <t>1,267.50 MXN</t>
  </si>
  <si>
    <t>A25506-8715</t>
  </si>
  <si>
    <t>A25506-2720</t>
  </si>
  <si>
    <t>JUAN JOSE GONZALEZ ROJAS</t>
  </si>
  <si>
    <t>ESTEBAN ROJAS SALAZAR</t>
  </si>
  <si>
    <t>16,767.00 MXN</t>
  </si>
  <si>
    <t>A25506-2719</t>
  </si>
  <si>
    <t>JUAN JOSE GUTIERREZ ROSALES</t>
  </si>
  <si>
    <t>CRISTINA ROJAS SALAZAR</t>
  </si>
  <si>
    <t>A25506-2044</t>
  </si>
  <si>
    <t>10,890.00 MXN</t>
  </si>
  <si>
    <t>A25506-6919</t>
  </si>
  <si>
    <t>JUAN JOSE MONREAL AGUINAGA</t>
  </si>
  <si>
    <t>LORENA ROCHA MANDUJANO</t>
  </si>
  <si>
    <t>3,468.00 MXN</t>
  </si>
  <si>
    <t>A25506-2359</t>
  </si>
  <si>
    <t>JUAN JOSE SIERRA</t>
  </si>
  <si>
    <t>ADRIANA DE JESUS GARCIA CASTILLO</t>
  </si>
  <si>
    <t>A25506-1591</t>
  </si>
  <si>
    <t>237.00 USD</t>
  </si>
  <si>
    <t>3,981.60 MXN</t>
  </si>
  <si>
    <t>A25506-3450</t>
  </si>
  <si>
    <t>JUAN JOSE TORRES SOLIS</t>
  </si>
  <si>
    <t>ROCIO CAMPOS ROMERO</t>
  </si>
  <si>
    <t>4,775.00 MXN</t>
  </si>
  <si>
    <t>A25506-2918</t>
  </si>
  <si>
    <t>JOSE DE JESUS TORRES GARCIA</t>
  </si>
  <si>
    <t>9,535.00 MXN</t>
  </si>
  <si>
    <t>A25506-7806</t>
  </si>
  <si>
    <t>JUAN LUIS GUERRERO TORRES</t>
  </si>
  <si>
    <t>MARIA FERNANDA GUERRERO GALVAN</t>
  </si>
  <si>
    <t>A25506-8311</t>
  </si>
  <si>
    <t>JUAN MANUEL ALVAREZ DE JESUS</t>
  </si>
  <si>
    <t>LORENA ALVAREZ ZEA</t>
  </si>
  <si>
    <t>MEXICO - QUERETARO - PEDRO ESCOBEDO</t>
  </si>
  <si>
    <t>A25506-2752</t>
  </si>
  <si>
    <t>JUAN MANUEL PACHECO TORRES</t>
  </si>
  <si>
    <t>JORGE PACHECO TORRES</t>
  </si>
  <si>
    <t>2,835.00 MXN</t>
  </si>
  <si>
    <t>MEXICO - GUANAJUATO - SAN JOSE DE ITURBIDE</t>
  </si>
  <si>
    <t>A25506-7422</t>
  </si>
  <si>
    <t>A25506-3218</t>
  </si>
  <si>
    <t>JUAN MANUEL PEREZ ZUNIGA</t>
  </si>
  <si>
    <t>ROSA MARIA PEREZ GALLEGOS</t>
  </si>
  <si>
    <t>1,033.00 USD</t>
  </si>
  <si>
    <t>20,515.38 MXN</t>
  </si>
  <si>
    <t>A25506-3005</t>
  </si>
  <si>
    <t>15,632.00 MXN</t>
  </si>
  <si>
    <t>A25506-2553</t>
  </si>
  <si>
    <t>EVANGELINA GALLEGOS LOPEZ</t>
  </si>
  <si>
    <t>1,073.00 USD</t>
  </si>
  <si>
    <t>20,011.45 MXN</t>
  </si>
  <si>
    <t>A25506-2088</t>
  </si>
  <si>
    <t>A25506-1968</t>
  </si>
  <si>
    <t>18,280.00 MXN</t>
  </si>
  <si>
    <t>A25506-1843</t>
  </si>
  <si>
    <t>14,464.90 MXN</t>
  </si>
  <si>
    <t>A25506-1813</t>
  </si>
  <si>
    <t>MANUEL VITAL ALVARADO</t>
  </si>
  <si>
    <t>A25506-1568</t>
  </si>
  <si>
    <t>A25506-1408</t>
  </si>
  <si>
    <t>A25506-7518</t>
  </si>
  <si>
    <t>29,952.45 MXN</t>
  </si>
  <si>
    <t>A25506-2321</t>
  </si>
  <si>
    <t>JUAN MANUEL TORRES LOPEZ</t>
  </si>
  <si>
    <t>A25506-2320</t>
  </si>
  <si>
    <t>CLAUDIA MAYELA LOPEZ MEDINA</t>
  </si>
  <si>
    <t>A25506-2084</t>
  </si>
  <si>
    <t>A25506-1817</t>
  </si>
  <si>
    <t>A25506-3411</t>
  </si>
  <si>
    <t>JUAN MOISES BELTRAN ALVARADO</t>
  </si>
  <si>
    <t>XOCHITL EDITH BELTRAN HERNANDEZ</t>
  </si>
  <si>
    <t>13,328.00 MXN</t>
  </si>
  <si>
    <t>A25506-3257</t>
  </si>
  <si>
    <t>A25506-3058</t>
  </si>
  <si>
    <t>6,987.60 MXN</t>
  </si>
  <si>
    <t>A25506-2964</t>
  </si>
  <si>
    <t>12,730.00 MXN</t>
  </si>
  <si>
    <t>A25506-2849</t>
  </si>
  <si>
    <t>16,785.00 MXN</t>
  </si>
  <si>
    <t>A25506-2737</t>
  </si>
  <si>
    <t>9,300.00 MXN</t>
  </si>
  <si>
    <t>A25506-2390</t>
  </si>
  <si>
    <t>2,492.00 MXN</t>
  </si>
  <si>
    <t>A25506-2278</t>
  </si>
  <si>
    <t>4,395.00 MXN</t>
  </si>
  <si>
    <t>A25506-2253</t>
  </si>
  <si>
    <t>5,778.30 MXN</t>
  </si>
  <si>
    <t>A25506-2183</t>
  </si>
  <si>
    <t>A25506-2126</t>
  </si>
  <si>
    <t>4,117.00 MXN</t>
  </si>
  <si>
    <t>A25506-1734</t>
  </si>
  <si>
    <t>14,480.00 MXN</t>
  </si>
  <si>
    <t>A25506-1605</t>
  </si>
  <si>
    <t>MA GABRIELA HERNANDEZ TAVERA</t>
  </si>
  <si>
    <t>A25506-1544</t>
  </si>
  <si>
    <t>10,560.00 MXN</t>
  </si>
  <si>
    <t>A25506-3225</t>
  </si>
  <si>
    <t>JUAN PABLO RAMIREZ SALAZAR</t>
  </si>
  <si>
    <t>CARMEN SALAZAR</t>
  </si>
  <si>
    <t>A25506-2941</t>
  </si>
  <si>
    <t>1,713.60 MXN</t>
  </si>
  <si>
    <t>A25506-2670</t>
  </si>
  <si>
    <t>MARIA FERNANDA GUTIERREZ PEREZ</t>
  </si>
  <si>
    <t>A25506-1808</t>
  </si>
  <si>
    <t>JUAN PEREZ MORENO</t>
  </si>
  <si>
    <t>GRICEL CENTENO ORTEGA</t>
  </si>
  <si>
    <t>16,380.00 MXN</t>
  </si>
  <si>
    <t>A25506-1777</t>
  </si>
  <si>
    <t>16,605.00 MXN</t>
  </si>
  <si>
    <t>A25506-1452</t>
  </si>
  <si>
    <t>483.00 USD</t>
  </si>
  <si>
    <t>8,003.31 MXN</t>
  </si>
  <si>
    <t>A25506-6649</t>
  </si>
  <si>
    <t>JUAN RAMON NINO MEDINA</t>
  </si>
  <si>
    <t>ARACELY NINO MEDINA</t>
  </si>
  <si>
    <t>19,899.00 MXN</t>
  </si>
  <si>
    <t>A25506-7736</t>
  </si>
  <si>
    <t>18,063.00 MXN</t>
  </si>
  <si>
    <t>A25506-6746</t>
  </si>
  <si>
    <t>JUAN SAC TZEP</t>
  </si>
  <si>
    <t>PASCUALA CHAVEZ IXTOZ</t>
  </si>
  <si>
    <t>13,860.00 GTQ</t>
  </si>
  <si>
    <t>A25506-1850</t>
  </si>
  <si>
    <t>JUAN VELENZUELA VALENZUELA</t>
  </si>
  <si>
    <t>MIREYA PEREZ ALARCON</t>
  </si>
  <si>
    <t>17,689.00 MXN</t>
  </si>
  <si>
    <t>A25506-8270</t>
  </si>
  <si>
    <t>JUANA BETY RAMIREZ PAZ</t>
  </si>
  <si>
    <t>ADOLFO RAMIREZ PAZ</t>
  </si>
  <si>
    <t>2,561.00 HNL</t>
  </si>
  <si>
    <t>A25506-3061</t>
  </si>
  <si>
    <t>JUANA HERNANDEZ RUBIO</t>
  </si>
  <si>
    <t>CELIA RUBIO REYES</t>
  </si>
  <si>
    <t>4,877.50 MXN</t>
  </si>
  <si>
    <t>A25506-2422</t>
  </si>
  <si>
    <t>JUANA PALMA</t>
  </si>
  <si>
    <t>MARIA GOMEZ URIBE</t>
  </si>
  <si>
    <t>139.00 USD</t>
  </si>
  <si>
    <t>2,502.00 MXN</t>
  </si>
  <si>
    <t>A25506-2145</t>
  </si>
  <si>
    <t>JUDITH FLORES SOLAS</t>
  </si>
  <si>
    <t>YUDIXA SUSELI MORALES FLORES</t>
  </si>
  <si>
    <t>1,155.00 GTQ</t>
  </si>
  <si>
    <t>A25506-7852</t>
  </si>
  <si>
    <t>JULIAN JAVIER CARREON SOSA</t>
  </si>
  <si>
    <t>ITZURY ARELY CARREON SILVA</t>
  </si>
  <si>
    <t>12,395.20 MXN</t>
  </si>
  <si>
    <t>A25506-2874</t>
  </si>
  <si>
    <t>JULIETA GODINEZ</t>
  </si>
  <si>
    <t>KARINA DEL SOCORRO MARTINEZ CALDERON</t>
  </si>
  <si>
    <t>2,668.00 MXN</t>
  </si>
  <si>
    <t>A25506-1665</t>
  </si>
  <si>
    <t>JULIO ALBERTO ALFARO</t>
  </si>
  <si>
    <t>ENSO QWARLY TOVAR BELTRAN</t>
  </si>
  <si>
    <t>A25506-3444</t>
  </si>
  <si>
    <t>JULIO BLAS HUERTA MARTINEZ</t>
  </si>
  <si>
    <t>MARIA ALEJANDRA MARTINEZ HERNANDEZ</t>
  </si>
  <si>
    <t>2,877.00 MXN</t>
  </si>
  <si>
    <t>A25506-3224</t>
  </si>
  <si>
    <t>2,956.50 MXN</t>
  </si>
  <si>
    <t>A25506-3113</t>
  </si>
  <si>
    <t>RICARDO MARTINEZ REYES</t>
  </si>
  <si>
    <t>2,955.00 MXN</t>
  </si>
  <si>
    <t>A25506-2926</t>
  </si>
  <si>
    <t>1,903.00 MXN</t>
  </si>
  <si>
    <t>A25506-2417</t>
  </si>
  <si>
    <t>MAURICIO PAREDES</t>
  </si>
  <si>
    <t>501.20 MXN</t>
  </si>
  <si>
    <t>MEXICO - GUANAJUATO - MOROLEON</t>
  </si>
  <si>
    <t>A25506-2347</t>
  </si>
  <si>
    <t>5,325.00 MXN</t>
  </si>
  <si>
    <t>A25506-2208</t>
  </si>
  <si>
    <t>A25506-2013</t>
  </si>
  <si>
    <t>1,818.00 MXN</t>
  </si>
  <si>
    <t>A25506-1807</t>
  </si>
  <si>
    <t>4,550.00 MXN</t>
  </si>
  <si>
    <t>A25506-1583</t>
  </si>
  <si>
    <t>2,512.50 MXN</t>
  </si>
  <si>
    <t>A25506-1551</t>
  </si>
  <si>
    <t>AIRAM PAOLA ORNELAS CABRERA</t>
  </si>
  <si>
    <t>51.02 USD</t>
  </si>
  <si>
    <t>849.99 MXN</t>
  </si>
  <si>
    <t>A25506-6923</t>
  </si>
  <si>
    <t>SELENA BEATRIS MACIAS ARRONA</t>
  </si>
  <si>
    <t>505.00 MXN</t>
  </si>
  <si>
    <t>A25506-8267</t>
  </si>
  <si>
    <t>A25506-7756</t>
  </si>
  <si>
    <t>JULIO CESAR GONZALEZ CRUZ</t>
  </si>
  <si>
    <t>ANGELES EDITH GONZALEZ CRUZ</t>
  </si>
  <si>
    <t>A25506-2932</t>
  </si>
  <si>
    <t>JULIO CESAR PINON TAPIA</t>
  </si>
  <si>
    <t>ERON LUGO TORRES</t>
  </si>
  <si>
    <t>16,651.90 MXN</t>
  </si>
  <si>
    <t>A25506-2927</t>
  </si>
  <si>
    <t>18,522.90 MXN</t>
  </si>
  <si>
    <t>A25506-2911</t>
  </si>
  <si>
    <t>A25506-6711</t>
  </si>
  <si>
    <t>A25506-3372</t>
  </si>
  <si>
    <t>JULIO GARZA CONTRERAS</t>
  </si>
  <si>
    <t>BEATRIZ IRASEMA DE LEON ROQUE</t>
  </si>
  <si>
    <t>65.10 USD</t>
  </si>
  <si>
    <t>1,249.92 MXN</t>
  </si>
  <si>
    <t>A25506-3371</t>
  </si>
  <si>
    <t>A25506-3370</t>
  </si>
  <si>
    <t>VICKLEY ALEJANDRA SALAZAR SOLIS</t>
  </si>
  <si>
    <t>391.00 USD</t>
  </si>
  <si>
    <t>7,507.20 MXN</t>
  </si>
  <si>
    <t>A25506-3201</t>
  </si>
  <si>
    <t>25.17 USD</t>
  </si>
  <si>
    <t>499.88 MXN</t>
  </si>
  <si>
    <t>A25506-3200</t>
  </si>
  <si>
    <t>378.00 USD</t>
  </si>
  <si>
    <t>7,507.08 MXN</t>
  </si>
  <si>
    <t>A25506-3347</t>
  </si>
  <si>
    <t>JULIO GONZALEZ</t>
  </si>
  <si>
    <t>A25506-8741</t>
  </si>
  <si>
    <t>JUNIO MARTINEZ BUSTOS</t>
  </si>
  <si>
    <t>14,091.00 HNL</t>
  </si>
  <si>
    <t>A25506-1888</t>
  </si>
  <si>
    <t>JUNIOR ALEXANDER SIERRA ERAZO</t>
  </si>
  <si>
    <t>ESTER EUNICE LEMUS DIAS</t>
  </si>
  <si>
    <t>9,824.00 HNL</t>
  </si>
  <si>
    <t>HONDURAS - ATLANTIDA - TELA</t>
  </si>
  <si>
    <t>A25506-1523</t>
  </si>
  <si>
    <t>SANTOS ARCADIO SIERRA</t>
  </si>
  <si>
    <t>A25506-1522</t>
  </si>
  <si>
    <t>REYNA ISABEL LEMUS DIAZ</t>
  </si>
  <si>
    <t>1,975.20 HNL</t>
  </si>
  <si>
    <t>A25506-1521</t>
  </si>
  <si>
    <t>19,752.00 HNL</t>
  </si>
  <si>
    <t>A25506-8697</t>
  </si>
  <si>
    <t>2,060.00 HNL</t>
  </si>
  <si>
    <t>A25506-8746</t>
  </si>
  <si>
    <t>JUNIOR DUBON MARTINEZ</t>
  </si>
  <si>
    <t>A25506-3277</t>
  </si>
  <si>
    <t>JUNIOR GERARDO HERNANDEZ NAVARRO</t>
  </si>
  <si>
    <t>BLANCA ESMERALDA ORTIZ RAMOS</t>
  </si>
  <si>
    <t>252.00 USD</t>
  </si>
  <si>
    <t>5,002.20 MXN</t>
  </si>
  <si>
    <t>A25506-3197</t>
  </si>
  <si>
    <t>A25506-3043</t>
  </si>
  <si>
    <t>A25506-2544</t>
  </si>
  <si>
    <t>16,560.00 MXN</t>
  </si>
  <si>
    <t>A25506-2357</t>
  </si>
  <si>
    <t>12,460.00 MXN</t>
  </si>
  <si>
    <t>A25506-1995</t>
  </si>
  <si>
    <t>10,866.00 MXN</t>
  </si>
  <si>
    <t>A25506-1758</t>
  </si>
  <si>
    <t>9,230.00 MXN</t>
  </si>
  <si>
    <t>A25506-1633</t>
  </si>
  <si>
    <t>LIZBETH HERNANDEZ RODRIGUEZ</t>
  </si>
  <si>
    <t>A25506-1524</t>
  </si>
  <si>
    <t>A25506-8333</t>
  </si>
  <si>
    <t>KAREN MARIELY MARTINEZ MORALES</t>
  </si>
  <si>
    <t>MARTA EMERITA MORALES</t>
  </si>
  <si>
    <t>14,085.50 HNL</t>
  </si>
  <si>
    <t>A25506-8263</t>
  </si>
  <si>
    <t>ANTONY ARMANDO VILLAFRANCA MATUTE</t>
  </si>
  <si>
    <t>580.50 MXN</t>
  </si>
  <si>
    <t>MEXICO - CHIAPAS - TAPACHULA</t>
  </si>
  <si>
    <t>A25506-8262</t>
  </si>
  <si>
    <t>A25506-3440</t>
  </si>
  <si>
    <t>KAREN SUGEY OLIVERA LAGOS</t>
  </si>
  <si>
    <t>REYNA FRANCISCA LAGOS COREA</t>
  </si>
  <si>
    <t>37,065.00 HNL</t>
  </si>
  <si>
    <t>A25506-7862</t>
  </si>
  <si>
    <t>KARINA RIVAS MARTINEZ</t>
  </si>
  <si>
    <t>EDGAR ANTONIO MELENDEZ CARDOZA</t>
  </si>
  <si>
    <t>MEXICO - NUEVO LEON - GUADALUPE (NUEVO LEON)</t>
  </si>
  <si>
    <t>A25506-3260</t>
  </si>
  <si>
    <t>KARLA PATRICIA COTO RAMIREZ</t>
  </si>
  <si>
    <t>CLAUDIA KARINA MEJIA ARGUETA</t>
  </si>
  <si>
    <t>A25506-2739</t>
  </si>
  <si>
    <t>KAROL REYES VALDEZ</t>
  </si>
  <si>
    <t>MITZI MADAI JARDINEZ RAMIREZ</t>
  </si>
  <si>
    <t>A25506-3398</t>
  </si>
  <si>
    <t>KELVIN JOSUE DURON CARCAMO</t>
  </si>
  <si>
    <t>RIGOBERTO DURON</t>
  </si>
  <si>
    <t>2,974.80 HNL</t>
  </si>
  <si>
    <t>A25506-3026</t>
  </si>
  <si>
    <t>A25506-2905</t>
  </si>
  <si>
    <t>YEPXON ONIL DURON CARCAMO</t>
  </si>
  <si>
    <t>5,694.80 HNL</t>
  </si>
  <si>
    <t>A25506-2461</t>
  </si>
  <si>
    <t>NORVIS FERNANDO DURON CARCAMO</t>
  </si>
  <si>
    <t>172.00 USD</t>
  </si>
  <si>
    <t>4,255.28 HNL</t>
  </si>
  <si>
    <t>A25506-2381</t>
  </si>
  <si>
    <t>4,205.80 HNL</t>
  </si>
  <si>
    <t>A25506-1972</t>
  </si>
  <si>
    <t>SELVIN RENIERY CONTRERAS LOPEZ</t>
  </si>
  <si>
    <t>4,453.20 HNL</t>
  </si>
  <si>
    <t>A25506-1971</t>
  </si>
  <si>
    <t>4,750.08 HNL</t>
  </si>
  <si>
    <t>A25506-1431</t>
  </si>
  <si>
    <t>A25506-6755</t>
  </si>
  <si>
    <t>KENDRA LINARES</t>
  </si>
  <si>
    <t>MARIA FERNANDA BARRIENTOS MADRIGAL</t>
  </si>
  <si>
    <t>15,187.50 MXN</t>
  </si>
  <si>
    <t>A25506-2266</t>
  </si>
  <si>
    <t>KEVIN JOSE MARTINEZ</t>
  </si>
  <si>
    <t>17,199.00 MXN</t>
  </si>
  <si>
    <t>A25506-1619</t>
  </si>
  <si>
    <t>8,745.00 MXN</t>
  </si>
  <si>
    <t>A25506-1501</t>
  </si>
  <si>
    <t>A25506-1472</t>
  </si>
  <si>
    <t>8,350.00 MXN</t>
  </si>
  <si>
    <t>A25506-2826</t>
  </si>
  <si>
    <t>KEVIN JOSE PEREZ PAZ</t>
  </si>
  <si>
    <t>MA MERCEDES PAZ CAMPOS</t>
  </si>
  <si>
    <t>A25506-2755</t>
  </si>
  <si>
    <t>A25506-2220</t>
  </si>
  <si>
    <t>MACARIO PEREZ DIAZ</t>
  </si>
  <si>
    <t>A25506-7404</t>
  </si>
  <si>
    <t>35,784.00 HNL</t>
  </si>
  <si>
    <t>A25506-3399</t>
  </si>
  <si>
    <t>KEVYN ZOE VILLAGRAN RODRIGUEZ</t>
  </si>
  <si>
    <t>MIRNA JUDITH GARCIA REYES</t>
  </si>
  <si>
    <t>1,474.56 GTQ</t>
  </si>
  <si>
    <t>A25506-3048</t>
  </si>
  <si>
    <t>A25506-3047</t>
  </si>
  <si>
    <t>A25506-2683</t>
  </si>
  <si>
    <t>SONIA LORENA VILLAGRAN RODRIGUEZ</t>
  </si>
  <si>
    <t>A25506-1474</t>
  </si>
  <si>
    <t>1,463.00 GTQ</t>
  </si>
  <si>
    <t>A25506-3333</t>
  </si>
  <si>
    <t>KEYLI ANAYELI LOPEZ SANTOS</t>
  </si>
  <si>
    <t>CESAR ARTURO LOPEZ GONZALEZ</t>
  </si>
  <si>
    <t>1,509.20 GTQ</t>
  </si>
  <si>
    <t>GUATEMALA - ESCUINTLA - LA GOMERA</t>
  </si>
  <si>
    <t>A25506-2771</t>
  </si>
  <si>
    <t>MARIA DE LOS ANGELES MIJANGOS SARAVIA</t>
  </si>
  <si>
    <t>3,845.00 GTQ</t>
  </si>
  <si>
    <t>GUATEMALA - ESCUINTLA - ESCUINTLA</t>
  </si>
  <si>
    <t>A25506-7824</t>
  </si>
  <si>
    <t>6,120.00 GTQ</t>
  </si>
  <si>
    <t>A25506-7454</t>
  </si>
  <si>
    <t>6,112.00 GTQ</t>
  </si>
  <si>
    <t>A25506-7849</t>
  </si>
  <si>
    <t>2,004.30 GTQ</t>
  </si>
  <si>
    <t>A25506-1563</t>
  </si>
  <si>
    <t>KIMBERLY RANGEL RODRIGUEZ</t>
  </si>
  <si>
    <t>EVANGELINA RODRIGUEZ PINA</t>
  </si>
  <si>
    <t>565.00 USD</t>
  </si>
  <si>
    <t>9,379.00 MXN</t>
  </si>
  <si>
    <t>A25506-2564</t>
  </si>
  <si>
    <t>LAURA MARTINEZ HERNANDEZ</t>
  </si>
  <si>
    <t>MARLEN MARTINEZ HERNANDEZ</t>
  </si>
  <si>
    <t>31,450.00 MXN</t>
  </si>
  <si>
    <t>MEXICO - VERACRUZ - TEMPOAL</t>
  </si>
  <si>
    <t>A25506-8330</t>
  </si>
  <si>
    <t>LAURO MEDINA TOBIAS</t>
  </si>
  <si>
    <t>GREGORIO MEDINA TOVIAS</t>
  </si>
  <si>
    <t>445.00 USD</t>
  </si>
  <si>
    <t>8,908.90 MXN</t>
  </si>
  <si>
    <t>MEXICO - NUEVO LEON - BUSTAMANTE</t>
  </si>
  <si>
    <t>A25506-2496</t>
  </si>
  <si>
    <t>LAZARO ARMENDAREZ BAEZ</t>
  </si>
  <si>
    <t>JUAN PEDRO ARMENDARIZ BAEZ</t>
  </si>
  <si>
    <t>A25506-2464</t>
  </si>
  <si>
    <t>MA FABIOLA GARCIA DEUNAS</t>
  </si>
  <si>
    <t>3,622.00 MXN</t>
  </si>
  <si>
    <t>A25506-3121</t>
  </si>
  <si>
    <t>LAZARO COC BOC</t>
  </si>
  <si>
    <t>GREICY ELIZA COS SURIN DE SOCOY</t>
  </si>
  <si>
    <t>521.00 USD</t>
  </si>
  <si>
    <t>4,001.28 GTQ</t>
  </si>
  <si>
    <t>A25506-7407</t>
  </si>
  <si>
    <t>LENIN ALCIDES MERLO MARADIAGA</t>
  </si>
  <si>
    <t>JULISSA KARINA MENDEZ CRUZ</t>
  </si>
  <si>
    <t>4,022.34 HNL</t>
  </si>
  <si>
    <t>A25506-1765</t>
  </si>
  <si>
    <t>LEOBARDO VASQUEZ ALBA</t>
  </si>
  <si>
    <t>BIANCA LUCIA VAZQUEZ SANCHEZ</t>
  </si>
  <si>
    <t>1,836.00 MXN</t>
  </si>
  <si>
    <t>A25506-6781</t>
  </si>
  <si>
    <t>GUENDI LLURIRIA GARCIA LOPEZ</t>
  </si>
  <si>
    <t>A25506-1571</t>
  </si>
  <si>
    <t>LEOBARDO VAZQUEZ ALBA</t>
  </si>
  <si>
    <t>A25506-2647</t>
  </si>
  <si>
    <t>LEONARDO ALFARO VELASCO</t>
  </si>
  <si>
    <t>A25506-2646</t>
  </si>
  <si>
    <t>CRISTIAN ALEJANDRO MORALES CRUZ</t>
  </si>
  <si>
    <t>A25506-2277</t>
  </si>
  <si>
    <t>A25506-2027</t>
  </si>
  <si>
    <t>3,616.00 MXN</t>
  </si>
  <si>
    <t>A25506-2026</t>
  </si>
  <si>
    <t>EMILIO JAVIER HERRERA GUZMAN</t>
  </si>
  <si>
    <t>13,017.60 MXN</t>
  </si>
  <si>
    <t>A25506-1718</t>
  </si>
  <si>
    <t>20,004.88 MXN</t>
  </si>
  <si>
    <t>A25506-6855</t>
  </si>
  <si>
    <t>8,032.00 MXN</t>
  </si>
  <si>
    <t>A25506-7802</t>
  </si>
  <si>
    <t>A25506-8332</t>
  </si>
  <si>
    <t>995.00 USD</t>
  </si>
  <si>
    <t>19,919.90 MXN</t>
  </si>
  <si>
    <t>A25506-2400</t>
  </si>
  <si>
    <t>LEONARDO MARTINEZ DIAZ</t>
  </si>
  <si>
    <t>TERESA DIAZ RUIZ</t>
  </si>
  <si>
    <t>A25506-2236</t>
  </si>
  <si>
    <t>5,226.00 MXN</t>
  </si>
  <si>
    <t>A25506-2796</t>
  </si>
  <si>
    <t>LESLIE LANDA ARRIAGA</t>
  </si>
  <si>
    <t>SARAI OSORIO TRINIDAD</t>
  </si>
  <si>
    <t>1,927.50 GTQ</t>
  </si>
  <si>
    <t>A25506-2770</t>
  </si>
  <si>
    <t>MARIA ELENA ARRIAGA ROSAS</t>
  </si>
  <si>
    <t>510.00 USD</t>
  </si>
  <si>
    <t>9,511.50 MXN</t>
  </si>
  <si>
    <t>A25506-2504</t>
  </si>
  <si>
    <t>YAHAIRA GETZEMANI HIDALGO AMADOR</t>
  </si>
  <si>
    <t>6,039.00 MXN</t>
  </si>
  <si>
    <t>A25506-2329</t>
  </si>
  <si>
    <t>13,172.00 MXN</t>
  </si>
  <si>
    <t>A25506-1932</t>
  </si>
  <si>
    <t>388.00 USD</t>
  </si>
  <si>
    <t>6,987.88 MXN</t>
  </si>
  <si>
    <t>A25506-1539</t>
  </si>
  <si>
    <t>832.00 USD</t>
  </si>
  <si>
    <t>13,811.20 MXN</t>
  </si>
  <si>
    <t>A25506-6758</t>
  </si>
  <si>
    <t>10,125.00 MXN</t>
  </si>
  <si>
    <t>A25506-7402</t>
  </si>
  <si>
    <t>809.00 USD</t>
  </si>
  <si>
    <t>16,018.20 MXN</t>
  </si>
  <si>
    <t>A25506-2876</t>
  </si>
  <si>
    <t>LETICIA SARABIA GARCIA</t>
  </si>
  <si>
    <t>YOLANDA RIVERA DE LA O</t>
  </si>
  <si>
    <t>3,810.00 MXN</t>
  </si>
  <si>
    <t>A25506-2685</t>
  </si>
  <si>
    <t>LIAM ZAVALETA</t>
  </si>
  <si>
    <t>ADRIANA MATA HINDA</t>
  </si>
  <si>
    <t>642.00 USD</t>
  </si>
  <si>
    <t>12,005.40 MXN</t>
  </si>
  <si>
    <t>A25506-3469</t>
  </si>
  <si>
    <t>LINO JIMENEZ MIJAREZ</t>
  </si>
  <si>
    <t>MARIO JESUS AGUILAR ESQUIVEL</t>
  </si>
  <si>
    <t>9,565.00 MXN</t>
  </si>
  <si>
    <t>A25506-2658</t>
  </si>
  <si>
    <t>LIZBETH ORTIZ</t>
  </si>
  <si>
    <t>48,625.00 MXN</t>
  </si>
  <si>
    <t>A25506-1845</t>
  </si>
  <si>
    <t>CRISTINO ORTIZ RAMIREZ</t>
  </si>
  <si>
    <t>23,660.00 MXN</t>
  </si>
  <si>
    <t>A25506-7433</t>
  </si>
  <si>
    <t>LOURDES GONZALEZ PUNTOS</t>
  </si>
  <si>
    <t>MA ISABEL CLIMACO GILES</t>
  </si>
  <si>
    <t>11,004.00 MXN</t>
  </si>
  <si>
    <t>A25506-3337</t>
  </si>
  <si>
    <t>LUCIA LANDA ENCARNACION</t>
  </si>
  <si>
    <t>DEVANY LIZETH GARCIA LANDA</t>
  </si>
  <si>
    <t>959.00 MXN</t>
  </si>
  <si>
    <t>A25506-3138</t>
  </si>
  <si>
    <t>A25506-3024</t>
  </si>
  <si>
    <t>A25506-2235</t>
  </si>
  <si>
    <t>7,216.00 MXN</t>
  </si>
  <si>
    <t>A25506-1780</t>
  </si>
  <si>
    <t>A25506-1582</t>
  </si>
  <si>
    <t>41,875.00 MXN</t>
  </si>
  <si>
    <t>A25506-2565</t>
  </si>
  <si>
    <t>LUCIANO FUENTES ACEVEDO</t>
  </si>
  <si>
    <t>JOSE LUIS MARTINEZ ENRIQUEZ</t>
  </si>
  <si>
    <t>A25506-1659</t>
  </si>
  <si>
    <t>14,320.00 MXN</t>
  </si>
  <si>
    <t>A25506-2831</t>
  </si>
  <si>
    <t>LUCIO RAMIREZ MANCILLAS</t>
  </si>
  <si>
    <t>MARTINA ALMARAZ MEDRANO</t>
  </si>
  <si>
    <t>A25506-2372</t>
  </si>
  <si>
    <t>8,800.00 MXN</t>
  </si>
  <si>
    <t>A25506-1530</t>
  </si>
  <si>
    <t>GERARDA RAMIREZ MANCILLAS</t>
  </si>
  <si>
    <t>1,664.00 MXN</t>
  </si>
  <si>
    <t>A25506-1528</t>
  </si>
  <si>
    <t>21,645.00 MXN</t>
  </si>
  <si>
    <t>A25506-1822</t>
  </si>
  <si>
    <t>LUIS ALMARAZ DE LA FUENTE</t>
  </si>
  <si>
    <t>MA ALMA ROSA DE LA FUENTE CASTRO</t>
  </si>
  <si>
    <t>A25506-1529</t>
  </si>
  <si>
    <t>A25506-3093</t>
  </si>
  <si>
    <t>LUIS ALONSO MENDEZ</t>
  </si>
  <si>
    <t>MARIA ODILIA VALENTIN GONZALES</t>
  </si>
  <si>
    <t>A25506-3079</t>
  </si>
  <si>
    <t>MARIA ODILIA VALENTIN GONZALEZ</t>
  </si>
  <si>
    <t>A25506-2439</t>
  </si>
  <si>
    <t>MACARIA GONZALEZ</t>
  </si>
  <si>
    <t>A25506-2299</t>
  </si>
  <si>
    <t>3,712.50 HNL</t>
  </si>
  <si>
    <t>A25506-1866</t>
  </si>
  <si>
    <t>CARMEN YANETH SANTIAGO</t>
  </si>
  <si>
    <t>4,078.80 HNL</t>
  </si>
  <si>
    <t>A25506-1768</t>
  </si>
  <si>
    <t>A25506-6632</t>
  </si>
  <si>
    <t>LUIS ALONSO MENDEZ CRUZ</t>
  </si>
  <si>
    <t>8,502.30 HNL</t>
  </si>
  <si>
    <t>A25506-7737</t>
  </si>
  <si>
    <t>780.00 USD</t>
  </si>
  <si>
    <t>19,975.80 HNL</t>
  </si>
  <si>
    <t>A25506-8279</t>
  </si>
  <si>
    <t>4,507.36 HNL</t>
  </si>
  <si>
    <t>A25506-3285</t>
  </si>
  <si>
    <t>LUIS ANGEL RANGEL OJEDA</t>
  </si>
  <si>
    <t>LUDIVINA MORA ALANIS</t>
  </si>
  <si>
    <t>A25506-1849</t>
  </si>
  <si>
    <t>A25506-7457</t>
  </si>
  <si>
    <t>A25506-7510</t>
  </si>
  <si>
    <t>LUIS ARTURO GOMEZ PENARROJA</t>
  </si>
  <si>
    <t>BENY NOE PENARROJA DIOSDADO</t>
  </si>
  <si>
    <t>19,950.00 MXN</t>
  </si>
  <si>
    <t>A25506-7509</t>
  </si>
  <si>
    <t>A25506-3038</t>
  </si>
  <si>
    <t>LUIS BECERRIL BECERRIL</t>
  </si>
  <si>
    <t>A25506-3037</t>
  </si>
  <si>
    <t>A25506-7494</t>
  </si>
  <si>
    <t>A25506-8678</t>
  </si>
  <si>
    <t>9,584.40 MXN</t>
  </si>
  <si>
    <t>A25506-7804</t>
  </si>
  <si>
    <t>LUIS DANIEL ORTIZ MEDINA</t>
  </si>
  <si>
    <t>8,100.30 MXN</t>
  </si>
  <si>
    <t>A25506-8753</t>
  </si>
  <si>
    <t>335.05 USD</t>
  </si>
  <si>
    <t>6,499.97 MXN</t>
  </si>
  <si>
    <t>A25506-8341</t>
  </si>
  <si>
    <t>A25506-2387</t>
  </si>
  <si>
    <t>LUIS DAVID RIOS JASSO</t>
  </si>
  <si>
    <t>JANETH JASSO MARTINEZ</t>
  </si>
  <si>
    <t>1,609.20 MXN</t>
  </si>
  <si>
    <t>A25506-1680</t>
  </si>
  <si>
    <t>LUIS DIAZ DIAZ</t>
  </si>
  <si>
    <t>CARMEN CASTRO MARTINEZ</t>
  </si>
  <si>
    <t>2,765.28 HNL</t>
  </si>
  <si>
    <t>A25506-1495</t>
  </si>
  <si>
    <t>JOSE FERNANDO CHAVARRIA DIAZ</t>
  </si>
  <si>
    <t>530.00 USD</t>
  </si>
  <si>
    <t>13,085.70 HNL</t>
  </si>
  <si>
    <t>A25506-3437</t>
  </si>
  <si>
    <t>LUIS EDUARDO CAMPOS</t>
  </si>
  <si>
    <t>SANDRA JANETTE CAMPOS CORONA</t>
  </si>
  <si>
    <t>2,301.60 MXN</t>
  </si>
  <si>
    <t>A25506-2966</t>
  </si>
  <si>
    <t>2,284.80 MXN</t>
  </si>
  <si>
    <t>A25506-6658</t>
  </si>
  <si>
    <t>A25506-3195</t>
  </si>
  <si>
    <t>LUIS ENRIQUE MEZA NAVA</t>
  </si>
  <si>
    <t>IVAN ENRIQUE GALAVIZ REYES</t>
  </si>
  <si>
    <t>12,805.00 MXN</t>
  </si>
  <si>
    <t>A25506-2879</t>
  </si>
  <si>
    <t>18,164.00 MXN</t>
  </si>
  <si>
    <t>A25506-2762</t>
  </si>
  <si>
    <t>7,452.00 MXN</t>
  </si>
  <si>
    <t>A25506-2566</t>
  </si>
  <si>
    <t>15,104.00 MXN</t>
  </si>
  <si>
    <t>A25506-1714</t>
  </si>
  <si>
    <t>12,628.00 MXN</t>
  </si>
  <si>
    <t>A25506-1624</t>
  </si>
  <si>
    <t>LUIS FERNANDO RAMIREZ RODRIGUEZ</t>
  </si>
  <si>
    <t>JUAN LUIS TORRES RAMIREZ</t>
  </si>
  <si>
    <t>WALDOS DOLAR MART</t>
  </si>
  <si>
    <t>MEXICO - COAHUILA - MATAMOROS (COAHUILA)</t>
  </si>
  <si>
    <t>A25506-7707</t>
  </si>
  <si>
    <t>MARIA ANTONIA RODRIGUEZ DEL TORO</t>
  </si>
  <si>
    <t>4,006.00 MXN</t>
  </si>
  <si>
    <t>A25506-8658</t>
  </si>
  <si>
    <t>2,022.30 MXN</t>
  </si>
  <si>
    <t>A25506-1450</t>
  </si>
  <si>
    <t>LUIS FERNANDO SANTA ANA PERALES</t>
  </si>
  <si>
    <t>MARIA DE LA LUZ SANTANA PERALES</t>
  </si>
  <si>
    <t>16,238.60 MXN</t>
  </si>
  <si>
    <t>A25506-1449</t>
  </si>
  <si>
    <t>A25506-6808</t>
  </si>
  <si>
    <t>LUIS GERARDO MARTINEZ GONZALEZ</t>
  </si>
  <si>
    <t>MARIA BELEN GONZALEZ CHAVEZ</t>
  </si>
  <si>
    <t>772.00 USD</t>
  </si>
  <si>
    <t>15,517.20 MXN</t>
  </si>
  <si>
    <t>A25506-8210</t>
  </si>
  <si>
    <t>LUIS JAVIER VARELA CANTARERO</t>
  </si>
  <si>
    <t>BERNARDA VARELA CANTARERO</t>
  </si>
  <si>
    <t>3,073.20 HNL</t>
  </si>
  <si>
    <t>A25506-2939</t>
  </si>
  <si>
    <t>LUIS MANUEL VELAZQUEZ NITO</t>
  </si>
  <si>
    <t>MARIA DOLORES HERNANDEZ JUAREZ</t>
  </si>
  <si>
    <t>12,172.80 MXN</t>
  </si>
  <si>
    <t>A25506-2478</t>
  </si>
  <si>
    <t>8,516.40 MXN</t>
  </si>
  <si>
    <t>A25506-1794</t>
  </si>
  <si>
    <t>A25506-1688</t>
  </si>
  <si>
    <t>21,600.00 MXN</t>
  </si>
  <si>
    <t>A25506-7794</t>
  </si>
  <si>
    <t>LUIS OLVERA</t>
  </si>
  <si>
    <t>AIDE CRISTINA OLVERA GARCIA</t>
  </si>
  <si>
    <t>4,040.00 MXN</t>
  </si>
  <si>
    <t>A25506-6806</t>
  </si>
  <si>
    <t>LUIS RIVERA AROS</t>
  </si>
  <si>
    <t>MARIA ELIZABETH PRADO ARVIZU</t>
  </si>
  <si>
    <t>1,285.00 USD</t>
  </si>
  <si>
    <t>25,828.50 MXN</t>
  </si>
  <si>
    <t>A25506-7840</t>
  </si>
  <si>
    <t>A25506-8696</t>
  </si>
  <si>
    <t>A25506-8304</t>
  </si>
  <si>
    <t>MARIA CECILIA RAMIREZ RAMIREZ</t>
  </si>
  <si>
    <t>A25506-8303</t>
  </si>
  <si>
    <t>A25506-6875</t>
  </si>
  <si>
    <t>LUIS ROBERTO CHAJON XETEY</t>
  </si>
  <si>
    <t>12,166.00 GTQ</t>
  </si>
  <si>
    <t>A25506-6714</t>
  </si>
  <si>
    <t>1,440.00 USD</t>
  </si>
  <si>
    <t>11,016.00 GTQ</t>
  </si>
  <si>
    <t>A25506-3238</t>
  </si>
  <si>
    <t>LUIS TORRES SLLVA</t>
  </si>
  <si>
    <t>LUIS ENRIQUE RODRIGUEZ MORENO</t>
  </si>
  <si>
    <t>6,468.00 MXN</t>
  </si>
  <si>
    <t>A25506-2657</t>
  </si>
  <si>
    <t>LUZ JOHANNA VERDIN SALCEDO</t>
  </si>
  <si>
    <t>A25506-2617</t>
  </si>
  <si>
    <t>ROSA MARIA SALCEDO GALVAN</t>
  </si>
  <si>
    <t>MEXICO - NAYARIT - TEPIC</t>
  </si>
  <si>
    <t>A25506-2385</t>
  </si>
  <si>
    <t>6,052.00 MXN</t>
  </si>
  <si>
    <t>A25506-2162</t>
  </si>
  <si>
    <t>5,150.40 MXN</t>
  </si>
  <si>
    <t>A25506-1740</t>
  </si>
  <si>
    <t>A25506-1467</t>
  </si>
  <si>
    <t>MA ANASTACIA SALCEDO GALVAN</t>
  </si>
  <si>
    <t>8,070.30 MXN</t>
  </si>
  <si>
    <t>A25506-1625</t>
  </si>
  <si>
    <t>LUZ MARIA ARECHAR</t>
  </si>
  <si>
    <t>JOSE ODILON DUARTE CONTRERAS</t>
  </si>
  <si>
    <t>MEXICO - GUANAJUATO - OCAMPO</t>
  </si>
  <si>
    <t>A25506-1588</t>
  </si>
  <si>
    <t>MA D MEDRANO GONZALEZ</t>
  </si>
  <si>
    <t>ESTEBAN GONZALEZ GUARDADO</t>
  </si>
  <si>
    <t>11,690.00 MXN</t>
  </si>
  <si>
    <t>A25506-2410</t>
  </si>
  <si>
    <t>MA DEL ROSARIO GARCIA VILLASENOR</t>
  </si>
  <si>
    <t>ANAHI GARCIA GARCIA</t>
  </si>
  <si>
    <t>1,790.00 MXN</t>
  </si>
  <si>
    <t>A25506-2407</t>
  </si>
  <si>
    <t>3,401.00 MXN</t>
  </si>
  <si>
    <t>A25506-3133</t>
  </si>
  <si>
    <t>MA DEL ROSARIO RAMIREZ PATLAN</t>
  </si>
  <si>
    <t>MIGUEL GONZALEZ ALDAMA</t>
  </si>
  <si>
    <t>A25506-2637</t>
  </si>
  <si>
    <t>MA ISABEL GARVAN DIAZ</t>
  </si>
  <si>
    <t>MARIA DEL REFUJIO DIAZ ALVAREZ</t>
  </si>
  <si>
    <t>159.00 USD</t>
  </si>
  <si>
    <t>3,005.10 MXN</t>
  </si>
  <si>
    <t>A25506-3083</t>
  </si>
  <si>
    <t>MA ROSA RODRIGUEZ DE CARRERA</t>
  </si>
  <si>
    <t>GABRIEL RODRIGUEZ JUAREZ</t>
  </si>
  <si>
    <t>19,305.00 MXN</t>
  </si>
  <si>
    <t>A25506-1998</t>
  </si>
  <si>
    <t>21,804.00 MXN</t>
  </si>
  <si>
    <t>A25506-6854</t>
  </si>
  <si>
    <t>12,048.00 MXN</t>
  </si>
  <si>
    <t>A25506-6751</t>
  </si>
  <si>
    <t>A25506-3091</t>
  </si>
  <si>
    <t>MA VERONICA RAMIREZ</t>
  </si>
  <si>
    <t>MANUEL DE JESUS RAMIREZ CHAIREZ</t>
  </si>
  <si>
    <t>1,858.20 MXN</t>
  </si>
  <si>
    <t>A25506-2580</t>
  </si>
  <si>
    <t>MA YANET NUNEZ CORTES</t>
  </si>
  <si>
    <t>MA SOLEDAD ALVAREZ SALAZAR</t>
  </si>
  <si>
    <t>47,250.00 MXN</t>
  </si>
  <si>
    <t>A25506-6644</t>
  </si>
  <si>
    <t>MANUEL ADRIAN GARCIA MORENO</t>
  </si>
  <si>
    <t>FLOR ANAHI DIAZ ARMIJO</t>
  </si>
  <si>
    <t>4,026.00 MXN</t>
  </si>
  <si>
    <t>A25506-7721</t>
  </si>
  <si>
    <t>A25506-7744</t>
  </si>
  <si>
    <t>MANUEL ARTEAGA DE LEON</t>
  </si>
  <si>
    <t>EDITH DELGADILLO CASIANO</t>
  </si>
  <si>
    <t>10,045.00 MXN</t>
  </si>
  <si>
    <t>A25506-7489</t>
  </si>
  <si>
    <t>A25506-6725</t>
  </si>
  <si>
    <t>MANUEL CHOX SAQUIC</t>
  </si>
  <si>
    <t>MARIA CHOX SAQUIC</t>
  </si>
  <si>
    <t>19,250.00 GTQ</t>
  </si>
  <si>
    <t>A25506-8786</t>
  </si>
  <si>
    <t>MANUEL CRUCES GONZALEZ</t>
  </si>
  <si>
    <t>SANDRA CECILIA TORRES RAMIREZ</t>
  </si>
  <si>
    <t>4,303.20 MXN</t>
  </si>
  <si>
    <t>A25506-7881</t>
  </si>
  <si>
    <t>ROCIO GUADALUPE MORENO CHAVEZ</t>
  </si>
  <si>
    <t>5,773.90 MXN</t>
  </si>
  <si>
    <t>A25506-3383</t>
  </si>
  <si>
    <t>MANUEL DE JESUS ORTEGA VAZQUEZ</t>
  </si>
  <si>
    <t>A25506-3066</t>
  </si>
  <si>
    <t>770.00 USD</t>
  </si>
  <si>
    <t>15,015.00 MXN</t>
  </si>
  <si>
    <t>A25506-2835</t>
  </si>
  <si>
    <t>860.00 USD</t>
  </si>
  <si>
    <t>15,996.00 MXN</t>
  </si>
  <si>
    <t>A25506-6726</t>
  </si>
  <si>
    <t>MANUEL EDUARDO TZEP IXTOS</t>
  </si>
  <si>
    <t>ANTONIA IXTOS SOHOM</t>
  </si>
  <si>
    <t>A25506-6652</t>
  </si>
  <si>
    <t>MANUEL FLORES RODRIGUEZ</t>
  </si>
  <si>
    <t>LETICIA FLORES RODRIGUEZ</t>
  </si>
  <si>
    <t>A25506-3362</t>
  </si>
  <si>
    <t>MANUEL GAYTAN</t>
  </si>
  <si>
    <t>CECILIO ANTONIO GAITAN DE PAZ</t>
  </si>
  <si>
    <t>DESPENSA DE DON JUAN</t>
  </si>
  <si>
    <t>A25506-3076</t>
  </si>
  <si>
    <t>MANUEL MATEHUALA ROCHA</t>
  </si>
  <si>
    <t>LETICIA ROCHA ROMERO</t>
  </si>
  <si>
    <t>38,900.00 MXN</t>
  </si>
  <si>
    <t>A25506-6752</t>
  </si>
  <si>
    <t>MANUEL MAXIMILIANO TZIQUIN CHOX</t>
  </si>
  <si>
    <t>CATARINA ELIZABETH GUACHIAC CARRILLO</t>
  </si>
  <si>
    <t>2,300.00 USD</t>
  </si>
  <si>
    <t>17,710.00 GTQ</t>
  </si>
  <si>
    <t>A25506-6731</t>
  </si>
  <si>
    <t>MANUEL SAC MAS</t>
  </si>
  <si>
    <t>JUANA CESILIA SAC SAC</t>
  </si>
  <si>
    <t>8,470.00 GTQ</t>
  </si>
  <si>
    <t>A25506-6722</t>
  </si>
  <si>
    <t>MANUEL TAMBRIZ GUARCHAJ</t>
  </si>
  <si>
    <t>MARIA GUADALUPE TAMBRIZ CHOX</t>
  </si>
  <si>
    <t>A25506-7731</t>
  </si>
  <si>
    <t>MARCELA ELIZABETH ESPINOZA MEJIA</t>
  </si>
  <si>
    <t>SILVIA ELIZABETH MEJIA DE ESPINOZA</t>
  </si>
  <si>
    <t>A25506-3117</t>
  </si>
  <si>
    <t>MARCIAL ENRIQUE HERNANDEZ HERNANDEZ</t>
  </si>
  <si>
    <t>LUIS GUSTAVO NAJERA VASQUEZ</t>
  </si>
  <si>
    <t>A25506-2351</t>
  </si>
  <si>
    <t>17,700.00 MXN</t>
  </si>
  <si>
    <t>A25506-6708</t>
  </si>
  <si>
    <t>NORMA DEL CARMEN OCHOA DE LIMA</t>
  </si>
  <si>
    <t>A25506-7813</t>
  </si>
  <si>
    <t>WILLIAM ALFREDO HERNANDEZ AGUILAR</t>
  </si>
  <si>
    <t>A25506-7438</t>
  </si>
  <si>
    <t>JOSE ROBERTO MORAN SALAZAR</t>
  </si>
  <si>
    <t>A25506-8320</t>
  </si>
  <si>
    <t>ANDRES RENBERTO HERNANDEZ GUTIERREZ</t>
  </si>
  <si>
    <t>A25506-8319</t>
  </si>
  <si>
    <t>A25506-8318</t>
  </si>
  <si>
    <t>A25506-3109</t>
  </si>
  <si>
    <t>MARCIAL ESTRADA SALINAS</t>
  </si>
  <si>
    <t>MAYRA MARTINEZ MONDRAGON</t>
  </si>
  <si>
    <t>51.28 USD</t>
  </si>
  <si>
    <t>999.96 MXN</t>
  </si>
  <si>
    <t>MEXICO - MEXICO (ESTADO) - ALMOLOYA DE JUAREZ</t>
  </si>
  <si>
    <t>A25506-3317</t>
  </si>
  <si>
    <t>MARCIAL VELAZQUEZ RODRIGUEZ</t>
  </si>
  <si>
    <t>JOSE CARMEN VELAZQUEZ RODRIGUEZ</t>
  </si>
  <si>
    <t>1,726.20 MXN</t>
  </si>
  <si>
    <t>A25506-3316</t>
  </si>
  <si>
    <t>MARIA CRUZ ORTIZ HERNANDEZ</t>
  </si>
  <si>
    <t>7,480.20 MXN</t>
  </si>
  <si>
    <t>A25506-3015</t>
  </si>
  <si>
    <t>7,566.00 MXN</t>
  </si>
  <si>
    <t>A25506-2913</t>
  </si>
  <si>
    <t>A25506-2912</t>
  </si>
  <si>
    <t>7,425.60 MXN</t>
  </si>
  <si>
    <t>A25506-2307</t>
  </si>
  <si>
    <t>A25506-2191</t>
  </si>
  <si>
    <t>A25506-2079</t>
  </si>
  <si>
    <t>1,620.00 MXN</t>
  </si>
  <si>
    <t>A25506-2078</t>
  </si>
  <si>
    <t>A25506-1864</t>
  </si>
  <si>
    <t>A25506-1493</t>
  </si>
  <si>
    <t>6,454.50 MXN</t>
  </si>
  <si>
    <t>A25506-6798</t>
  </si>
  <si>
    <t>A25506-7502</t>
  </si>
  <si>
    <t>7,800.00 MXN</t>
  </si>
  <si>
    <t>A25506-8247</t>
  </si>
  <si>
    <t>MARCIO YONER VELASQUEZ GUENERA</t>
  </si>
  <si>
    <t>RENIERY MUNGUIA ZAPEDA</t>
  </si>
  <si>
    <t>313.00 USD</t>
  </si>
  <si>
    <t>8,015.93 HNL</t>
  </si>
  <si>
    <t>A25506-2508</t>
  </si>
  <si>
    <t>MARCO ANTONIO MARADIAGA</t>
  </si>
  <si>
    <t>MARIA SUSANA OVIEDO MADARIAGA</t>
  </si>
  <si>
    <t>1,484.40 HNL</t>
  </si>
  <si>
    <t>A25506-6831</t>
  </si>
  <si>
    <t>3,376.56 HNL</t>
  </si>
  <si>
    <t>A25506-6776</t>
  </si>
  <si>
    <t>6,139.20 HNL</t>
  </si>
  <si>
    <t>A25506-7816</t>
  </si>
  <si>
    <t>MERARY ARACELY MARADIAGA MARTINEZ</t>
  </si>
  <si>
    <t>1,076.04 HNL</t>
  </si>
  <si>
    <t>A25506-8754</t>
  </si>
  <si>
    <t>JIMMY JAYRO ALVARADO CARDENAS</t>
  </si>
  <si>
    <t>1,024.40 HNL</t>
  </si>
  <si>
    <t>A25506-8718</t>
  </si>
  <si>
    <t>MARIA DE LOS ANGELES LOPEZ</t>
  </si>
  <si>
    <t>1,030.00 HNL</t>
  </si>
  <si>
    <t>A25506-8215</t>
  </si>
  <si>
    <t>ASLY YOLANDA QUEVEDO LOPEZ</t>
  </si>
  <si>
    <t>1,028.00 HNL</t>
  </si>
  <si>
    <t>A25506-3368</t>
  </si>
  <si>
    <t>MARCO TULIO DIAZ PAZ</t>
  </si>
  <si>
    <t>A25506-3045</t>
  </si>
  <si>
    <t>49,420.00 HNL</t>
  </si>
  <si>
    <t>A25506-2227</t>
  </si>
  <si>
    <t>49,200.00 HNL</t>
  </si>
  <si>
    <t>A25506-2111</t>
  </si>
  <si>
    <t>A25506-1868</t>
  </si>
  <si>
    <t>49,000.00 HNL</t>
  </si>
  <si>
    <t>A25506-1609</t>
  </si>
  <si>
    <t>49,380.00 HNL</t>
  </si>
  <si>
    <t>A25506-6677</t>
  </si>
  <si>
    <t>50,660.00 HNL</t>
  </si>
  <si>
    <t>A25506-2462</t>
  </si>
  <si>
    <t>MARCOS ALEJANDRO RANGEL ARREDONDO</t>
  </si>
  <si>
    <t>MA JESUS HUERTA SOSA</t>
  </si>
  <si>
    <t>12,670.00 MXN</t>
  </si>
  <si>
    <t>A25506-3150</t>
  </si>
  <si>
    <t>MARCOS ESPARZA ESPINOZA</t>
  </si>
  <si>
    <t>RAMIRO ESPARZA GALLARDO</t>
  </si>
  <si>
    <t>A25506-2153</t>
  </si>
  <si>
    <t>2,686.50 MXN</t>
  </si>
  <si>
    <t>A25506-7405</t>
  </si>
  <si>
    <t>A25506-8218</t>
  </si>
  <si>
    <t>DANIEL HERRERA QUINONES</t>
  </si>
  <si>
    <t>1,002.50 MXN</t>
  </si>
  <si>
    <t>A25506-8217</t>
  </si>
  <si>
    <t>2,005.00 MXN</t>
  </si>
  <si>
    <t>A25506-2259</t>
  </si>
  <si>
    <t>MARGARITA CASTANEDA REYES</t>
  </si>
  <si>
    <t>GUADALUPE CASTANEDA REYES</t>
  </si>
  <si>
    <t>1,010.04 MXN</t>
  </si>
  <si>
    <t>A25506-2310</t>
  </si>
  <si>
    <t>MARGARITO HERNANDEZ RODRIGUEZ</t>
  </si>
  <si>
    <t>ANGELA MONSERRAT OSUNA VEGA</t>
  </si>
  <si>
    <t>16,862.50 MXN</t>
  </si>
  <si>
    <t>MEXICO - SONORA - SONOYTA</t>
  </si>
  <si>
    <t>A25506-7760</t>
  </si>
  <si>
    <t>MARGARITO NOE MORENO PRADO</t>
  </si>
  <si>
    <t>SOFIA PRADO RODRIGUEZ</t>
  </si>
  <si>
    <t>A25506-2401</t>
  </si>
  <si>
    <t>MARGARITO RESENDIZ MATA</t>
  </si>
  <si>
    <t>ALEJANDRINO RESENDIZ MATA</t>
  </si>
  <si>
    <t>17,900.00 MXN</t>
  </si>
  <si>
    <t>A25506-2639</t>
  </si>
  <si>
    <t>MARIA BRIONES</t>
  </si>
  <si>
    <t>DEISY MARLENN TORRES BRIONES</t>
  </si>
  <si>
    <t>A25506-3426</t>
  </si>
  <si>
    <t>MARIA DANESI AGUILAR QUINTANILLA</t>
  </si>
  <si>
    <t>MARIA DEYLIN AGUILAR QUINTANILLA</t>
  </si>
  <si>
    <t>17,255.00 HNL</t>
  </si>
  <si>
    <t>A25506-2984</t>
  </si>
  <si>
    <t>A25506-2623</t>
  </si>
  <si>
    <t>GLADYS ONDINA QUINTANILLA PEREZ</t>
  </si>
  <si>
    <t>A25506-1831</t>
  </si>
  <si>
    <t>20,995.00 HNL</t>
  </si>
  <si>
    <t>A25506-6705</t>
  </si>
  <si>
    <t>2,351.52 HNL</t>
  </si>
  <si>
    <t>A25506-7821</t>
  </si>
  <si>
    <t>YOLANY KARINA ANDRADE BONILLA</t>
  </si>
  <si>
    <t>1,281.00 HNL</t>
  </si>
  <si>
    <t>A25506-7820</t>
  </si>
  <si>
    <t>17,715.20 HNL</t>
  </si>
  <si>
    <t>A25506-7408</t>
  </si>
  <si>
    <t>10,232.00 HNL</t>
  </si>
  <si>
    <t>A25506-7434</t>
  </si>
  <si>
    <t>MARIA DE JESUS COLCHADO AGUILLON</t>
  </si>
  <si>
    <t>754.00 USD</t>
  </si>
  <si>
    <t>15,004.60 MXN</t>
  </si>
  <si>
    <t>A25506-3127</t>
  </si>
  <si>
    <t>MARIA DE JESUS ELIAS GAMEZ</t>
  </si>
  <si>
    <t>MA CARMEN HERNANDEZ ALBARES</t>
  </si>
  <si>
    <t>8,274.00 MXN</t>
  </si>
  <si>
    <t>A25506-2322</t>
  </si>
  <si>
    <t>7,434.00 MXN</t>
  </si>
  <si>
    <t>A25506-1694</t>
  </si>
  <si>
    <t>MARIA DEL CARMEN PALACIOS TURRUBIATES</t>
  </si>
  <si>
    <t>A25506-2875</t>
  </si>
  <si>
    <t>MARIA DEL CARMEN TAVORA MALDONADO</t>
  </si>
  <si>
    <t>LUCILA MALDONADO FUENTES</t>
  </si>
  <si>
    <t>808.00 USD</t>
  </si>
  <si>
    <t>20,006.08 HNL</t>
  </si>
  <si>
    <t>A25506-1491</t>
  </si>
  <si>
    <t>MARIA DEL REFUGIO GONZALEZ</t>
  </si>
  <si>
    <t>MA PETRA GUARDADO BUENDIA</t>
  </si>
  <si>
    <t>16,550.00 MXN</t>
  </si>
  <si>
    <t>A25506-7464</t>
  </si>
  <si>
    <t>MARIA DEYSY QUINTANILLA DIAZ</t>
  </si>
  <si>
    <t>MARIA FELIPA SANCHEZ DIAZ</t>
  </si>
  <si>
    <t>2,076.00 USD</t>
  </si>
  <si>
    <t>53,000.28 HNL</t>
  </si>
  <si>
    <t>A25506-7427</t>
  </si>
  <si>
    <t>A25506-3202</t>
  </si>
  <si>
    <t>MARIA DUNIA QUINTANILLA SANCHEZ</t>
  </si>
  <si>
    <t>7,229.92 HNL</t>
  </si>
  <si>
    <t>A25506-1863</t>
  </si>
  <si>
    <t>61,375.00 HNL</t>
  </si>
  <si>
    <t>A25506-8790</t>
  </si>
  <si>
    <t>MARIA ELENA BALDERAS CORTES</t>
  </si>
  <si>
    <t>MARIANA CAROL CARDOSO RODRIGUEZ</t>
  </si>
  <si>
    <t>31.00 USD</t>
  </si>
  <si>
    <t>604.50 MXN</t>
  </si>
  <si>
    <t>A25506-8789</t>
  </si>
  <si>
    <t>JOSE SUAREZ JUAREZ</t>
  </si>
  <si>
    <t>257.00 USD</t>
  </si>
  <si>
    <t>5,011.50 MXN</t>
  </si>
  <si>
    <t>A25506-2424</t>
  </si>
  <si>
    <t>MARIA EVA VILLALOBOS</t>
  </si>
  <si>
    <t>ADRIANA TRUJILLLO</t>
  </si>
  <si>
    <t>A25506-2154</t>
  </si>
  <si>
    <t>LAURA BERENICE TRUJILLO VILLALOBOS</t>
  </si>
  <si>
    <t>895.50 MXN</t>
  </si>
  <si>
    <t>A25506-1574</t>
  </si>
  <si>
    <t>1,689.00 MXN</t>
  </si>
  <si>
    <t>A25506-6763</t>
  </si>
  <si>
    <t>A25506-6762</t>
  </si>
  <si>
    <t>A25506-3455</t>
  </si>
  <si>
    <t>MARIA FERNANDA ALVAREZ RODRIGUEZ</t>
  </si>
  <si>
    <t>KARLA PAOLA GARCIA SEN</t>
  </si>
  <si>
    <t>3,225.60 GTQ</t>
  </si>
  <si>
    <t>A25506-3072</t>
  </si>
  <si>
    <t>2,688.00 GTQ</t>
  </si>
  <si>
    <t>A25506-2195</t>
  </si>
  <si>
    <t>MARIA GUADALUPE MIRELES MIRELES</t>
  </si>
  <si>
    <t>DANIEL MIRELES MIRELES</t>
  </si>
  <si>
    <t>17,550.00 MXN</t>
  </si>
  <si>
    <t>A25506-3064</t>
  </si>
  <si>
    <t>MARIA GUARDADO DIAZ DE LEON</t>
  </si>
  <si>
    <t>MA CONCEPCION GUARDADO DIAZ DE LEON</t>
  </si>
  <si>
    <t>11,540.40 MXN</t>
  </si>
  <si>
    <t>A25506-1697</t>
  </si>
  <si>
    <t>MARIA I GARCIA</t>
  </si>
  <si>
    <t>JOSE DE LA CRUZ ROMERO LOPEZ</t>
  </si>
  <si>
    <t>8,771.00 MXN</t>
  </si>
  <si>
    <t>MEXICO - DURANGO - SAN JUAN DEL RIO</t>
  </si>
  <si>
    <t>A25506-1677</t>
  </si>
  <si>
    <t>RICARDO GARCIA CALDERON</t>
  </si>
  <si>
    <t>3,420.00 MXN</t>
  </si>
  <si>
    <t>A25506-2130</t>
  </si>
  <si>
    <t>MARIA JUANA GARCIA</t>
  </si>
  <si>
    <t>ADRIAN ALEJANDRO TORRES MONSIVAIS</t>
  </si>
  <si>
    <t>5,340.00 MXN</t>
  </si>
  <si>
    <t>A25506-8788</t>
  </si>
  <si>
    <t>MARIA MACHUCA</t>
  </si>
  <si>
    <t>RAQUEL ADAN GASPAR</t>
  </si>
  <si>
    <t>580.00 USD</t>
  </si>
  <si>
    <t>11,252.00 MXN</t>
  </si>
  <si>
    <t>A25506-3374</t>
  </si>
  <si>
    <t>MARIA MALDONADO PORRAS</t>
  </si>
  <si>
    <t>MARIA AIDE MENDEZ</t>
  </si>
  <si>
    <t>A25506-3019</t>
  </si>
  <si>
    <t>MARIA R ORANDAY</t>
  </si>
  <si>
    <t>PRISCILA ELIZABETH MARTINEZ ARREDONDO</t>
  </si>
  <si>
    <t>4,298.80 MXN</t>
  </si>
  <si>
    <t>A25506-2764</t>
  </si>
  <si>
    <t>4,050.20 MXN</t>
  </si>
  <si>
    <t>A25506-2763</t>
  </si>
  <si>
    <t>FRANCIA MINERVA MORON ZAPATA</t>
  </si>
  <si>
    <t>213.00 USD</t>
  </si>
  <si>
    <t>3,921.33 MXN</t>
  </si>
  <si>
    <t>A25506-2749</t>
  </si>
  <si>
    <t>4,006.80 MXN</t>
  </si>
  <si>
    <t>A25506-2748</t>
  </si>
  <si>
    <t>3,780.00 MXN</t>
  </si>
  <si>
    <t>A25506-2604</t>
  </si>
  <si>
    <t>A25506-2408</t>
  </si>
  <si>
    <t>4,475.00 MXN</t>
  </si>
  <si>
    <t>A25506-2270</t>
  </si>
  <si>
    <t>6,170.50 MXN</t>
  </si>
  <si>
    <t>A25506-2260</t>
  </si>
  <si>
    <t>881.50 MXN</t>
  </si>
  <si>
    <t>A25506-1939</t>
  </si>
  <si>
    <t>MARIA DEL SOCORRO MARTINEZ PRADO</t>
  </si>
  <si>
    <t>4,368.00 MXN</t>
  </si>
  <si>
    <t>A25506-7437</t>
  </si>
  <si>
    <t>5,976.00 MXN</t>
  </si>
  <si>
    <t>A25506-1917</t>
  </si>
  <si>
    <t>MARIA REINA ISABEL QUINTERO GUERRERO</t>
  </si>
  <si>
    <t>JUAN QUINTERO FLORES</t>
  </si>
  <si>
    <t>A25506-1842</t>
  </si>
  <si>
    <t>5,487.00 MXN</t>
  </si>
  <si>
    <t>A25506-1918</t>
  </si>
  <si>
    <t>MARIA TERESA HERNANDEZ GALVAN</t>
  </si>
  <si>
    <t>ISAURA HERNANDEZ TOSCANO</t>
  </si>
  <si>
    <t>1,973.40 MXN</t>
  </si>
  <si>
    <t>A25506-1433</t>
  </si>
  <si>
    <t>MARIANA SANCHEZ CORTES</t>
  </si>
  <si>
    <t>ERIKA SANCHEZ CORTES</t>
  </si>
  <si>
    <t>6,644.00 MXN</t>
  </si>
  <si>
    <t>A25506-2677</t>
  </si>
  <si>
    <t>MARIBEL RIOS RIOS</t>
  </si>
  <si>
    <t>ALICIA RIOS RAMIREZ</t>
  </si>
  <si>
    <t>MEXICO - COAHUILA - ACUNA</t>
  </si>
  <si>
    <t>A25506-3325</t>
  </si>
  <si>
    <t>MARICELA GONZALEZ VARGAS</t>
  </si>
  <si>
    <t>ISABEL CAMPOS DE CALIX</t>
  </si>
  <si>
    <t>A25506-2038</t>
  </si>
  <si>
    <t>JOSE GONZALEZ TORRES</t>
  </si>
  <si>
    <t>5,406.00 MXN</t>
  </si>
  <si>
    <t>A25506-2037</t>
  </si>
  <si>
    <t>A25506-6915</t>
  </si>
  <si>
    <t>A25506-6707</t>
  </si>
  <si>
    <t>A25506-3322</t>
  </si>
  <si>
    <t>MARILYN RAQUEL CASTELLANOS HERRERA</t>
  </si>
  <si>
    <t>YELSON ALEJANDRO CASTELLANOS HERRERA</t>
  </si>
  <si>
    <t>2,775.36 HNL</t>
  </si>
  <si>
    <t>A25506-3321</t>
  </si>
  <si>
    <t>8,301.30 HNL</t>
  </si>
  <si>
    <t>A25506-3112</t>
  </si>
  <si>
    <t>17,010.12 HNL</t>
  </si>
  <si>
    <t>A25506-2605</t>
  </si>
  <si>
    <t>31,790.90 HNL</t>
  </si>
  <si>
    <t>A25506-6862</t>
  </si>
  <si>
    <t>EDWIN OBDULIO RODRIGUEZ GARCIA</t>
  </si>
  <si>
    <t>785.00 USD</t>
  </si>
  <si>
    <t>20,017.50 HNL</t>
  </si>
  <si>
    <t>A25506-7758</t>
  </si>
  <si>
    <t>MARIA EDILMA HERRERA CASTELLANOS</t>
  </si>
  <si>
    <t>15,336.00 HNL</t>
  </si>
  <si>
    <t>A25506-2991</t>
  </si>
  <si>
    <t>MARIN FLORIBERTO MARTINEZ PEREZ</t>
  </si>
  <si>
    <t>CAROLINA PEREZ LUCAS</t>
  </si>
  <si>
    <t>A25506-2726</t>
  </si>
  <si>
    <t>2,233.00 GTQ</t>
  </si>
  <si>
    <t>A25506-2725</t>
  </si>
  <si>
    <t>A25506-3267</t>
  </si>
  <si>
    <t>MARINO CASTRO</t>
  </si>
  <si>
    <t>JORGE CASTRO CABALLERO</t>
  </si>
  <si>
    <t>1,778.40 MXN</t>
  </si>
  <si>
    <t>A25506-2724</t>
  </si>
  <si>
    <t>MARIO ANTONIO MONTENEGRO GALVEZ</t>
  </si>
  <si>
    <t>ANA FRANCISCA ESTURBAN GARCIA</t>
  </si>
  <si>
    <t>935.00 USD</t>
  </si>
  <si>
    <t>7,199.50 GTQ</t>
  </si>
  <si>
    <t>A25506-8780</t>
  </si>
  <si>
    <t>MARIO GARCIA VAZQUEZ</t>
  </si>
  <si>
    <t>CAROLINA GARCIA SAUCEDO</t>
  </si>
  <si>
    <t>1,954.00 MXN</t>
  </si>
  <si>
    <t>MEXICO - CHIHUAHUA - CD JUAREZ</t>
  </si>
  <si>
    <t>A25506-3099</t>
  </si>
  <si>
    <t>MARIO HERNANDEZ OJEDA</t>
  </si>
  <si>
    <t>PRISCILLA PEREZ BLANCO</t>
  </si>
  <si>
    <t>11,646.00 MXN</t>
  </si>
  <si>
    <t>BANCO BANREGIO</t>
  </si>
  <si>
    <t>A25506-2187</t>
  </si>
  <si>
    <t>MARIO NOE RODAS ESPINOZA</t>
  </si>
  <si>
    <t>A25506-2186</t>
  </si>
  <si>
    <t>A25506-2185</t>
  </si>
  <si>
    <t>DANIEL ISAIAS ALVARADO ALVARADO</t>
  </si>
  <si>
    <t>492.40 HNL</t>
  </si>
  <si>
    <t>A25506-2184</t>
  </si>
  <si>
    <t>ANTONIA CRUZ</t>
  </si>
  <si>
    <t>12,310.00 HNL</t>
  </si>
  <si>
    <t>A25506-8796</t>
  </si>
  <si>
    <t>MARIO OMAR RAMIREZ ALVARADO</t>
  </si>
  <si>
    <t>MA DE LOURDES ALVARADO LARA</t>
  </si>
  <si>
    <t>1,501.50 MXN</t>
  </si>
  <si>
    <t>MEXICO - COAHUILA - SAN PEDRO DE LAS COLONIAS</t>
  </si>
  <si>
    <t>A25506-8720</t>
  </si>
  <si>
    <t>SELENE GUADALUPE MEDINA CERVANTES</t>
  </si>
  <si>
    <t>308.00 USD</t>
  </si>
  <si>
    <t>6,015.24 MXN</t>
  </si>
  <si>
    <t>A25506-8312</t>
  </si>
  <si>
    <t>A25506-1642</t>
  </si>
  <si>
    <t>MARIO ROBERTO AYALA MATUTE</t>
  </si>
  <si>
    <t>32,097.00 HNL</t>
  </si>
  <si>
    <t>A25506-7766</t>
  </si>
  <si>
    <t>A25506-8664</t>
  </si>
  <si>
    <t>38,238.75 HNL</t>
  </si>
  <si>
    <t>A25506-7534</t>
  </si>
  <si>
    <t>MARIO ROBERTO MORALES MORALES</t>
  </si>
  <si>
    <t>NORA LUCRECIA MARTINEZ DE MORALES</t>
  </si>
  <si>
    <t>5,011.50 GTQ</t>
  </si>
  <si>
    <t>A25506-7420</t>
  </si>
  <si>
    <t>1,016.40 GTQ</t>
  </si>
  <si>
    <t>A25506-6766</t>
  </si>
  <si>
    <t>MARISOL MEDERO PORCAYO</t>
  </si>
  <si>
    <t>475.00 USD</t>
  </si>
  <si>
    <t>9,557.00 MXN</t>
  </si>
  <si>
    <t>A25506-6765</t>
  </si>
  <si>
    <t>12,072.00 MXN</t>
  </si>
  <si>
    <t>A25506-8706</t>
  </si>
  <si>
    <t>1,760.40 MXN</t>
  </si>
  <si>
    <t>A25506-8705</t>
  </si>
  <si>
    <t>51.12 USD</t>
  </si>
  <si>
    <t>999.91 MXN</t>
  </si>
  <si>
    <t>A25506-8275</t>
  </si>
  <si>
    <t>MARCIAL RODRIGUEZ CARENO</t>
  </si>
  <si>
    <t>A25506-8274</t>
  </si>
  <si>
    <t>A25506-2326</t>
  </si>
  <si>
    <t>MARLENE MEDRANO GUARDADO</t>
  </si>
  <si>
    <t>44,375.00 MXN</t>
  </si>
  <si>
    <t>A25506-8345</t>
  </si>
  <si>
    <t>MARLON CAMPOS HERRERA</t>
  </si>
  <si>
    <t>DENNY ISMAEL LOPEZ CAMPOS</t>
  </si>
  <si>
    <t>EL SALVADOR - SAN SALVADOR - SOYAPANGO</t>
  </si>
  <si>
    <t>A25506-3392</t>
  </si>
  <si>
    <t>MARTA ALICIA JUAREZ PARADA</t>
  </si>
  <si>
    <t>ROGELIO DE JESUS GARCIA</t>
  </si>
  <si>
    <t>1,784.88 HNL</t>
  </si>
  <si>
    <t>A25506-3259</t>
  </si>
  <si>
    <t>BLANCA JULIA JUAREZ</t>
  </si>
  <si>
    <t>302.00 USD</t>
  </si>
  <si>
    <t>EL SALVADOR - LA PAZ - SANTIAGO NONUALCO</t>
  </si>
  <si>
    <t>A25506-3246</t>
  </si>
  <si>
    <t>A25506-2340</t>
  </si>
  <si>
    <t>A25506-6893</t>
  </si>
  <si>
    <t>ANA ELIZABET LAZO DOMINGUEZ</t>
  </si>
  <si>
    <t>A25506-6892</t>
  </si>
  <si>
    <t>A25506-8315</t>
  </si>
  <si>
    <t>WILIAN ANTONIO LARA SANTAMARIA</t>
  </si>
  <si>
    <t>1,948.00 USD</t>
  </si>
  <si>
    <t>50,005.16 HNL</t>
  </si>
  <si>
    <t>A25506-8271</t>
  </si>
  <si>
    <t>1,953.00 USD</t>
  </si>
  <si>
    <t>50,016.33 HNL</t>
  </si>
  <si>
    <t>A25506-2045</t>
  </si>
  <si>
    <t>MARTHA ISABEL GARCIA LARA</t>
  </si>
  <si>
    <t>VERONICA DEL CARMEN GARCIA DE FRANCO</t>
  </si>
  <si>
    <t>EL SALVADOR - CABANAS - ILOBASCO</t>
  </si>
  <si>
    <t>A25506-2757</t>
  </si>
  <si>
    <t>MARTHA MARTINEZ HERNANDEZ</t>
  </si>
  <si>
    <t>SANDRA PATRICIA ESPINOZA ARANDA</t>
  </si>
  <si>
    <t>46,750.00 MXN</t>
  </si>
  <si>
    <t>MEXICO - TAMAULIPAS - GUSTAVO DIAZ ORDAZ</t>
  </si>
  <si>
    <t>A25506-2665</t>
  </si>
  <si>
    <t>A25506-2338</t>
  </si>
  <si>
    <t>MARTIN GUZMAN SALAZAR</t>
  </si>
  <si>
    <t>MARIA EUGENIA RAMIREZ RAMIREZ</t>
  </si>
  <si>
    <t>MEXICO - OAXACA - MARISCALA</t>
  </si>
  <si>
    <t>A25506-2203</t>
  </si>
  <si>
    <t>6,972.00 MXN</t>
  </si>
  <si>
    <t>A25506-1789</t>
  </si>
  <si>
    <t>A25506-7790</t>
  </si>
  <si>
    <t>MARTIN PAREDES PARAMO</t>
  </si>
  <si>
    <t>NICOLAS PAREDES LEON</t>
  </si>
  <si>
    <t>2,126.36 MXN</t>
  </si>
  <si>
    <t>A25506-3358</t>
  </si>
  <si>
    <t>MARTIN RODRIGUEZ HERNANDEZ</t>
  </si>
  <si>
    <t>HORTENCIA RODRIGUEZ HERNANDEZ</t>
  </si>
  <si>
    <t>A25506-2806</t>
  </si>
  <si>
    <t>ANA ROSA RODRIGUEZ HERNANDEZ</t>
  </si>
  <si>
    <t>2,782.50 MXN</t>
  </si>
  <si>
    <t>A25506-1914</t>
  </si>
  <si>
    <t>A25506-6687</t>
  </si>
  <si>
    <t>REYNA RODRIGUEZ HERNANDEZ</t>
  </si>
  <si>
    <t>5,808.70 MXN</t>
  </si>
  <si>
    <t>A25506-8281</t>
  </si>
  <si>
    <t>1,120.00 USD</t>
  </si>
  <si>
    <t>22,512.00 MXN</t>
  </si>
  <si>
    <t>A25506-8231</t>
  </si>
  <si>
    <t>A25506-7863</t>
  </si>
  <si>
    <t>A25506-3187</t>
  </si>
  <si>
    <t>MARVIN GEOVANNY MARTINEZ MORALES</t>
  </si>
  <si>
    <t>HONDURAS - COLON - SABA</t>
  </si>
  <si>
    <t>A25506-7858</t>
  </si>
  <si>
    <t>GENESIS JOSETH RODRIGUEZ CALIX</t>
  </si>
  <si>
    <t>1,025.20 HNL</t>
  </si>
  <si>
    <t>A25506-7847</t>
  </si>
  <si>
    <t>YONY MIRRAIN RAMIREZ CRUZ</t>
  </si>
  <si>
    <t>4,917.12 HNL</t>
  </si>
  <si>
    <t>A25506-3418</t>
  </si>
  <si>
    <t>MARVIN ISAIAS NUNEZ AGUILAR</t>
  </si>
  <si>
    <t>RIGOBERTO NUNEZ CANALES</t>
  </si>
  <si>
    <t>5,007.58 HNL</t>
  </si>
  <si>
    <t>DAVIVIENDA - HONDURAS</t>
  </si>
  <si>
    <t>A25506-2943</t>
  </si>
  <si>
    <t>BELSY YESSENIA MOYA AGUIRRE</t>
  </si>
  <si>
    <t>1,288.00 USD</t>
  </si>
  <si>
    <t>31,813.60 HNL</t>
  </si>
  <si>
    <t>A25506-2834</t>
  </si>
  <si>
    <t>GABRIELA MICHELLE BORGAS VASQUEZ</t>
  </si>
  <si>
    <t>A25506-2626</t>
  </si>
  <si>
    <t>5,987.08 HNL</t>
  </si>
  <si>
    <t>A25506-2625</t>
  </si>
  <si>
    <t>20,039.40 HNL</t>
  </si>
  <si>
    <t>A25506-2531</t>
  </si>
  <si>
    <t>8,461.08 HNL</t>
  </si>
  <si>
    <t>A25506-2513</t>
  </si>
  <si>
    <t>A25506-2116</t>
  </si>
  <si>
    <t>12,054.00 HNL</t>
  </si>
  <si>
    <t>A25506-2115</t>
  </si>
  <si>
    <t>ADA ISABEL MEDINA</t>
  </si>
  <si>
    <t>3,739.20 HNL</t>
  </si>
  <si>
    <t>HONDURAS - CORTES - CHOLOMA</t>
  </si>
  <si>
    <t>A25506-2114</t>
  </si>
  <si>
    <t>31,611.00 HNL</t>
  </si>
  <si>
    <t>A25506-1853</t>
  </si>
  <si>
    <t>8,739.80 HNL</t>
  </si>
  <si>
    <t>A25506-1705</t>
  </si>
  <si>
    <t>GLADIS LETICIA ESPINOZA VEGA</t>
  </si>
  <si>
    <t>97.00 USD</t>
  </si>
  <si>
    <t>2,394.93 HNL</t>
  </si>
  <si>
    <t>A25506-1704</t>
  </si>
  <si>
    <t>322.00 USD</t>
  </si>
  <si>
    <t>7,950.18 HNL</t>
  </si>
  <si>
    <t>A25506-1615</t>
  </si>
  <si>
    <t>12,147.48 HNL</t>
  </si>
  <si>
    <t>A25506-8704</t>
  </si>
  <si>
    <t>51,500.00 HNL</t>
  </si>
  <si>
    <t>A25506-6868</t>
  </si>
  <si>
    <t>MARY MARLYN CORNELIO GARCIA</t>
  </si>
  <si>
    <t>CARMEN CLEMENCIA GARCIA GARCIA</t>
  </si>
  <si>
    <t>1,039.00 USD</t>
  </si>
  <si>
    <t>8,000.30 GTQ</t>
  </si>
  <si>
    <t>GUATEMALA - GUATEMALA - AMATITLAN</t>
  </si>
  <si>
    <t>A25506-6727</t>
  </si>
  <si>
    <t>1,107.00 USD</t>
  </si>
  <si>
    <t>8,501.76 GTQ</t>
  </si>
  <si>
    <t>A25506-1957</t>
  </si>
  <si>
    <t>MARYELI ELIZABETH DOMINGUEZ VILLELA</t>
  </si>
  <si>
    <t>ALBA LORENA ZABALETA GONZALES</t>
  </si>
  <si>
    <t>9,240.00 GTQ</t>
  </si>
  <si>
    <t>A25506-2254</t>
  </si>
  <si>
    <t>MAYRA LISSETH QUINTANILLA QUINTANILLA</t>
  </si>
  <si>
    <t>MARIA DOLORES QUINTANILLA PERDOMO</t>
  </si>
  <si>
    <t>A25506-1720</t>
  </si>
  <si>
    <t>9,629.10 HNL</t>
  </si>
  <si>
    <t>A25506-3082</t>
  </si>
  <si>
    <t>A25506-2713</t>
  </si>
  <si>
    <t>A25506-2622</t>
  </si>
  <si>
    <t>A25506-2482</t>
  </si>
  <si>
    <t>10,950.00 MXN</t>
  </si>
  <si>
    <t>A25506-2150</t>
  </si>
  <si>
    <t>6,764.00 MXN</t>
  </si>
  <si>
    <t>A25506-1737</t>
  </si>
  <si>
    <t>30,600.00 MXN</t>
  </si>
  <si>
    <t>A25506-1541</t>
  </si>
  <si>
    <t>6,600.00 MXN</t>
  </si>
  <si>
    <t>A25506-6916</t>
  </si>
  <si>
    <t>MAYRA SANTOS ESCAMILLA</t>
  </si>
  <si>
    <t>ESTELA ESCAMILLA DE SANTOS</t>
  </si>
  <si>
    <t>A25506-6631</t>
  </si>
  <si>
    <t>A25506-8230</t>
  </si>
  <si>
    <t>NEYLIN ESTHEFANY SANTOS ESCAMILLA</t>
  </si>
  <si>
    <t>A25506-2705</t>
  </si>
  <si>
    <t>MAYRA SENOBIA CANTARERO PAZ</t>
  </si>
  <si>
    <t>6,187.50 HNL</t>
  </si>
  <si>
    <t>A25506-2214</t>
  </si>
  <si>
    <t>A25506-1820</t>
  </si>
  <si>
    <t>12,226.50 HNL</t>
  </si>
  <si>
    <t>A25506-1819</t>
  </si>
  <si>
    <t>A25506-2756</t>
  </si>
  <si>
    <t>MAYRA VILLANUEVA</t>
  </si>
  <si>
    <t>MA CONSUELO GUTIERREZ REGALADO</t>
  </si>
  <si>
    <t>37,200.00 MXN</t>
  </si>
  <si>
    <t>A25506-7436</t>
  </si>
  <si>
    <t>MELVIN ARIEL MARTINEZ SANCHEZ</t>
  </si>
  <si>
    <t>MELVIN ADOLFO MARTINEZ ORELLANA</t>
  </si>
  <si>
    <t>HONDURAS - CORTES - COFRADIA</t>
  </si>
  <si>
    <t>A25506-3078</t>
  </si>
  <si>
    <t>MELVIN NAAMAN DISCUA CALIX</t>
  </si>
  <si>
    <t>SOBEYDA LINDABEL DISCUA CALIX</t>
  </si>
  <si>
    <t>8,467.92 HNL</t>
  </si>
  <si>
    <t>A25506-2975</t>
  </si>
  <si>
    <t>812.00 USD</t>
  </si>
  <si>
    <t>20,015.80 HNL</t>
  </si>
  <si>
    <t>A25506-2862</t>
  </si>
  <si>
    <t>618.00 USD</t>
  </si>
  <si>
    <t>11,463.90 MXN</t>
  </si>
  <si>
    <t>A25506-2811</t>
  </si>
  <si>
    <t>18,130.00 MXN</t>
  </si>
  <si>
    <t>A25506-3142</t>
  </si>
  <si>
    <t>MERCEDEZ CHINCHILLA</t>
  </si>
  <si>
    <t>DUNIA JUDITH LANZA CHINCHILLA</t>
  </si>
  <si>
    <t>HONDURAS - COLON - TOCOA</t>
  </si>
  <si>
    <t>A25506-2908</t>
  </si>
  <si>
    <t>A25506-2760</t>
  </si>
  <si>
    <t>MICHAEL FERNANDO VALLADARES FIGUEROA</t>
  </si>
  <si>
    <t>ANGELICA MIRANDA ALVAREZ</t>
  </si>
  <si>
    <t>7,675.50 MXN</t>
  </si>
  <si>
    <t>A25506-3208</t>
  </si>
  <si>
    <t>MICHEL ROCHA ROCHA</t>
  </si>
  <si>
    <t>DANIELA JOSEFINA MONSIVAIS VARGAS</t>
  </si>
  <si>
    <t>5,692.70 MXN</t>
  </si>
  <si>
    <t>A25506-2129</t>
  </si>
  <si>
    <t>8,965.00 MXN</t>
  </si>
  <si>
    <t>A25506-1477</t>
  </si>
  <si>
    <t>BRIAN OMAR GOMEZ RIVERA</t>
  </si>
  <si>
    <t>14,760.00 MXN</t>
  </si>
  <si>
    <t>A25506-1476</t>
  </si>
  <si>
    <t>A25506-1470</t>
  </si>
  <si>
    <t>MIGUEL ALEJANDRO AGUILERA MARTINEZ</t>
  </si>
  <si>
    <t>BRENDA LETICIA AGUILERA MARTINEZ</t>
  </si>
  <si>
    <t>1,481.40 MXN</t>
  </si>
  <si>
    <t>A25506-7426</t>
  </si>
  <si>
    <t>MIGUEL ANGEL ESPINAL GALO</t>
  </si>
  <si>
    <t>CARLOS FERNANDO AMADOR</t>
  </si>
  <si>
    <t>6,382.50 HNL</t>
  </si>
  <si>
    <t>A25506-7425</t>
  </si>
  <si>
    <t>RAMONA ORDONEZ HERRERA</t>
  </si>
  <si>
    <t>14,041.50 HNL</t>
  </si>
  <si>
    <t>A25506-1550</t>
  </si>
  <si>
    <t>MIGUEL ANGEL HERNANDEZ ESPINOZA</t>
  </si>
  <si>
    <t>FLOR IDALIA HERNANDEZ ESPINOZA</t>
  </si>
  <si>
    <t>A25506-8724</t>
  </si>
  <si>
    <t>A25506-7811</t>
  </si>
  <si>
    <t>MIGUEL ANGEL LOPEZ CONTRERAS</t>
  </si>
  <si>
    <t>LEVIS MARBELL GUEVARA VARELA</t>
  </si>
  <si>
    <t>5,431.44 HNL</t>
  </si>
  <si>
    <t>A25506-7411</t>
  </si>
  <si>
    <t>A25506-8300</t>
  </si>
  <si>
    <t>5,122.00 HNL</t>
  </si>
  <si>
    <t>A25506-3424</t>
  </si>
  <si>
    <t>MIGUEL ANGEL LOPEZ MEDINA</t>
  </si>
  <si>
    <t>ISIDRO LOPEZ MENDOZA</t>
  </si>
  <si>
    <t>1,061.00 USD</t>
  </si>
  <si>
    <t>20,212.05 MXN</t>
  </si>
  <si>
    <t>MEXICO - GUANAJUATO - LAGUNA DE GUADALUPE</t>
  </si>
  <si>
    <t>A25506-3307</t>
  </si>
  <si>
    <t>MARIA DOLORES MEDINA AMAYA</t>
  </si>
  <si>
    <t>1,723.50 MXN</t>
  </si>
  <si>
    <t>A25506-3227</t>
  </si>
  <si>
    <t>3,273.60 MXN</t>
  </si>
  <si>
    <t>A25506-2949</t>
  </si>
  <si>
    <t>2,660.00 MXN</t>
  </si>
  <si>
    <t>A25506-2503</t>
  </si>
  <si>
    <t>1,642.50 MXN</t>
  </si>
  <si>
    <t>A25506-2374</t>
  </si>
  <si>
    <t>348.00 USD</t>
  </si>
  <si>
    <t>6,110.88 MXN</t>
  </si>
  <si>
    <t>A25506-2272</t>
  </si>
  <si>
    <t>ALICIA MEDINA ROCHA</t>
  </si>
  <si>
    <t>3,520.00 MXN</t>
  </si>
  <si>
    <t>A25506-2225</t>
  </si>
  <si>
    <t>A25506-2123</t>
  </si>
  <si>
    <t>2,679.00 MXN</t>
  </si>
  <si>
    <t>A25506-2122</t>
  </si>
  <si>
    <t>A25506-1989</t>
  </si>
  <si>
    <t>A25506-1709</t>
  </si>
  <si>
    <t>2,506.00 MXN</t>
  </si>
  <si>
    <t>A25506-1708</t>
  </si>
  <si>
    <t>MA LUZ RODRIGUEZ BECERRO</t>
  </si>
  <si>
    <t>17,721.00 MXN</t>
  </si>
  <si>
    <t>A25506-1585</t>
  </si>
  <si>
    <t>306.00 USD</t>
  </si>
  <si>
    <t>5,107.14 MXN</t>
  </si>
  <si>
    <t>A25506-1517</t>
  </si>
  <si>
    <t>2,490.00 MXN</t>
  </si>
  <si>
    <t>A25506-1445</t>
  </si>
  <si>
    <t>3,148.30 MXN</t>
  </si>
  <si>
    <t>A25506-6684</t>
  </si>
  <si>
    <t>JUAN ANGEL SOTELO JARAS</t>
  </si>
  <si>
    <t>1,200.00 MXN</t>
  </si>
  <si>
    <t>BANCO BAJIO</t>
  </si>
  <si>
    <t>A25506-6683</t>
  </si>
  <si>
    <t>4,064.06 MXN</t>
  </si>
  <si>
    <t>A25506-6682</t>
  </si>
  <si>
    <t>MARIA SANTOS CABRERA MEDINA</t>
  </si>
  <si>
    <t>505.00 USD</t>
  </si>
  <si>
    <t>10,110.10 MXN</t>
  </si>
  <si>
    <t>A25506-7735</t>
  </si>
  <si>
    <t>ROBERTO TRUJILLO RIVERA</t>
  </si>
  <si>
    <t>498.00 USD</t>
  </si>
  <si>
    <t>A25506-7539</t>
  </si>
  <si>
    <t>1,010.00 USD</t>
  </si>
  <si>
    <t>20,200.00 MXN</t>
  </si>
  <si>
    <t>A25506-8732</t>
  </si>
  <si>
    <t>A25506-3461</t>
  </si>
  <si>
    <t>MIGUEL ANGEL LOPEZ PEREZ</t>
  </si>
  <si>
    <t>MA AMPARO PEREZ ORNELAS</t>
  </si>
  <si>
    <t>A25506-3460</t>
  </si>
  <si>
    <t>4,787.50 MXN</t>
  </si>
  <si>
    <t>A25506-3297</t>
  </si>
  <si>
    <t>3,034.90 MXN</t>
  </si>
  <si>
    <t>A25506-3296</t>
  </si>
  <si>
    <t>2,545.40 MXN</t>
  </si>
  <si>
    <t>A25506-3115</t>
  </si>
  <si>
    <t>1,978.00 MXN</t>
  </si>
  <si>
    <t>A25506-3114</t>
  </si>
  <si>
    <t>A25506-2644</t>
  </si>
  <si>
    <t>10,017.00 MXN</t>
  </si>
  <si>
    <t>A25506-2431</t>
  </si>
  <si>
    <t>3,423.80 MXN</t>
  </si>
  <si>
    <t>A25506-2430</t>
  </si>
  <si>
    <t>7,208.00 MXN</t>
  </si>
  <si>
    <t>A25506-2276</t>
  </si>
  <si>
    <t>3,325.00 MXN</t>
  </si>
  <si>
    <t>A25506-1980</t>
  </si>
  <si>
    <t>760.50 MXN</t>
  </si>
  <si>
    <t>A25506-1948</t>
  </si>
  <si>
    <t>2,538.20 MXN</t>
  </si>
  <si>
    <t>A25506-1947</t>
  </si>
  <si>
    <t>A25506-6759</t>
  </si>
  <si>
    <t>49,747.50 MXN</t>
  </si>
  <si>
    <t>A25506-7469</t>
  </si>
  <si>
    <t>A25506-7468</t>
  </si>
  <si>
    <t>A25506-7894</t>
  </si>
  <si>
    <t>49,250.00 MXN</t>
  </si>
  <si>
    <t>A25506-3180</t>
  </si>
  <si>
    <t>MIGUEL ANGEL MARQUEZ HERNANDEZ</t>
  </si>
  <si>
    <t>MARIA GUADALUPE MARTINEZ CASTELAN</t>
  </si>
  <si>
    <t>2,207.52 MXN</t>
  </si>
  <si>
    <t>A25506-2511</t>
  </si>
  <si>
    <t>JOVITA HERNANDEZ ISLAS</t>
  </si>
  <si>
    <t>551.00 USD</t>
  </si>
  <si>
    <t>10,006.16 MXN</t>
  </si>
  <si>
    <t>A25506-2628</t>
  </si>
  <si>
    <t>MIGUEL ANGEL NINO RODRIGUEZ</t>
  </si>
  <si>
    <t>MARIA DEL ROSARIO GARCIA ALMENDARIZ</t>
  </si>
  <si>
    <t>3,591.00 MXN</t>
  </si>
  <si>
    <t>A25506-2501</t>
  </si>
  <si>
    <t>A25506-2500</t>
  </si>
  <si>
    <t>CYNTHIA ABIGAIL RODRIGUEZ GARCIA</t>
  </si>
  <si>
    <t>4,015.00 MXN</t>
  </si>
  <si>
    <t>A25506-2285</t>
  </si>
  <si>
    <t>A25506-2284</t>
  </si>
  <si>
    <t>A25506-2248</t>
  </si>
  <si>
    <t>171.00 USD</t>
  </si>
  <si>
    <t>3,009.60 MXN</t>
  </si>
  <si>
    <t>A25506-2247</t>
  </si>
  <si>
    <t>115.00 USD</t>
  </si>
  <si>
    <t>2,024.00 MXN</t>
  </si>
  <si>
    <t>A25506-1988</t>
  </si>
  <si>
    <t>111.00 USD</t>
  </si>
  <si>
    <t>2,003.55 MXN</t>
  </si>
  <si>
    <t>A25506-1987</t>
  </si>
  <si>
    <t>ROSA KARINA ALFARO MARTINEZ</t>
  </si>
  <si>
    <t>3,014.35 MXN</t>
  </si>
  <si>
    <t>A25506-2714</t>
  </si>
  <si>
    <t>MIGUEL ANGEL PEREZ JIMENEZ</t>
  </si>
  <si>
    <t>910.00 USD</t>
  </si>
  <si>
    <t>17,017.00 MXN</t>
  </si>
  <si>
    <t>A25506-2615</t>
  </si>
  <si>
    <t>LETICIA PEREZ JIMENEZ</t>
  </si>
  <si>
    <t>795.00 USD</t>
  </si>
  <si>
    <t>15,025.50 MXN</t>
  </si>
  <si>
    <t>A25506-2466</t>
  </si>
  <si>
    <t>5,000.50 MXN</t>
  </si>
  <si>
    <t>A25506-2465</t>
  </si>
  <si>
    <t>A25506-2317</t>
  </si>
  <si>
    <t>8,940.00 MXN</t>
  </si>
  <si>
    <t>A25506-1926</t>
  </si>
  <si>
    <t>675.00 USD</t>
  </si>
  <si>
    <t>12,015.00 MXN</t>
  </si>
  <si>
    <t>A25506-1809</t>
  </si>
  <si>
    <t>2,002.00 MXN</t>
  </si>
  <si>
    <t>A25506-1434</t>
  </si>
  <si>
    <t>482.00 USD</t>
  </si>
  <si>
    <t>8,006.02 MXN</t>
  </si>
  <si>
    <t>A25506-1483</t>
  </si>
  <si>
    <t>MIGUEL ANGEL PINA GALLEGOS</t>
  </si>
  <si>
    <t>ANTONIA ESPINOZA CONTRERAS</t>
  </si>
  <si>
    <t>2,472.00 MXN</t>
  </si>
  <si>
    <t>A25506-2370</t>
  </si>
  <si>
    <t>MIGUEL ANGEL RIVAS SOTO</t>
  </si>
  <si>
    <t>AGUEDA VIVIANA ADAME ONTIVERO</t>
  </si>
  <si>
    <t>A25506-6847</t>
  </si>
  <si>
    <t>A25506-8723</t>
  </si>
  <si>
    <t>MIGUEL MARTINEZ CERDA</t>
  </si>
  <si>
    <t>MARIA DEL ROSARIO MORA MUNOZ</t>
  </si>
  <si>
    <t>A25506-3071</t>
  </si>
  <si>
    <t>MIGUEL MARTINEZ CONTRERAS</t>
  </si>
  <si>
    <t>MARIA REYNA GARCIA MARTINEZ</t>
  </si>
  <si>
    <t>A25506-8216</t>
  </si>
  <si>
    <t>4,848.00 MXN</t>
  </si>
  <si>
    <t>A25506-3387</t>
  </si>
  <si>
    <t>MIGUEL SAAVEDRA HERNANDEZ</t>
  </si>
  <si>
    <t>MARIA ISABEL HERNANDEZ RUIZ</t>
  </si>
  <si>
    <t>A25506-6624</t>
  </si>
  <si>
    <t>8,004.00 MXN</t>
  </si>
  <si>
    <t>A25506-7506</t>
  </si>
  <si>
    <t>A25506-6721</t>
  </si>
  <si>
    <t>MIGUEL SAC TEPAZ</t>
  </si>
  <si>
    <t>ELISEO SAC TZEP</t>
  </si>
  <si>
    <t>1,185.00 USD</t>
  </si>
  <si>
    <t>9,124.50 GTQ</t>
  </si>
  <si>
    <t>A25506-3405</t>
  </si>
  <si>
    <t>MILTON NEFTALY PORON GUEVARA</t>
  </si>
  <si>
    <t>MILDRED CARINA TUBAC AVILA</t>
  </si>
  <si>
    <t>691.20 GTQ</t>
  </si>
  <si>
    <t>A25506-3281</t>
  </si>
  <si>
    <t>GLORIA GUADALUPE AVILA LARA</t>
  </si>
  <si>
    <t>3,456.00 GTQ</t>
  </si>
  <si>
    <t>GUATEMALA - CHIMALTENANGO - EL TEJAR</t>
  </si>
  <si>
    <t>A25506-2947</t>
  </si>
  <si>
    <t>A25506-2791</t>
  </si>
  <si>
    <t>A25506-2096</t>
  </si>
  <si>
    <t>3,469.50 GTQ</t>
  </si>
  <si>
    <t>A25506-2046</t>
  </si>
  <si>
    <t>4,818.75 GTQ</t>
  </si>
  <si>
    <t>A25506-2040</t>
  </si>
  <si>
    <t>A25506-1717</t>
  </si>
  <si>
    <t>3,088.00 GTQ</t>
  </si>
  <si>
    <t>A25506-1589</t>
  </si>
  <si>
    <t>3,875.00 GTQ</t>
  </si>
  <si>
    <t>A25506-8278</t>
  </si>
  <si>
    <t>CLEIDY ESMERALDA TUBAC AVILA</t>
  </si>
  <si>
    <t>1,788.72 GTQ</t>
  </si>
  <si>
    <t>A25506-3356</t>
  </si>
  <si>
    <t>MIREYA GONZALEZ RODRIGUEZ</t>
  </si>
  <si>
    <t>ESTEBAN ROJAS LARA</t>
  </si>
  <si>
    <t>3,848.00 MXN</t>
  </si>
  <si>
    <t>A25506-2368</t>
  </si>
  <si>
    <t>A25506-3226</t>
  </si>
  <si>
    <t>MODESTO LOPEZ MENDOZA</t>
  </si>
  <si>
    <t>MA LUZ RODRIGUEZ BECERRA</t>
  </si>
  <si>
    <t>4,206.08 MXN</t>
  </si>
  <si>
    <t>A25506-2958</t>
  </si>
  <si>
    <t>A25506-2113</t>
  </si>
  <si>
    <t>A25506-1978</t>
  </si>
  <si>
    <t>5,629.60 MXN</t>
  </si>
  <si>
    <t>A25506-1941</t>
  </si>
  <si>
    <t>1,388.88 USD</t>
  </si>
  <si>
    <t>24,999.84 MXN</t>
  </si>
  <si>
    <t>A25506-1940</t>
  </si>
  <si>
    <t>273.22 USD</t>
  </si>
  <si>
    <t>4,999.93 MXN</t>
  </si>
  <si>
    <t>A25506-1739</t>
  </si>
  <si>
    <t>1,111.00 USD</t>
  </si>
  <si>
    <t>20,009.11 MXN</t>
  </si>
  <si>
    <t>A25506-1554</t>
  </si>
  <si>
    <t>1,987.20 MXN</t>
  </si>
  <si>
    <t>A25506-1507</t>
  </si>
  <si>
    <t>11,115.30 MXN</t>
  </si>
  <si>
    <t>A25506-1502</t>
  </si>
  <si>
    <t>11,155.50 MXN</t>
  </si>
  <si>
    <t>A25506-1414</t>
  </si>
  <si>
    <t>7,308.40 MXN</t>
  </si>
  <si>
    <t>A25506-2165</t>
  </si>
  <si>
    <t>MOISES ADALID GABARRETE QUIJADA</t>
  </si>
  <si>
    <t>FRANKLIN ANTONIO CARDONA CALIX</t>
  </si>
  <si>
    <t>A25506-2829</t>
  </si>
  <si>
    <t>MOISES VELASCO CORDOVA</t>
  </si>
  <si>
    <t>ANDRES VELASCO CORDOVA</t>
  </si>
  <si>
    <t>A25506-2117</t>
  </si>
  <si>
    <t>A25506-1823</t>
  </si>
  <si>
    <t>A25506-6813</t>
  </si>
  <si>
    <t>NAHUN ORDONEZ HERNANDEZ</t>
  </si>
  <si>
    <t>MEXICO - QUERETARO - AMEALCO</t>
  </si>
  <si>
    <t>A25506-8713</t>
  </si>
  <si>
    <t>A25506-8326</t>
  </si>
  <si>
    <t>A25506-8297</t>
  </si>
  <si>
    <t>5,628.00 MXN</t>
  </si>
  <si>
    <t>A25506-7868</t>
  </si>
  <si>
    <t>A25506-1621</t>
  </si>
  <si>
    <t>NAIVY LOPEZ CURA</t>
  </si>
  <si>
    <t>MA NATALY CARRIZALEZ IBARRA</t>
  </si>
  <si>
    <t>43,500.00 MXN</t>
  </si>
  <si>
    <t>A25506-3010</t>
  </si>
  <si>
    <t>NANCY RAMIREZ RODRIGUEZ</t>
  </si>
  <si>
    <t>ANGEL FABIAN RAMIREZ HERNANDEZ</t>
  </si>
  <si>
    <t>18,992.60 MXN</t>
  </si>
  <si>
    <t>A25506-1622</t>
  </si>
  <si>
    <t>16,245.00 MXN</t>
  </si>
  <si>
    <t>A25506-1479</t>
  </si>
  <si>
    <t>NATALIA BECERRA</t>
  </si>
  <si>
    <t>JABRY EDGARDO ANDRADE RAMOS</t>
  </si>
  <si>
    <t>49,256.55 HNL</t>
  </si>
  <si>
    <t>A25506-3000</t>
  </si>
  <si>
    <t>NEDZON LUIS GAYTAN VILLATORO</t>
  </si>
  <si>
    <t>JOSE LUIS GAYTAN HERNANDEZ</t>
  </si>
  <si>
    <t>17,145.00 MXN</t>
  </si>
  <si>
    <t>A25506-2223</t>
  </si>
  <si>
    <t>LUCIA VILLATORO HERNANDEZ</t>
  </si>
  <si>
    <t>743.00 USD</t>
  </si>
  <si>
    <t>13,002.50 MXN</t>
  </si>
  <si>
    <t>MEXICO - CHIAPAS - PIJIJIAPAN</t>
  </si>
  <si>
    <t>A25506-1838</t>
  </si>
  <si>
    <t>17,796.80 MXN</t>
  </si>
  <si>
    <t>A25506-3241</t>
  </si>
  <si>
    <t>NEHEMIAS CASTELLANO</t>
  </si>
  <si>
    <t>CARMINDA AGUILAR CANTARERO</t>
  </si>
  <si>
    <t>A25506-2229</t>
  </si>
  <si>
    <t>17,008.50 HNL</t>
  </si>
  <si>
    <t>A25506-6907</t>
  </si>
  <si>
    <t>NELLY GARCIA CABRAL</t>
  </si>
  <si>
    <t>LORENA KAROL MORALES MEDINA</t>
  </si>
  <si>
    <t>4,042.00 MXN</t>
  </si>
  <si>
    <t>A25506-2249</t>
  </si>
  <si>
    <t>NELSON CHAVEZ</t>
  </si>
  <si>
    <t>JOSE MARCELINO GOMEZ PEREZ</t>
  </si>
  <si>
    <t>7,395.00 HNL</t>
  </si>
  <si>
    <t>A25506-2311</t>
  </si>
  <si>
    <t>NELSON FRANCISCO INESTROZA PERDOMO</t>
  </si>
  <si>
    <t>KAREN BAUDILIA INESTROZA PERDOMO</t>
  </si>
  <si>
    <t>10,348.80 HNL</t>
  </si>
  <si>
    <t>A25506-2209</t>
  </si>
  <si>
    <t>YOLANI ISABEL INESTROZA PERDOMO</t>
  </si>
  <si>
    <t>A25506-2094</t>
  </si>
  <si>
    <t>15,990.00 HNL</t>
  </si>
  <si>
    <t>A25506-1509</t>
  </si>
  <si>
    <t>ROBERTO CARLOS INESTROZA RODRIGUEZ</t>
  </si>
  <si>
    <t>2,465.00 HNL</t>
  </si>
  <si>
    <t>A25506-1508</t>
  </si>
  <si>
    <t>A25506-1456</t>
  </si>
  <si>
    <t>27,159.00 HNL</t>
  </si>
  <si>
    <t>A25506-3252</t>
  </si>
  <si>
    <t>NESTOR EMANUEL ASCENCIO</t>
  </si>
  <si>
    <t>LUBIA MARIXA ASENCIO Y ASCENCIO</t>
  </si>
  <si>
    <t>3,840.00 GTQ</t>
  </si>
  <si>
    <t>A25506-8286</t>
  </si>
  <si>
    <t>LUBIA MARIXA ASENCIO Y ASENCIO</t>
  </si>
  <si>
    <t>4,632.00 GTQ</t>
  </si>
  <si>
    <t>A25506-6770</t>
  </si>
  <si>
    <t>NOEL GONZALEZ ORTEGA</t>
  </si>
  <si>
    <t>MARIA CONCEPCION SITAL RUIZ</t>
  </si>
  <si>
    <t>A25506-2543</t>
  </si>
  <si>
    <t>NORBERTHA AGUILAR MACIAS</t>
  </si>
  <si>
    <t>ESTEBAN EMILIANO CUELLAR AGUILAR</t>
  </si>
  <si>
    <t>18,267.20 MXN</t>
  </si>
  <si>
    <t>A25506-6903</t>
  </si>
  <si>
    <t>NORBERTO DELGADO MENDOZA</t>
  </si>
  <si>
    <t>ADA NAYELY DELGADO PASTEN</t>
  </si>
  <si>
    <t>4,060.00 MXN</t>
  </si>
  <si>
    <t>A25506-7417</t>
  </si>
  <si>
    <t>GREGORIO CHAVEZ AVILA</t>
  </si>
  <si>
    <t>A25506-7898</t>
  </si>
  <si>
    <t>201.00 USD</t>
  </si>
  <si>
    <t>3,959.70 MXN</t>
  </si>
  <si>
    <t>A25506-7893</t>
  </si>
  <si>
    <t>1,971.00 MXN</t>
  </si>
  <si>
    <t>A25506-7892</t>
  </si>
  <si>
    <t>A25506-2011</t>
  </si>
  <si>
    <t>NORLIN DOMINGO QUINTANILLA PEREZ</t>
  </si>
  <si>
    <t>BERTHA LIDIA MIRANDA PAZ</t>
  </si>
  <si>
    <t>A25506-3377</t>
  </si>
  <si>
    <t>NORMA MARIBEL CHAVARRIA DIAZ</t>
  </si>
  <si>
    <t>24,790.00 HNL</t>
  </si>
  <si>
    <t>A25506-2526</t>
  </si>
  <si>
    <t>422.00 USD</t>
  </si>
  <si>
    <t>10,440.28 HNL</t>
  </si>
  <si>
    <t>A25506-1898</t>
  </si>
  <si>
    <t>22,095.00 HNL</t>
  </si>
  <si>
    <t>A25506-2139</t>
  </si>
  <si>
    <t>NORMA YADIRA BERNAL BECERRA</t>
  </si>
  <si>
    <t>GILBERTO MAGDALENO MEDRANO TORRES</t>
  </si>
  <si>
    <t>1,712.85 MXN</t>
  </si>
  <si>
    <t>A25506-3318</t>
  </si>
  <si>
    <t>OCTAVIO RIOS ROJAS</t>
  </si>
  <si>
    <t>HECTOR MANUEL GUZMAN HERNANDEZ</t>
  </si>
  <si>
    <t>13,440.00 MXN</t>
  </si>
  <si>
    <t>A25506-7783</t>
  </si>
  <si>
    <t>OLGA ALONSO ALONSO</t>
  </si>
  <si>
    <t>FRANCISCA ALONSO GONZALEZ</t>
  </si>
  <si>
    <t>A25506-2986</t>
  </si>
  <si>
    <t>OLGA EMELY BUENAVISTA</t>
  </si>
  <si>
    <t>CRHISTIAN SAID LOPEZ</t>
  </si>
  <si>
    <t>37,679.40 MXN</t>
  </si>
  <si>
    <t>A25506-1482</t>
  </si>
  <si>
    <t>MANUEL GARCIA VAZQUEZ</t>
  </si>
  <si>
    <t>6,834.70 MXN</t>
  </si>
  <si>
    <t>A25506-3191</t>
  </si>
  <si>
    <t>OLGA MARINA SUAZO CHAVARRIA</t>
  </si>
  <si>
    <t>KARLA GABRIELA ROSALES LUQUE</t>
  </si>
  <si>
    <t>2,383.20 MXN</t>
  </si>
  <si>
    <t>MEXICO - SONORA - HERMOSILLO</t>
  </si>
  <si>
    <t>A25506-6852</t>
  </si>
  <si>
    <t>OLVIN DANILO RAMOS VILLEDA</t>
  </si>
  <si>
    <t>MARIA OLIVIA VILLEDA DUBON</t>
  </si>
  <si>
    <t>A25506-3447</t>
  </si>
  <si>
    <t>OLVIN GEOVANNI MARTINEZ LOPEZ</t>
  </si>
  <si>
    <t>MARIA GLORIA GARCIA GOMEZ</t>
  </si>
  <si>
    <t>A25506-3110</t>
  </si>
  <si>
    <t>A25506-3021</t>
  </si>
  <si>
    <t>MARIA ELSA LOPEZ</t>
  </si>
  <si>
    <t>21,003.50 HNL</t>
  </si>
  <si>
    <t>A25506-2449</t>
  </si>
  <si>
    <t>14,844.00 HNL</t>
  </si>
  <si>
    <t>A25506-2448</t>
  </si>
  <si>
    <t>A25506-2302</t>
  </si>
  <si>
    <t>A25506-2074</t>
  </si>
  <si>
    <t>12,375.00 HNL</t>
  </si>
  <si>
    <t>A25506-2059</t>
  </si>
  <si>
    <t>A25506-1776</t>
  </si>
  <si>
    <t>A25506-2636</t>
  </si>
  <si>
    <t>OLVIN OMAR MARTINEZ MENDOZA</t>
  </si>
  <si>
    <t>HIPOLITO MARTINEZ DELCID</t>
  </si>
  <si>
    <t>A25506-2345</t>
  </si>
  <si>
    <t>A25506-2237</t>
  </si>
  <si>
    <t>LOURDES MARIA GONZALES MENDOZA</t>
  </si>
  <si>
    <t>A25506-6849</t>
  </si>
  <si>
    <t>OMAR MIRANDA SANCHEZ</t>
  </si>
  <si>
    <t>DANIEL MIRANDA MENDEZ</t>
  </si>
  <si>
    <t>10,025.00 MXN</t>
  </si>
  <si>
    <t>MEXICO - GUANAJUATO - SALAMANCA</t>
  </si>
  <si>
    <t>A25506-1639</t>
  </si>
  <si>
    <t>OMAR ORTEGA</t>
  </si>
  <si>
    <t>LOURDES GUADALUPE ESPIRITU MARTINEZ</t>
  </si>
  <si>
    <t>9,444.60 MXN</t>
  </si>
  <si>
    <t>A25506-2828</t>
  </si>
  <si>
    <t>OMAR RAMIREZ ALVARADO</t>
  </si>
  <si>
    <t>13,875.00 MXN</t>
  </si>
  <si>
    <t>A25506-2715</t>
  </si>
  <si>
    <t>13,090.00 MXN</t>
  </si>
  <si>
    <t>A25506-1455</t>
  </si>
  <si>
    <t>13,320.00 MXN</t>
  </si>
  <si>
    <t>A25506-1832</t>
  </si>
  <si>
    <t>ORLIN MARTINEZ GOMEZ</t>
  </si>
  <si>
    <t>ROBERTO MARTINEZ</t>
  </si>
  <si>
    <t>7,212.40 HNL</t>
  </si>
  <si>
    <t>A25506-6704</t>
  </si>
  <si>
    <t>OSCAR DAVID MALDONADO MEJIA</t>
  </si>
  <si>
    <t>CINTHIA PAOLA PINEDA</t>
  </si>
  <si>
    <t>3,016.08 HNL</t>
  </si>
  <si>
    <t>A25506-3223</t>
  </si>
  <si>
    <t>OSCAR EMILIIO VILLEGAS CORTES</t>
  </si>
  <si>
    <t>MARIA TERESA CORTES TRUJILLO</t>
  </si>
  <si>
    <t>A25506-3222</t>
  </si>
  <si>
    <t>ALEXIA GUADALUPE CHIQUITO MOJICA</t>
  </si>
  <si>
    <t>2,010.42 MXN</t>
  </si>
  <si>
    <t>A25506-3016</t>
  </si>
  <si>
    <t>9,815.00 MXN</t>
  </si>
  <si>
    <t>A25506-2925</t>
  </si>
  <si>
    <t>A25506-2820</t>
  </si>
  <si>
    <t>ARIANA NAZARET CHIQUITO MOJICA</t>
  </si>
  <si>
    <t>54.05 USD</t>
  </si>
  <si>
    <t>999.93 MXN</t>
  </si>
  <si>
    <t>A25506-2818</t>
  </si>
  <si>
    <t>A25506-2207</t>
  </si>
  <si>
    <t>21,120.00 MXN</t>
  </si>
  <si>
    <t>A25506-1806</t>
  </si>
  <si>
    <t>A25506-1595</t>
  </si>
  <si>
    <t>8,490.00 MXN</t>
  </si>
  <si>
    <t>A25506-1504</t>
  </si>
  <si>
    <t>1,667.00 MXN</t>
  </si>
  <si>
    <t>A25506-8714</t>
  </si>
  <si>
    <t>36.00 USD</t>
  </si>
  <si>
    <t>702.00 MXN</t>
  </si>
  <si>
    <t>A25506-3438</t>
  </si>
  <si>
    <t>OSCAR ENRIQUE MORALES SEGOVIA</t>
  </si>
  <si>
    <t>GUADALUPE MORALES RAMIREZ</t>
  </si>
  <si>
    <t>3,644.20 MXN</t>
  </si>
  <si>
    <t>A25506-3028</t>
  </si>
  <si>
    <t>OSCAR RODRIGUEZ RAMIREZ</t>
  </si>
  <si>
    <t>MA DE LOS ANGELES RAMIREZ</t>
  </si>
  <si>
    <t>A25506-7725</t>
  </si>
  <si>
    <t>A25506-7545</t>
  </si>
  <si>
    <t>20,000.00 MXN</t>
  </si>
  <si>
    <t>A25506-7498</t>
  </si>
  <si>
    <t>OSCAR ROMERO FONSECA</t>
  </si>
  <si>
    <t>RAQUEL FONSECA ROMERO</t>
  </si>
  <si>
    <t>15,000.00 MXN</t>
  </si>
  <si>
    <t>A25506-3364</t>
  </si>
  <si>
    <t>OSSIEL OSORNIO ROJAS</t>
  </si>
  <si>
    <t>FERNANDA JANETH CABALLERO</t>
  </si>
  <si>
    <t>3,648.00 MXN</t>
  </si>
  <si>
    <t>A25506-3032</t>
  </si>
  <si>
    <t>2,716.00 MXN</t>
  </si>
  <si>
    <t>A25506-2803</t>
  </si>
  <si>
    <t>2,793.00 MXN</t>
  </si>
  <si>
    <t>A25506-7398</t>
  </si>
  <si>
    <t>BRANDO OSORNIO ROJAS</t>
  </si>
  <si>
    <t>1,896.00 MXN</t>
  </si>
  <si>
    <t>A25506-8681</t>
  </si>
  <si>
    <t>3,686.00 MXN</t>
  </si>
  <si>
    <t>A25506-2142</t>
  </si>
  <si>
    <t>OTHON MERAZ LARA</t>
  </si>
  <si>
    <t>ROSALVA LARA SANCHEZ</t>
  </si>
  <si>
    <t>3,761.10 MXN</t>
  </si>
  <si>
    <t>MEXICO - VERACRUZ - COROZAL</t>
  </si>
  <si>
    <t>A25506-6701</t>
  </si>
  <si>
    <t>OVER NOE CASTILLO FENLEY</t>
  </si>
  <si>
    <t>FELIX CASTILLO GUILLEN</t>
  </si>
  <si>
    <t>20,400.00 HNL</t>
  </si>
  <si>
    <t>HONDURAS - COMAYAGUA - LA LIBERTAD</t>
  </si>
  <si>
    <t>A25506-7409</t>
  </si>
  <si>
    <t>15,342.00 HNL</t>
  </si>
  <si>
    <t>A25506-8257</t>
  </si>
  <si>
    <t>PABLO AGUILAR MEDINA</t>
  </si>
  <si>
    <t>CLAUDIA GRISELDA CASTILLO HUERTA</t>
  </si>
  <si>
    <t>19,047.50 MXN</t>
  </si>
  <si>
    <t>A25506-8689</t>
  </si>
  <si>
    <t>PABLO GUTIERREZ ORTIZ</t>
  </si>
  <si>
    <t>DULCE MARIA GUTIERREZ ORTIZ</t>
  </si>
  <si>
    <t>A25506-8721</t>
  </si>
  <si>
    <t>PAULINA CAMPOS ROSALES</t>
  </si>
  <si>
    <t>MARIA ELENA CAMPOS ROSALES</t>
  </si>
  <si>
    <t>2,535.00 MXN</t>
  </si>
  <si>
    <t>A25506-1920</t>
  </si>
  <si>
    <t>PEDRO CHOC CHOC</t>
  </si>
  <si>
    <t>DANIEL CHOC CUS</t>
  </si>
  <si>
    <t>4,548.90 GTQ</t>
  </si>
  <si>
    <t>GUATEMALA - PETEN - LA LIBERTAD</t>
  </si>
  <si>
    <t>A25506-1699</t>
  </si>
  <si>
    <t>A25506-1629</t>
  </si>
  <si>
    <t>4,246.00 GTQ</t>
  </si>
  <si>
    <t>A25506-1543</t>
  </si>
  <si>
    <t>A25506-2505</t>
  </si>
  <si>
    <t>PEDRO CORTES ORTIZ</t>
  </si>
  <si>
    <t>HERMELINDA CASTALLENOS DIAZ</t>
  </si>
  <si>
    <t>2,276.08 HNL</t>
  </si>
  <si>
    <t>A25506-3265</t>
  </si>
  <si>
    <t>PEDRO DURAN PINA</t>
  </si>
  <si>
    <t>LESLIE CARRILLO MIRANDA</t>
  </si>
  <si>
    <t>1,979.00 MXN</t>
  </si>
  <si>
    <t>A25506-1922</t>
  </si>
  <si>
    <t>2,150.40 MXN</t>
  </si>
  <si>
    <t>A25506-1671</t>
  </si>
  <si>
    <t>A25506-1670</t>
  </si>
  <si>
    <t>MERCEDES PICHARDO CHAVERO</t>
  </si>
  <si>
    <t>A25506-6696</t>
  </si>
  <si>
    <t>2,023.00 MXN</t>
  </si>
  <si>
    <t>A25506-7424</t>
  </si>
  <si>
    <t>1,983.00 MXN</t>
  </si>
  <si>
    <t>A25506-8804</t>
  </si>
  <si>
    <t>A25506-2076</t>
  </si>
  <si>
    <t>PEDRO HERNANDEZ SANCHEZ</t>
  </si>
  <si>
    <t>MELISSA MORENO SOLCHAGA</t>
  </si>
  <si>
    <t>A25506-2885</t>
  </si>
  <si>
    <t>PEDRO JOSE RUIZ</t>
  </si>
  <si>
    <t>HILDA JANET HERNANDEZ LOPEZ</t>
  </si>
  <si>
    <t>18,202.00 MXN</t>
  </si>
  <si>
    <t>A25506-1955</t>
  </si>
  <si>
    <t>17,683.10 MXN</t>
  </si>
  <si>
    <t>A25506-1620</t>
  </si>
  <si>
    <t>16,758.00 MXN</t>
  </si>
  <si>
    <t>A25506-1473</t>
  </si>
  <si>
    <t>MARIANA LIZBETH GARCIA MENDEZ</t>
  </si>
  <si>
    <t>16,170.00 MXN</t>
  </si>
  <si>
    <t>A25506-2907</t>
  </si>
  <si>
    <t>PEDRO RIVERA MARTINEZ</t>
  </si>
  <si>
    <t>EPIFANIO RIVERA SANTIAGO</t>
  </si>
  <si>
    <t>MEXICO - GUERRERO - CHILPANCINGO</t>
  </si>
  <si>
    <t>A25506-1691</t>
  </si>
  <si>
    <t>SILVIA MARTINEZ NAVA</t>
  </si>
  <si>
    <t>32,472.00 MXN</t>
  </si>
  <si>
    <t>A25506-2594</t>
  </si>
  <si>
    <t>PEDRO TOVAR ALVAREZ</t>
  </si>
  <si>
    <t>10,915.00 MXN</t>
  </si>
  <si>
    <t>A25506-7442</t>
  </si>
  <si>
    <t>QUINTIN GAMEZ RODRIGUEZ</t>
  </si>
  <si>
    <t>MARIA NOELIA ALVARADO ARANDA</t>
  </si>
  <si>
    <t>2,392.80 MXN</t>
  </si>
  <si>
    <t>MEXICO - SAN LUIS POTOSI - VILLA HIDALGO</t>
  </si>
  <si>
    <t>A25506-3029</t>
  </si>
  <si>
    <t>RAFAEL CERVANTES CASTANEDA</t>
  </si>
  <si>
    <t>ELIZABETH MARMOLEJO CERVANTES</t>
  </si>
  <si>
    <t>4,850.00 MXN</t>
  </si>
  <si>
    <t>A25506-2373</t>
  </si>
  <si>
    <t>A25506-3351</t>
  </si>
  <si>
    <t>RAFAEL GONZALEZ CHAVEZ</t>
  </si>
  <si>
    <t>REYNA ISABEL TORRES LOPEZ</t>
  </si>
  <si>
    <t>A25506-3245</t>
  </si>
  <si>
    <t>7,944.00 MXN</t>
  </si>
  <si>
    <t>A25506-6883</t>
  </si>
  <si>
    <t>A25506-6735</t>
  </si>
  <si>
    <t>MANUEL GONZALEZ PERES</t>
  </si>
  <si>
    <t>A25506-7785</t>
  </si>
  <si>
    <t>A25506-7784</t>
  </si>
  <si>
    <t>A25506-7538</t>
  </si>
  <si>
    <t>A25506-7537</t>
  </si>
  <si>
    <t>A25506-8685</t>
  </si>
  <si>
    <t>MARIA ELIZABETH ALVARADO HERNANDEZ</t>
  </si>
  <si>
    <t>A25506-8684</t>
  </si>
  <si>
    <t>A25506-8222</t>
  </si>
  <si>
    <t>A25506-8221</t>
  </si>
  <si>
    <t>A25506-3274</t>
  </si>
  <si>
    <t>RAMIRO SALAS ANTOPIA</t>
  </si>
  <si>
    <t>MARTHA ELOISA DEL RIO MARTINEZ</t>
  </si>
  <si>
    <t>3,756.30 MXN</t>
  </si>
  <si>
    <t>A25506-3273</t>
  </si>
  <si>
    <t>A25506-3219</t>
  </si>
  <si>
    <t>FELICITAS ANTOPIA CARRANZA</t>
  </si>
  <si>
    <t>9,920.00 MXN</t>
  </si>
  <si>
    <t>A25506-3063</t>
  </si>
  <si>
    <t>A25506-2867</t>
  </si>
  <si>
    <t>RAMON DIAZ</t>
  </si>
  <si>
    <t>MARIA PETRONA PAZ</t>
  </si>
  <si>
    <t>30,787.50 HNL</t>
  </si>
  <si>
    <t>A25506-2832</t>
  </si>
  <si>
    <t>1,260.00 USD</t>
  </si>
  <si>
    <t>31,033.80 HNL</t>
  </si>
  <si>
    <t>A25506-2687</t>
  </si>
  <si>
    <t>JOSE EDUARDO LEIVA GUZMAN</t>
  </si>
  <si>
    <t>11,732.50 HNL</t>
  </si>
  <si>
    <t>A25506-2367</t>
  </si>
  <si>
    <t>244.00 USD</t>
  </si>
  <si>
    <t>6,012.16 HNL</t>
  </si>
  <si>
    <t>A25506-2212</t>
  </si>
  <si>
    <t>MARIA CARMEN VASQUEZ CACERES</t>
  </si>
  <si>
    <t>17,220.00 HNL</t>
  </si>
  <si>
    <t>A25506-1847</t>
  </si>
  <si>
    <t>688.00 USD</t>
  </si>
  <si>
    <t>17,000.48 HNL</t>
  </si>
  <si>
    <t>A25506-7895</t>
  </si>
  <si>
    <t>706.00 USD</t>
  </si>
  <si>
    <t>18,010.06 HNL</t>
  </si>
  <si>
    <t>A25506-7803</t>
  </si>
  <si>
    <t>RAMON ENRIQUE RAMOS RODAS</t>
  </si>
  <si>
    <t>LUIS EDUARDO MONTES RODRIGUEZ</t>
  </si>
  <si>
    <t>A25506-6782</t>
  </si>
  <si>
    <t>RAUL GASCA AGUILAR</t>
  </si>
  <si>
    <t>ESTELA NORIA RODRIGUEZ</t>
  </si>
  <si>
    <t>MEXICO - MEXICO D.F. - AZCAPOTZALCO</t>
  </si>
  <si>
    <t>A25506-7487</t>
  </si>
  <si>
    <t>6,400.00 MXN</t>
  </si>
  <si>
    <t>A25506-1441</t>
  </si>
  <si>
    <t>RAUL HERNANDEZ</t>
  </si>
  <si>
    <t>YURIDIA YOSELIN HERNANDEZ MARTINEZ</t>
  </si>
  <si>
    <t>4,980.00 MXN</t>
  </si>
  <si>
    <t>A25506-1426</t>
  </si>
  <si>
    <t>A25506-3011</t>
  </si>
  <si>
    <t>RAUL JHOVANI CISNEROS CELESTINO</t>
  </si>
  <si>
    <t>PERLA NAYELI GARCIA JASSO</t>
  </si>
  <si>
    <t>38,451.60 MXN</t>
  </si>
  <si>
    <t>A25506-2135</t>
  </si>
  <si>
    <t>YACIL MANCILLA PENA</t>
  </si>
  <si>
    <t>35,164.80 MXN</t>
  </si>
  <si>
    <t>A25506-2851</t>
  </si>
  <si>
    <t>RAUL SANTILLAN VAZQUEZ</t>
  </si>
  <si>
    <t>JOSE GUADALUPE SANTILLAN VAZQUEZ</t>
  </si>
  <si>
    <t>5,408.50 MXN</t>
  </si>
  <si>
    <t>A25506-2850</t>
  </si>
  <si>
    <t>A25506-6829</t>
  </si>
  <si>
    <t>REINA ISABEL ERAZO MARADIAGA</t>
  </si>
  <si>
    <t>CINTHIA WALESKA MARADIAGA</t>
  </si>
  <si>
    <t>A25506-7443</t>
  </si>
  <si>
    <t>NOEL ALCIDES SUARES CASTILLO</t>
  </si>
  <si>
    <t>5,021.52 HNL</t>
  </si>
  <si>
    <t>A25506-2156</t>
  </si>
  <si>
    <t>REINA LISSETH RIVERA FLORES</t>
  </si>
  <si>
    <t>ANA ESTHER NAVARRO MEMBRENO</t>
  </si>
  <si>
    <t>EL SALVADOR - SAN MIGUEL - CHAPELTIQUE</t>
  </si>
  <si>
    <t>A25506-1663</t>
  </si>
  <si>
    <t>REY DAVID SOTO ROMERO</t>
  </si>
  <si>
    <t>MARIA DE JESUS ROMERO RODRIGUEZ</t>
  </si>
  <si>
    <t>55.55 USD</t>
  </si>
  <si>
    <t>999.90 MXN</t>
  </si>
  <si>
    <t>A25506-2268</t>
  </si>
  <si>
    <t>REYMUNDO GUERRERO MARTINEZ</t>
  </si>
  <si>
    <t>OMAR ALEJANDRO GUERRERO ESTRADA</t>
  </si>
  <si>
    <t>A25506-1986</t>
  </si>
  <si>
    <t>9,075.00 MXN</t>
  </si>
  <si>
    <t>A25506-1721</t>
  </si>
  <si>
    <t>A25506-3456</t>
  </si>
  <si>
    <t>RICARDO AMADEO A</t>
  </si>
  <si>
    <t>CESAR DANIEL AVITIA ARELLANO</t>
  </si>
  <si>
    <t>38,200.00 MXN</t>
  </si>
  <si>
    <t>A25506-2371</t>
  </si>
  <si>
    <t>RICARDO CHAIREZ ORTIZ</t>
  </si>
  <si>
    <t>MARIA GUADALUPE MORENO RAMIREZ</t>
  </si>
  <si>
    <t>1,519.80 MXN</t>
  </si>
  <si>
    <t>A25506-1821</t>
  </si>
  <si>
    <t>SAIRA NOEMI MORENO RAMIREZ</t>
  </si>
  <si>
    <t>4,004.00 MXN</t>
  </si>
  <si>
    <t>A25506-1570</t>
  </si>
  <si>
    <t>7,392.00 MXN</t>
  </si>
  <si>
    <t>A25506-1532</t>
  </si>
  <si>
    <t>AGUSTIN CASAS MORALES</t>
  </si>
  <si>
    <t>3,163.50 MXN</t>
  </si>
  <si>
    <t>A25506-1531</t>
  </si>
  <si>
    <t>3,996.00 MXN</t>
  </si>
  <si>
    <t>A25506-6656</t>
  </si>
  <si>
    <t>A25506-7470</t>
  </si>
  <si>
    <t>19,009.50 MXN</t>
  </si>
  <si>
    <t>A25506-6864</t>
  </si>
  <si>
    <t>RICARDO EUSEBIO LIRA</t>
  </si>
  <si>
    <t>MARTHA ALICIA CARREON FLORES</t>
  </si>
  <si>
    <t>980.50 MXN</t>
  </si>
  <si>
    <t>A25506-7827</t>
  </si>
  <si>
    <t>977.50 MXN</t>
  </si>
  <si>
    <t>A25506-7456</t>
  </si>
  <si>
    <t>985.00 MXN</t>
  </si>
  <si>
    <t>A25506-7873</t>
  </si>
  <si>
    <t>4,120.50 MXN</t>
  </si>
  <si>
    <t>A25506-3429</t>
  </si>
  <si>
    <t>RICARDO PERALES GOMEZ</t>
  </si>
  <si>
    <t>MARIBEL GOMEZ CORDOBA</t>
  </si>
  <si>
    <t>15,328.00 MXN</t>
  </si>
  <si>
    <t>A25506-2896</t>
  </si>
  <si>
    <t>JUAN LUIS PERALES RAMIREZ</t>
  </si>
  <si>
    <t>1,053.00 USD</t>
  </si>
  <si>
    <t>20,007.00 MXN</t>
  </si>
  <si>
    <t>A25506-2871</t>
  </si>
  <si>
    <t>LAURA BARRON MEDINA</t>
  </si>
  <si>
    <t>2,446.60 MXN</t>
  </si>
  <si>
    <t>A25506-2662</t>
  </si>
  <si>
    <t>ERICK LUJAN BARRON</t>
  </si>
  <si>
    <t>3,014.75 MXN</t>
  </si>
  <si>
    <t>A25506-2552</t>
  </si>
  <si>
    <t>18,650.00 MXN</t>
  </si>
  <si>
    <t>A25506-2412</t>
  </si>
  <si>
    <t>8,100.00 MXN</t>
  </si>
  <si>
    <t>A25506-2411</t>
  </si>
  <si>
    <t>111.11 USD</t>
  </si>
  <si>
    <t>1,999.98 MXN</t>
  </si>
  <si>
    <t>A25506-1867</t>
  </si>
  <si>
    <t>6,516.00 MXN</t>
  </si>
  <si>
    <t>A25506-1438</t>
  </si>
  <si>
    <t>2,511.04 MXN</t>
  </si>
  <si>
    <t>A25506-1437</t>
  </si>
  <si>
    <t>602.04 USD</t>
  </si>
  <si>
    <t>9,999.88 MXN</t>
  </si>
  <si>
    <t>A25506-6738</t>
  </si>
  <si>
    <t>50,425.00 MXN</t>
  </si>
  <si>
    <t>A25506-6737</t>
  </si>
  <si>
    <t>A25506-6715</t>
  </si>
  <si>
    <t>50,675.00 MXN</t>
  </si>
  <si>
    <t>A25506-7508</t>
  </si>
  <si>
    <t>744.00 USD</t>
  </si>
  <si>
    <t>15,006.48 MXN</t>
  </si>
  <si>
    <t>A25506-7462</t>
  </si>
  <si>
    <t>ALAN HUMBERTO GONZALEZ ADAME</t>
  </si>
  <si>
    <t>815.90 MXN</t>
  </si>
  <si>
    <t>A25506-7461</t>
  </si>
  <si>
    <t>A25506-7759</t>
  </si>
  <si>
    <t>RICARDO RUIZ SEGURA</t>
  </si>
  <si>
    <t>ZOILA LOPEZ TOVAR</t>
  </si>
  <si>
    <t>20,120.00 MXN</t>
  </si>
  <si>
    <t>A25506-6899</t>
  </si>
  <si>
    <t>RICARDO SALGADO GARCIA</t>
  </si>
  <si>
    <t>SERGIO BARRERA MIRANDA</t>
  </si>
  <si>
    <t>19,962.60 MXN</t>
  </si>
  <si>
    <t>A25506-7459</t>
  </si>
  <si>
    <t>19,443.20 MXN</t>
  </si>
  <si>
    <t>A25506-8719</t>
  </si>
  <si>
    <t>A25506-3448</t>
  </si>
  <si>
    <t>RICHARD EDUARDO PERAZA</t>
  </si>
  <si>
    <t>ANA SUYAPA LOPEZ PERAZA</t>
  </si>
  <si>
    <t>1,735.30 HNL</t>
  </si>
  <si>
    <t>A25506-3136</t>
  </si>
  <si>
    <t>FERMIN FACSIMILEC GUTIERREZ MATEO</t>
  </si>
  <si>
    <t>1,483.80 HNL</t>
  </si>
  <si>
    <t>A25506-8354</t>
  </si>
  <si>
    <t>JOSE FAUSTINO RAMOS HERRERA</t>
  </si>
  <si>
    <t>1,593.40 HNL</t>
  </si>
  <si>
    <t>A25506-2279</t>
  </si>
  <si>
    <t>ROBERTO CARCLOS VEGA</t>
  </si>
  <si>
    <t>MARIA OTILIA VEGA</t>
  </si>
  <si>
    <t>CUSCA</t>
  </si>
  <si>
    <t>A25506-1447</t>
  </si>
  <si>
    <t>ROBERTO CARLOS PEREZ CABRERA</t>
  </si>
  <si>
    <t>SALOMON COREA QUINTEROS</t>
  </si>
  <si>
    <t>61,250.00 HNL</t>
  </si>
  <si>
    <t>A25506-3388</t>
  </si>
  <si>
    <t>ROBERTO CARLOS REYES GUERRERO</t>
  </si>
  <si>
    <t>MA DEL CARMEN GUERRERO MORENO</t>
  </si>
  <si>
    <t>1,918.00 MXN</t>
  </si>
  <si>
    <t>A25506-6628</t>
  </si>
  <si>
    <t>ROBERTO CASILLAS FLORES</t>
  </si>
  <si>
    <t>A25506-7801</t>
  </si>
  <si>
    <t>FERNANDO RODRIGUEZ TORRES</t>
  </si>
  <si>
    <t>A25506-8344</t>
  </si>
  <si>
    <t>JUAN MANUEL HERNANDEZ VALDEZ</t>
  </si>
  <si>
    <t>MEXICO - TABASCO - CARDENAS (TABASCO)</t>
  </si>
  <si>
    <t>A25506-8343</t>
  </si>
  <si>
    <t>JOSE ANDRES PEREZ CHAVEZ</t>
  </si>
  <si>
    <t>A25506-2917</t>
  </si>
  <si>
    <t>ROBERTO DIAZ RAMIREZ</t>
  </si>
  <si>
    <t>MARIA LAURA LOREDO MARTINEZ</t>
  </si>
  <si>
    <t>7,992.60 MXN</t>
  </si>
  <si>
    <t>A25506-2016</t>
  </si>
  <si>
    <t>1,629.90 MXN</t>
  </si>
  <si>
    <t>A25506-6642</t>
  </si>
  <si>
    <t>A25506-7703</t>
  </si>
  <si>
    <t>9,844.10 MXN</t>
  </si>
  <si>
    <t>A25506-7855</t>
  </si>
  <si>
    <t>A25506-3408</t>
  </si>
  <si>
    <t>ROBERTO ORTIZ NORIEGA</t>
  </si>
  <si>
    <t>GLORIA GUADALUPE ESCAMILLA CUEVAS</t>
  </si>
  <si>
    <t>13,433.00 MXN</t>
  </si>
  <si>
    <t>A25506-3042</t>
  </si>
  <si>
    <t>13,720.00 MXN</t>
  </si>
  <si>
    <t>A25506-2951</t>
  </si>
  <si>
    <t>ALMA VERONICA BANDA HERNANDEZ</t>
  </si>
  <si>
    <t>A25506-2950</t>
  </si>
  <si>
    <t>JUANA ORTIZ NORIEGA</t>
  </si>
  <si>
    <t>A25506-2802</t>
  </si>
  <si>
    <t>4,655.00 MXN</t>
  </si>
  <si>
    <t>A25506-2801</t>
  </si>
  <si>
    <t>A25506-2736</t>
  </si>
  <si>
    <t>4,710.00 MXN</t>
  </si>
  <si>
    <t>A25506-2735</t>
  </si>
  <si>
    <t>9,420.00 MXN</t>
  </si>
  <si>
    <t>A25506-2633</t>
  </si>
  <si>
    <t>3,786.00 MXN</t>
  </si>
  <si>
    <t>A25506-2632</t>
  </si>
  <si>
    <t>9,465.00 MXN</t>
  </si>
  <si>
    <t>A25506-2529</t>
  </si>
  <si>
    <t>22,008.00 MXN</t>
  </si>
  <si>
    <t>A25506-2525</t>
  </si>
  <si>
    <t>9,165.00 MXN</t>
  </si>
  <si>
    <t>A25506-2524</t>
  </si>
  <si>
    <t>21,996.00 MXN</t>
  </si>
  <si>
    <t>A25506-2388</t>
  </si>
  <si>
    <t>A25506-1702</t>
  </si>
  <si>
    <t>A25506-1701</t>
  </si>
  <si>
    <t>A25506-1700</t>
  </si>
  <si>
    <t>A25506-6838</t>
  </si>
  <si>
    <t>ROSE MARY RAMIREZ JUAREZ</t>
  </si>
  <si>
    <t>A25506-6836</t>
  </si>
  <si>
    <t>A25506-6800</t>
  </si>
  <si>
    <t>A25506-6799</t>
  </si>
  <si>
    <t>A25506-7782</t>
  </si>
  <si>
    <t>A25506-7781</t>
  </si>
  <si>
    <t>4,030.00 MXN</t>
  </si>
  <si>
    <t>A25506-7780</t>
  </si>
  <si>
    <t>12,090.00 MXN</t>
  </si>
  <si>
    <t>A25506-8727</t>
  </si>
  <si>
    <t>4,680.00 MXN</t>
  </si>
  <si>
    <t>A25506-8726</t>
  </si>
  <si>
    <t>A25506-8725</t>
  </si>
  <si>
    <t>A25506-8329</t>
  </si>
  <si>
    <t>A25506-8328</t>
  </si>
  <si>
    <t>10,010.00 MXN</t>
  </si>
  <si>
    <t>A25506-3159</t>
  </si>
  <si>
    <t>ROBERTO PUENTE ESCOBEDO</t>
  </si>
  <si>
    <t>YOLANDA ESCOBEDO VELAZQUEZ</t>
  </si>
  <si>
    <t>A25506-2693</t>
  </si>
  <si>
    <t>A25506-2607</t>
  </si>
  <si>
    <t>A25506-2318</t>
  </si>
  <si>
    <t>A25506-1638</t>
  </si>
  <si>
    <t>ROBERTO RAYAS ESPINOZA</t>
  </si>
  <si>
    <t>MARIA LETICIA ARTEAGA TOVAR</t>
  </si>
  <si>
    <t>17,450.00 MXN</t>
  </si>
  <si>
    <t>A25506-2325</t>
  </si>
  <si>
    <t>ROBERTO TORRES BRIONES</t>
  </si>
  <si>
    <t>CLAUDIA TORRES BRIONES</t>
  </si>
  <si>
    <t>3,560.00 MXN</t>
  </si>
  <si>
    <t>A25506-2324</t>
  </si>
  <si>
    <t>VIRIDIANA MUNOZ MUNOZ</t>
  </si>
  <si>
    <t>A25506-3068</t>
  </si>
  <si>
    <t>ROBERTO ZUNIGA ANGUIANO</t>
  </si>
  <si>
    <t>48,750.00 MXN</t>
  </si>
  <si>
    <t>A25506-6832</t>
  </si>
  <si>
    <t>RODOLFO MORALES RAMIREZ</t>
  </si>
  <si>
    <t>ANIBAL BALDERAS CHAIREZ</t>
  </si>
  <si>
    <t>A25506-7715</t>
  </si>
  <si>
    <t>MILTON REVOLORIO ASENCIO</t>
  </si>
  <si>
    <t>1,540.00 GTQ</t>
  </si>
  <si>
    <t>GUATEMALA - JUTIAPA - COMAPA</t>
  </si>
  <si>
    <t>A25506-3390</t>
  </si>
  <si>
    <t>RODRIGO DE LA FUENTE CASTRO</t>
  </si>
  <si>
    <t>MA TRINIDAD DELGADO GARCIA</t>
  </si>
  <si>
    <t>A25506-6764</t>
  </si>
  <si>
    <t>ROGELIO GOMEZ ORTEGA</t>
  </si>
  <si>
    <t>LETICIA MARTINEZ SORIA</t>
  </si>
  <si>
    <t>15,075.00 MXN</t>
  </si>
  <si>
    <t>A25506-7903</t>
  </si>
  <si>
    <t>A25506-3215</t>
  </si>
  <si>
    <t>ROGELIO SOLIS CALVILLO</t>
  </si>
  <si>
    <t>PETRA DEL ROSARIO LOPEZ GOMEZ</t>
  </si>
  <si>
    <t>797.00 USD</t>
  </si>
  <si>
    <t>15,700.90 MXN</t>
  </si>
  <si>
    <t>A25506-1729</t>
  </si>
  <si>
    <t>ROGELIO SOTRES CAMACHO</t>
  </si>
  <si>
    <t>MARTHA FLORES ARIAS</t>
  </si>
  <si>
    <t>556.00 USD</t>
  </si>
  <si>
    <t>10,008.00 MXN</t>
  </si>
  <si>
    <t>A25506-7834</t>
  </si>
  <si>
    <t>ROGER PICADO</t>
  </si>
  <si>
    <t>XIOMARA DURAN</t>
  </si>
  <si>
    <t>NICARAGUA - CHONTALES - JUIGALPA</t>
  </si>
  <si>
    <t>A25506-8758</t>
  </si>
  <si>
    <t>ARIANA PAOLA TELLEZ DURAN</t>
  </si>
  <si>
    <t>NICARAGUA - CHONTALES - CHONTALES</t>
  </si>
  <si>
    <t>A25506-8308</t>
  </si>
  <si>
    <t>A25506-2389</t>
  </si>
  <si>
    <t>ROSA AMALIA GOMEZ LAINEZ</t>
  </si>
  <si>
    <t>ALMA NICOLLE RIVERA GOMEZ</t>
  </si>
  <si>
    <t>A25506-6720</t>
  </si>
  <si>
    <t>ALINA NICOLLE RIVERA GOMEZ</t>
  </si>
  <si>
    <t>2,863.84 HNL</t>
  </si>
  <si>
    <t>A25506-6674</t>
  </si>
  <si>
    <t>135.00 USD</t>
  </si>
  <si>
    <t>3,450.60 HNL</t>
  </si>
  <si>
    <t>A25506-2673</t>
  </si>
  <si>
    <t>ROSA AMINTA ANTONIO VASQUEZ</t>
  </si>
  <si>
    <t>SALMA MARBELLA CAMARILLO DIAZ</t>
  </si>
  <si>
    <t>28,650.00 MXN</t>
  </si>
  <si>
    <t>A25506-1634</t>
  </si>
  <si>
    <t>ROSA GOMEZ LAINEZ</t>
  </si>
  <si>
    <t>A25506-3288</t>
  </si>
  <si>
    <t>ROSA ISELA MEDINA DOMINGUEZ</t>
  </si>
  <si>
    <t>MARIA TERESA MEDINA DOMINGUEZ</t>
  </si>
  <si>
    <t>10,013.74 MXN</t>
  </si>
  <si>
    <t>A25506-3006</t>
  </si>
  <si>
    <t>13,455.00 MXN</t>
  </si>
  <si>
    <t>A25506-2391</t>
  </si>
  <si>
    <t>A25506-1604</t>
  </si>
  <si>
    <t>A25506-1513</t>
  </si>
  <si>
    <t>5,661.00 MXN</t>
  </si>
  <si>
    <t>A25506-6906</t>
  </si>
  <si>
    <t>ROSBELIA ORTIZ ORTIZ</t>
  </si>
  <si>
    <t>GABRIEL ORTIZ SALAZAR</t>
  </si>
  <si>
    <t>PAISAMEX</t>
  </si>
  <si>
    <t>MEXICO - MICHOACAN - TUZANTLA</t>
  </si>
  <si>
    <t>A25506-2979</t>
  </si>
  <si>
    <t>ROSENDO ORTIZ MIGUEL</t>
  </si>
  <si>
    <t>ANGELICA ORTIZ MIGUEL</t>
  </si>
  <si>
    <t>A25506-2978</t>
  </si>
  <si>
    <t>PATRICIA PABLO CASTRO</t>
  </si>
  <si>
    <t>A25506-2519</t>
  </si>
  <si>
    <t>ROXANA VANESA CASTILLO SANCHEZ</t>
  </si>
  <si>
    <t>SANTOS FELIPE CASTILLO CASTILLO</t>
  </si>
  <si>
    <t>437.00 USD</t>
  </si>
  <si>
    <t>10,811.38 HNL</t>
  </si>
  <si>
    <t>A25506-1905</t>
  </si>
  <si>
    <t>DIANA LIZETH LARA HERNANDEZ</t>
  </si>
  <si>
    <t>5,206.72 HNL</t>
  </si>
  <si>
    <t>A25506-1904</t>
  </si>
  <si>
    <t>10,118.72 HNL</t>
  </si>
  <si>
    <t>A25506-3108</t>
  </si>
  <si>
    <t>ROXSANA BANESA CASTILLO SANCHEZ</t>
  </si>
  <si>
    <t>12,330.48 HNL</t>
  </si>
  <si>
    <t>A25506-2772</t>
  </si>
  <si>
    <t>393.00 USD</t>
  </si>
  <si>
    <t>9,707.10 HNL</t>
  </si>
  <si>
    <t>A25506-2592</t>
  </si>
  <si>
    <t>12,152.40 HNL</t>
  </si>
  <si>
    <t>A25506-2395</t>
  </si>
  <si>
    <t>504.00 USD</t>
  </si>
  <si>
    <t>12,468.96 HNL</t>
  </si>
  <si>
    <t>A25506-7397</t>
  </si>
  <si>
    <t>RUBEN VARELA JARAMILLO</t>
  </si>
  <si>
    <t>ANA CRISTINA RODRIGUEZ NUNEZ</t>
  </si>
  <si>
    <t>9,940.00 MXN</t>
  </si>
  <si>
    <t>MEXICO - DURANGO - LERDO</t>
  </si>
  <si>
    <t>A25506-1413</t>
  </si>
  <si>
    <t>RUTH ANYI BARRIENTOS PINEDA</t>
  </si>
  <si>
    <t>CARLOS HERNAN BARRIENTOS PINEDA</t>
  </si>
  <si>
    <t>1,036.98 HNL</t>
  </si>
  <si>
    <t>A25506-2250</t>
  </si>
  <si>
    <t>SAHARAIM NATALIE GARCIA</t>
  </si>
  <si>
    <t>MANUEL DE JESUS CHAMAGUA ALEMAN</t>
  </si>
  <si>
    <t>A25506-3060</t>
  </si>
  <si>
    <t>SAHARAIM NATALIE GARCIA CHAMAGUA</t>
  </si>
  <si>
    <t>A25506-3445</t>
  </si>
  <si>
    <t>SALVADOR HERNANDEZ CRUZ</t>
  </si>
  <si>
    <t>FLAVIO TORRES SANCHEZ</t>
  </si>
  <si>
    <t>2,013.90 MXN</t>
  </si>
  <si>
    <t>MEXICO - ZACATECAS - SAIN ALTO</t>
  </si>
  <si>
    <t>A25506-3414</t>
  </si>
  <si>
    <t>LORENZA ROMAN ZAVALA</t>
  </si>
  <si>
    <t>7,660.00 MXN</t>
  </si>
  <si>
    <t>A25506-2937</t>
  </si>
  <si>
    <t>SILBESTRE CRUZ RAMIREZ</t>
  </si>
  <si>
    <t>204.00 USD</t>
  </si>
  <si>
    <t>3,876.00 MXN</t>
  </si>
  <si>
    <t>A25506-2104</t>
  </si>
  <si>
    <t>A25506-1556</t>
  </si>
  <si>
    <t>23,030.00 MXN</t>
  </si>
  <si>
    <t>A25506-8695</t>
  </si>
  <si>
    <t>1,755.00 MXN</t>
  </si>
  <si>
    <t>A25506-8226</t>
  </si>
  <si>
    <t>1,827.90 MXN</t>
  </si>
  <si>
    <t>A25506-3229</t>
  </si>
  <si>
    <t>SALVADOR RANGEL RIVERA</t>
  </si>
  <si>
    <t>NEREYDA GARCIA GUERRERO</t>
  </si>
  <si>
    <t>960.00 USD</t>
  </si>
  <si>
    <t>18,796.80 MXN</t>
  </si>
  <si>
    <t>A25506-3012</t>
  </si>
  <si>
    <t>A25506-2890</t>
  </si>
  <si>
    <t>A25506-2454</t>
  </si>
  <si>
    <t>A25506-2300</t>
  </si>
  <si>
    <t>12,376.00 MXN</t>
  </si>
  <si>
    <t>A25506-2251</t>
  </si>
  <si>
    <t>MARIA ISABEL RANGEL RIVERA</t>
  </si>
  <si>
    <t>5,471.50 MXN</t>
  </si>
  <si>
    <t>A25506-1668</t>
  </si>
  <si>
    <t>473.00 USD</t>
  </si>
  <si>
    <t>8,514.00 MXN</t>
  </si>
  <si>
    <t>A25506-1510</t>
  </si>
  <si>
    <t>A25506-6633</t>
  </si>
  <si>
    <t>A25506-7484</t>
  </si>
  <si>
    <t>A25506-8675</t>
  </si>
  <si>
    <t>SALVADOR SANCHEZ MENCHACA</t>
  </si>
  <si>
    <t>TERESA MENCHACA ORTIZ</t>
  </si>
  <si>
    <t>A25506-8674</t>
  </si>
  <si>
    <t>A25506-8673</t>
  </si>
  <si>
    <t>JOSE MANUEL RESENDEZ MENDEZ</t>
  </si>
  <si>
    <t>MEXICO - GUERRERO - TELOLOAPAN</t>
  </si>
  <si>
    <t>A25506-3359</t>
  </si>
  <si>
    <t>SALVADOR SUSTAITA MORALES</t>
  </si>
  <si>
    <t>JOSE CARLOS MORALES LIMON</t>
  </si>
  <si>
    <t>A25506-3244</t>
  </si>
  <si>
    <t>2,979.00 MXN</t>
  </si>
  <si>
    <t>A25506-2815</t>
  </si>
  <si>
    <t>3,710.00 MXN</t>
  </si>
  <si>
    <t>A25506-2814</t>
  </si>
  <si>
    <t>PAOLA DEL CARMEN MORALES MILAN</t>
  </si>
  <si>
    <t>A25506-2608</t>
  </si>
  <si>
    <t>9,265.90 MXN</t>
  </si>
  <si>
    <t>A25506-2312</t>
  </si>
  <si>
    <t>6,251.00 MXN</t>
  </si>
  <si>
    <t>A25506-6816</t>
  </si>
  <si>
    <t>A25506-6671</t>
  </si>
  <si>
    <t>A25506-6670</t>
  </si>
  <si>
    <t>A25506-8225</t>
  </si>
  <si>
    <t>11,055.00 MXN</t>
  </si>
  <si>
    <t>A25506-3081</t>
  </si>
  <si>
    <t>SAMUEL ALONSO GONZALEZ</t>
  </si>
  <si>
    <t>ROSA GONZALEZ ASCENCION</t>
  </si>
  <si>
    <t>MEXICO - MEXICO (ESTADO) - ALMOLOYA DE ALQUISIRAS</t>
  </si>
  <si>
    <t>A25506-2656</t>
  </si>
  <si>
    <t>LIDIA IVETTE HERNANDEZ SAMPEDRO</t>
  </si>
  <si>
    <t>14,931.00 MXN</t>
  </si>
  <si>
    <t>MEXICO - MEXICO (ESTADO) - SULTEPEC</t>
  </si>
  <si>
    <t>A25506-1925</t>
  </si>
  <si>
    <t>14,062.00 MXN</t>
  </si>
  <si>
    <t>A25506-3298</t>
  </si>
  <si>
    <t>SAMUEL GONZALEZ</t>
  </si>
  <si>
    <t>EVELYN TORRES</t>
  </si>
  <si>
    <t>460.12 USD</t>
  </si>
  <si>
    <t>8,999.95 MXN</t>
  </si>
  <si>
    <t>A25506-3295</t>
  </si>
  <si>
    <t>MARIA NATALY ORTIZ LOPEZ</t>
  </si>
  <si>
    <t>A25506-1647</t>
  </si>
  <si>
    <t>MA DE LOS ANGELES MEDRANO DE LIRA</t>
  </si>
  <si>
    <t>15,842.00 MXN</t>
  </si>
  <si>
    <t>A25506-1631</t>
  </si>
  <si>
    <t>MA ROSA GONZALEZ GUARDADO</t>
  </si>
  <si>
    <t>2,277.00 USD</t>
  </si>
  <si>
    <t>40,029.66 MXN</t>
  </si>
  <si>
    <t>A25506-7435</t>
  </si>
  <si>
    <t>SAN JUANA MIRELES</t>
  </si>
  <si>
    <t>MARIBEL MIRELES CARDONA</t>
  </si>
  <si>
    <t>3,152.00 MXN</t>
  </si>
  <si>
    <t>A25506-6895</t>
  </si>
  <si>
    <t>SANDRA VARGAS</t>
  </si>
  <si>
    <t>MARIA DE JESUS VASQUEZ VARGAS</t>
  </si>
  <si>
    <t>8,484.00 MXN</t>
  </si>
  <si>
    <t>A25506-7829</t>
  </si>
  <si>
    <t>SANDRA VARGAS HERNANDEZ</t>
  </si>
  <si>
    <t>JAIME ANGEL ARELLANO</t>
  </si>
  <si>
    <t>A25506-8334</t>
  </si>
  <si>
    <t>A25506-7717</t>
  </si>
  <si>
    <t>SANTIAGO VILLAFUERTE BALDERAS</t>
  </si>
  <si>
    <t>FRANCISCA VILLAFUERTE BALDERAS</t>
  </si>
  <si>
    <t>MEXICO - TAMAULIPAS - ALDAMA</t>
  </si>
  <si>
    <t>A25506-3176</t>
  </si>
  <si>
    <t>SANTOS CRISPIN BENITEZ BENITEZ</t>
  </si>
  <si>
    <t>5,571.00 HNL</t>
  </si>
  <si>
    <t>A25506-3017</t>
  </si>
  <si>
    <t>JOSE ORLANDO CANO</t>
  </si>
  <si>
    <t>A25506-2450</t>
  </si>
  <si>
    <t>10,885.60 HNL</t>
  </si>
  <si>
    <t>A25506-2269</t>
  </si>
  <si>
    <t>A25506-2024</t>
  </si>
  <si>
    <t>13,585.00 HNL</t>
  </si>
  <si>
    <t>A25506-1676</t>
  </si>
  <si>
    <t>5,925.60 HNL</t>
  </si>
  <si>
    <t>A25506-1422</t>
  </si>
  <si>
    <t>A25506-7728</t>
  </si>
  <si>
    <t>19,983.60 HNL</t>
  </si>
  <si>
    <t>A25506-8255</t>
  </si>
  <si>
    <t>13,829.40 HNL</t>
  </si>
  <si>
    <t>A25506-3057</t>
  </si>
  <si>
    <t>SANTOS ENRIQUE IBARRA SANCHEZ</t>
  </si>
  <si>
    <t>A25506-6680</t>
  </si>
  <si>
    <t>CLAUDIA JAQUELINE VAZQUEZ RAMIREZ</t>
  </si>
  <si>
    <t>A25506-7455</t>
  </si>
  <si>
    <t>CINTHIA ESTEFANIA MARIN SAUCEDO</t>
  </si>
  <si>
    <t>709.20 MXN</t>
  </si>
  <si>
    <t>A25506-7414</t>
  </si>
  <si>
    <t>A25506-8770</t>
  </si>
  <si>
    <t>A25506-8254</t>
  </si>
  <si>
    <t>A25506-2495</t>
  </si>
  <si>
    <t>SANTOS ERNESTO MARQUEZ GARCIA</t>
  </si>
  <si>
    <t>NURIAN BRISEIDA CHAVARRIA DE MARQUEZ</t>
  </si>
  <si>
    <t>A25506-2494</t>
  </si>
  <si>
    <t>A25506-6821</t>
  </si>
  <si>
    <t>A25506-6719</t>
  </si>
  <si>
    <t>A25506-7768</t>
  </si>
  <si>
    <t>A25506-8701</t>
  </si>
  <si>
    <t>A25506-8686</t>
  </si>
  <si>
    <t>A25506-8242</t>
  </si>
  <si>
    <t>A25506-3248</t>
  </si>
  <si>
    <t>SAUL ESQUIVEL ESPINO</t>
  </si>
  <si>
    <t>A25506-2729</t>
  </si>
  <si>
    <t>SEBASTIAN EMANUEL RODRIGUEZ RODRIGUEZ</t>
  </si>
  <si>
    <t>BACILIA RODRIGUEZ BECERRA</t>
  </si>
  <si>
    <t>A25506-3466</t>
  </si>
  <si>
    <t>SEBASTIAN SANCHEZ CORREA</t>
  </si>
  <si>
    <t>VERONICA SANCHEZ CORREA</t>
  </si>
  <si>
    <t>523.00 USD</t>
  </si>
  <si>
    <t>10,004.99 MXN</t>
  </si>
  <si>
    <t>A25506-3036</t>
  </si>
  <si>
    <t>MARIA IRENE JUAREZ MARTINEZ</t>
  </si>
  <si>
    <t>19,012.00 MXN</t>
  </si>
  <si>
    <t>A25506-3001</t>
  </si>
  <si>
    <t>16,002.00 MXN</t>
  </si>
  <si>
    <t>A25506-3041</t>
  </si>
  <si>
    <t>SELVIN ALEXANDER REYES VASQUEZ</t>
  </si>
  <si>
    <t>PEDRO REYES CARCAMO</t>
  </si>
  <si>
    <t>49,400.00 HNL</t>
  </si>
  <si>
    <t>A25506-3040</t>
  </si>
  <si>
    <t>A25506-2202</t>
  </si>
  <si>
    <t>SEMEON AVILEZ VILLEGAS</t>
  </si>
  <si>
    <t>JUVENTINA AVILEZ VILLEGAS</t>
  </si>
  <si>
    <t>MEXICO - GUERRERO - ZACAPUATO</t>
  </si>
  <si>
    <t>A25506-1826</t>
  </si>
  <si>
    <t>ARTURO AVILEZ VILLEGAS</t>
  </si>
  <si>
    <t>3,640.00 MXN</t>
  </si>
  <si>
    <t>A25506-1560</t>
  </si>
  <si>
    <t>SENOBIO AVILEZ VILLEGAS</t>
  </si>
  <si>
    <t>8,109.50 MXN</t>
  </si>
  <si>
    <t>A25506-7900</t>
  </si>
  <si>
    <t>4,732.80 MXN</t>
  </si>
  <si>
    <t>A25506-6830</t>
  </si>
  <si>
    <t>SENDER GEOVANI JOYA PEREZ</t>
  </si>
  <si>
    <t>1,771.00 GTQ</t>
  </si>
  <si>
    <t>A25506-6692</t>
  </si>
  <si>
    <t>3,056.00 GTQ</t>
  </si>
  <si>
    <t>A25506-8783</t>
  </si>
  <si>
    <t>SERAFIN SALGADO</t>
  </si>
  <si>
    <t>MONICA REZA GARCIA</t>
  </si>
  <si>
    <t>A25506-7522</t>
  </si>
  <si>
    <t>SERGIO ESPINOZA HERNANDEZ</t>
  </si>
  <si>
    <t>A25506-2567</t>
  </si>
  <si>
    <t>SERGIO HERNANDEZ RODRIGUEZ</t>
  </si>
  <si>
    <t>EFRAIN HERNANDEZ SOTO</t>
  </si>
  <si>
    <t>527.70 USD</t>
  </si>
  <si>
    <t>9,999.92 MXN</t>
  </si>
  <si>
    <t>A25506-1812</t>
  </si>
  <si>
    <t>162.16 USD</t>
  </si>
  <si>
    <t>2,999.96 MXN</t>
  </si>
  <si>
    <t>A25506-6778</t>
  </si>
  <si>
    <t>NESTORA RODRIGUEZ RAMOS</t>
  </si>
  <si>
    <t>1,235.00 USD</t>
  </si>
  <si>
    <t>25,008.75 MXN</t>
  </si>
  <si>
    <t>A25506-7710</t>
  </si>
  <si>
    <t>4,058.00 MXN</t>
  </si>
  <si>
    <t>A25506-7493</t>
  </si>
  <si>
    <t>12,114.00 MXN</t>
  </si>
  <si>
    <t>A25506-8662</t>
  </si>
  <si>
    <t>2,929.50 MXN</t>
  </si>
  <si>
    <t>A25506-8665</t>
  </si>
  <si>
    <t>SERGIO RAUL OLAN FLORES</t>
  </si>
  <si>
    <t>YULIANA RAMIREZ ALVARADO</t>
  </si>
  <si>
    <t>8,190.00 MXN</t>
  </si>
  <si>
    <t>MEXICO - TABASCO - HUIMANGUILLO</t>
  </si>
  <si>
    <t>A25506-3217</t>
  </si>
  <si>
    <t>SERGIO RODRIGUEZ RODRIGUEZ</t>
  </si>
  <si>
    <t>CIRILA HERNADEZ CHAVEZ</t>
  </si>
  <si>
    <t>4,766.40 MXN</t>
  </si>
  <si>
    <t>A25506-2940</t>
  </si>
  <si>
    <t>6,470.20 MXN</t>
  </si>
  <si>
    <t>A25506-6653</t>
  </si>
  <si>
    <t>A25506-8211</t>
  </si>
  <si>
    <t>6,066.00 MXN</t>
  </si>
  <si>
    <t>A25506-6760</t>
  </si>
  <si>
    <t>SERGIO SANTOYO TORNERO</t>
  </si>
  <si>
    <t>GRISELDA SANTOYO TORNERO</t>
  </si>
  <si>
    <t>3,828.50 MXN</t>
  </si>
  <si>
    <t>A25506-6691</t>
  </si>
  <si>
    <t>SILVERIO REYES SANTOS</t>
  </si>
  <si>
    <t>HERMINIA SANTOS MATILDE</t>
  </si>
  <si>
    <t>MEXICO - VERACRUZ - TANTOYUCA</t>
  </si>
  <si>
    <t>A25506-3329</t>
  </si>
  <si>
    <t>SILVIA DE LEON</t>
  </si>
  <si>
    <t>ELVIA AURORA TREVINO MENDOZA</t>
  </si>
  <si>
    <t>2,515.20 MXN</t>
  </si>
  <si>
    <t>A25506-1753</t>
  </si>
  <si>
    <t>A25506-6796</t>
  </si>
  <si>
    <t>A25506-7705</t>
  </si>
  <si>
    <t>5,015.00 MXN</t>
  </si>
  <si>
    <t>A25506-3467</t>
  </si>
  <si>
    <t>SILVIA ORTIZ PRIETO</t>
  </si>
  <si>
    <t>JULIETA PRIETO MOLINA</t>
  </si>
  <si>
    <t>1,915.00 MXN</t>
  </si>
  <si>
    <t>A25506-2659</t>
  </si>
  <si>
    <t>28,883.25 MXN</t>
  </si>
  <si>
    <t>A25506-2559</t>
  </si>
  <si>
    <t>MARIA DEL ROSARIO PARTIDA PRIETO</t>
  </si>
  <si>
    <t>5,289.60 MXN</t>
  </si>
  <si>
    <t>A25506-2421</t>
  </si>
  <si>
    <t>CLAUDIA JUDITH MARQUEZ BRIONES</t>
  </si>
  <si>
    <t>5,278.00 MXN</t>
  </si>
  <si>
    <t>CAJA OBLATOS</t>
  </si>
  <si>
    <t>MEXICO - NAYARIT - ROSA MORADA</t>
  </si>
  <si>
    <t>A25506-2420</t>
  </si>
  <si>
    <t>A25506-2419</t>
  </si>
  <si>
    <t>GABINA RAMIREZ TREJO</t>
  </si>
  <si>
    <t>MEXICO - HIDALGO - TASQUILLO</t>
  </si>
  <si>
    <t>A25506-2336</t>
  </si>
  <si>
    <t>17,622.00 MXN</t>
  </si>
  <si>
    <t>A25506-2280</t>
  </si>
  <si>
    <t>3,522.00 MXN</t>
  </si>
  <si>
    <t>A25506-2134</t>
  </si>
  <si>
    <t>12,638.00 MXN</t>
  </si>
  <si>
    <t>A25506-1857</t>
  </si>
  <si>
    <t>A25506-1852</t>
  </si>
  <si>
    <t>A25506-1846</t>
  </si>
  <si>
    <t>HAYDE LORA MARTINEZ</t>
  </si>
  <si>
    <t>A25506-1747</t>
  </si>
  <si>
    <t>7,912.00 MXN</t>
  </si>
  <si>
    <t>MEXICO - NAYARIT - NAYARIT</t>
  </si>
  <si>
    <t>A25506-1746</t>
  </si>
  <si>
    <t>544.00 USD</t>
  </si>
  <si>
    <t>10,009.60 MXN</t>
  </si>
  <si>
    <t>A25506-6861</t>
  </si>
  <si>
    <t>A25506-6665</t>
  </si>
  <si>
    <t>JUAN CARLOS CNTRERAS CERVANTES</t>
  </si>
  <si>
    <t>672.00 USD</t>
  </si>
  <si>
    <t>13,507.20 MXN</t>
  </si>
  <si>
    <t>A25506-2759</t>
  </si>
  <si>
    <t>SOCORRO CHAVEZ VALLE</t>
  </si>
  <si>
    <t>FRANCISCO JAVIER CHAVEZ VALLES</t>
  </si>
  <si>
    <t>A25506-1946</t>
  </si>
  <si>
    <t>TOMASA ANTONIA URRUTIA BELTRAN</t>
  </si>
  <si>
    <t>1,482.00 GTQ</t>
  </si>
  <si>
    <t>A25506-1751</t>
  </si>
  <si>
    <t>CARLOS SANTAY CHAVAC</t>
  </si>
  <si>
    <t>202.80 GTQ</t>
  </si>
  <si>
    <t>A25506-1750</t>
  </si>
  <si>
    <t>RAUL VASQUEZ FELIPE</t>
  </si>
  <si>
    <t>A25506-1749</t>
  </si>
  <si>
    <t>A25506-7466</t>
  </si>
  <si>
    <t>1,472.50 GTQ</t>
  </si>
  <si>
    <t>A25506-7884</t>
  </si>
  <si>
    <t>1,538.00 GTQ</t>
  </si>
  <si>
    <t>A25506-2489</t>
  </si>
  <si>
    <t>SUANY LIZETH LOPEZ CONTRERAS</t>
  </si>
  <si>
    <t>EDUIN RAUL ESTRADA LAGOS</t>
  </si>
  <si>
    <t>1,037.40 HNL</t>
  </si>
  <si>
    <t>A25506-2488</t>
  </si>
  <si>
    <t>12,103.00 HNL</t>
  </si>
  <si>
    <t>A25506-7536</t>
  </si>
  <si>
    <t>A25506-8763</t>
  </si>
  <si>
    <t>A25506-2530</t>
  </si>
  <si>
    <t>SULEYMA BETANCOURTH</t>
  </si>
  <si>
    <t>3,700.00 MXN</t>
  </si>
  <si>
    <t>A25506-2854</t>
  </si>
  <si>
    <t>SULMI BELEN LOPEZ VELAZQUEZ</t>
  </si>
  <si>
    <t>7,515.95 MXN</t>
  </si>
  <si>
    <t>A25506-2004</t>
  </si>
  <si>
    <t>4,517.50 MXN</t>
  </si>
  <si>
    <t>A25506-6645</t>
  </si>
  <si>
    <t>A25506-1632</t>
  </si>
  <si>
    <t>TADEO BARBOSA</t>
  </si>
  <si>
    <t>LAURA NATALLY RIVERA ALVARADO</t>
  </si>
  <si>
    <t>2,640.00 MXN</t>
  </si>
  <si>
    <t>A25506-3270</t>
  </si>
  <si>
    <t>TATIANA MIRANDA</t>
  </si>
  <si>
    <t>A25506-3344</t>
  </si>
  <si>
    <t>UBALDO ORDAZ GAUCIN</t>
  </si>
  <si>
    <t>JOSE MANUEL HERNANDEZ LUCIO</t>
  </si>
  <si>
    <t>11,078.00 MXN</t>
  </si>
  <si>
    <t>A25506-2858</t>
  </si>
  <si>
    <t>IMELDA LONGORIA ROMAN</t>
  </si>
  <si>
    <t>3,728.00 MXN</t>
  </si>
  <si>
    <t>A25506-3402</t>
  </si>
  <si>
    <t>ULISES RAMOS DE LA ROSA</t>
  </si>
  <si>
    <t>A25506-3401</t>
  </si>
  <si>
    <t>A25506-3400</t>
  </si>
  <si>
    <t>A25506-3312</t>
  </si>
  <si>
    <t>A25506-3198</t>
  </si>
  <si>
    <t>JESUS MANUEL RAMOS DE LA ROSA</t>
  </si>
  <si>
    <t>A25506-3123</t>
  </si>
  <si>
    <t>4,945.00 MXN</t>
  </si>
  <si>
    <t>A25506-2953</t>
  </si>
  <si>
    <t>A25506-2952</t>
  </si>
  <si>
    <t>MARIO RAMOS RODRIGUEZ</t>
  </si>
  <si>
    <t>A25506-2884</t>
  </si>
  <si>
    <t>3,824.00 MXN</t>
  </si>
  <si>
    <t>A25506-2883</t>
  </si>
  <si>
    <t>A25506-2786</t>
  </si>
  <si>
    <t>A25506-2785</t>
  </si>
  <si>
    <t>3,724.00 MXN</t>
  </si>
  <si>
    <t>A25506-2630</t>
  </si>
  <si>
    <t>A25506-2629</t>
  </si>
  <si>
    <t>A25506-2540</t>
  </si>
  <si>
    <t>A25506-2538</t>
  </si>
  <si>
    <t>A25506-2502</t>
  </si>
  <si>
    <t>A25506-2485</t>
  </si>
  <si>
    <t>A25506-2484</t>
  </si>
  <si>
    <t>A25506-2403</t>
  </si>
  <si>
    <t>A25506-2036</t>
  </si>
  <si>
    <t>A25506-1964</t>
  </si>
  <si>
    <t>6,398.00 MXN</t>
  </si>
  <si>
    <t>A25506-1901</t>
  </si>
  <si>
    <t>A25506-1844</t>
  </si>
  <si>
    <t>5,490.00 MXN</t>
  </si>
  <si>
    <t>A25506-1707</t>
  </si>
  <si>
    <t>A25506-1703</t>
  </si>
  <si>
    <t>A25506-1645</t>
  </si>
  <si>
    <t>A25506-1527</t>
  </si>
  <si>
    <t>A25506-1500</t>
  </si>
  <si>
    <t>5,007.00 MXN</t>
  </si>
  <si>
    <t>A25506-1499</t>
  </si>
  <si>
    <t>A25506-6843</t>
  </si>
  <si>
    <t>10,140.00 MXN</t>
  </si>
  <si>
    <t>A25506-6791</t>
  </si>
  <si>
    <t>A25506-7771</t>
  </si>
  <si>
    <t>A25506-7521</t>
  </si>
  <si>
    <t>FELIPE RAMOS ORTIZ</t>
  </si>
  <si>
    <t>A25506-8672</t>
  </si>
  <si>
    <t>A25506-8317</t>
  </si>
  <si>
    <t>A25506-7882</t>
  </si>
  <si>
    <t>9,945.00 MXN</t>
  </si>
  <si>
    <t>A25506-2738</t>
  </si>
  <si>
    <t>VALENTIN RAMIREZ GARCIA</t>
  </si>
  <si>
    <t>MAURA GARCIA RUBIO</t>
  </si>
  <si>
    <t>37,260.00 MXN</t>
  </si>
  <si>
    <t>MEXICO - HIDALGO - PROGRESO DE OBREGON</t>
  </si>
  <si>
    <t>A25506-2103</t>
  </si>
  <si>
    <t>J ASCENSION RAMIREZ GONZALEZ</t>
  </si>
  <si>
    <t>A25506-6891</t>
  </si>
  <si>
    <t>CECILIA GARCIA RESENDIZ</t>
  </si>
  <si>
    <t>A25506-7467</t>
  </si>
  <si>
    <t>VERONICA GUTIERREZ RAYGOZA</t>
  </si>
  <si>
    <t>ROCIO AGUIRRE GONZALEZ</t>
  </si>
  <si>
    <t>5,771.00 MXN</t>
  </si>
  <si>
    <t>MEXICO - JALISCO - ZAPOTLANEJO</t>
  </si>
  <si>
    <t>A25506-7902</t>
  </si>
  <si>
    <t>A25506-1687</t>
  </si>
  <si>
    <t>VERONICA RAMIREZ CHAIRES</t>
  </si>
  <si>
    <t>MA GABRIELA RAMIREZ CHAIREZ</t>
  </si>
  <si>
    <t>A25506-2676</t>
  </si>
  <si>
    <t>VICENTE GARCIA HERNANDEZ</t>
  </si>
  <si>
    <t>EDILIA HERNANDEZ CRUZ</t>
  </si>
  <si>
    <t>321.00 USD</t>
  </si>
  <si>
    <t>6,002.70 MXN</t>
  </si>
  <si>
    <t>A25506-2534</t>
  </si>
  <si>
    <t>46,000.00 MXN</t>
  </si>
  <si>
    <t>A25506-7838</t>
  </si>
  <si>
    <t>GABRIELA GARCIA HERNANDEZ</t>
  </si>
  <si>
    <t>MEXICO - NUEVO LEON - GARCIA</t>
  </si>
  <si>
    <t>A25506-7535</t>
  </si>
  <si>
    <t>1,208.40 MXN</t>
  </si>
  <si>
    <t>A25506-8756</t>
  </si>
  <si>
    <t>6,054.30 MXN</t>
  </si>
  <si>
    <t>A25506-8755</t>
  </si>
  <si>
    <t>A25506-2406</t>
  </si>
  <si>
    <t>VICENTE MOLINA HERNANDEZ</t>
  </si>
  <si>
    <t>TANIA LUCERO GOMEZ REYES</t>
  </si>
  <si>
    <t>A25506-2087</t>
  </si>
  <si>
    <t>A25506-1997</t>
  </si>
  <si>
    <t>JESUS DELGADO MARTINEZ</t>
  </si>
  <si>
    <t>A25506-1996</t>
  </si>
  <si>
    <t>5,433.00 MXN</t>
  </si>
  <si>
    <t>A25506-1879</t>
  </si>
  <si>
    <t>7,240.00 MXN</t>
  </si>
  <si>
    <t>A25506-1692</t>
  </si>
  <si>
    <t>4,013.76 MXN</t>
  </si>
  <si>
    <t>A25506-1459</t>
  </si>
  <si>
    <t>28,050.00 MXN</t>
  </si>
  <si>
    <t>A25506-1430</t>
  </si>
  <si>
    <t>A25506-6910</t>
  </si>
  <si>
    <t>22,275.00 MXN</t>
  </si>
  <si>
    <t>A25506-6685</t>
  </si>
  <si>
    <t>20,037.60 MXN</t>
  </si>
  <si>
    <t>A25506-8792</t>
  </si>
  <si>
    <t>411.00 USD</t>
  </si>
  <si>
    <t>8,014.50 MXN</t>
  </si>
  <si>
    <t>A25506-8759</t>
  </si>
  <si>
    <t>1,544.00 USD</t>
  </si>
  <si>
    <t>29,999.92 MXN</t>
  </si>
  <si>
    <t>A25506-8232</t>
  </si>
  <si>
    <t>VICTOR ADRIAN CARDOZO RAMOS</t>
  </si>
  <si>
    <t>CLAUDIA BERENICE PENA TIERRABLANCA</t>
  </si>
  <si>
    <t>A25506-8690</t>
  </si>
  <si>
    <t>VICTOR ALONSO HERNANDEZ OLVERA</t>
  </si>
  <si>
    <t>ANA GABRIELA SALAZAR MALAGON</t>
  </si>
  <si>
    <t>7,760.00 MXN</t>
  </si>
  <si>
    <t>A25506-6723</t>
  </si>
  <si>
    <t>VICTOR MANUEL AJQUI BALUX</t>
  </si>
  <si>
    <t>CATARINA BALUX IXQUIER</t>
  </si>
  <si>
    <t>11,550.00 GTQ</t>
  </si>
  <si>
    <t>GUATEMALA - SOLOLA - SANTA CATARINA IXTAHUACAN</t>
  </si>
  <si>
    <t>A25506-1782</t>
  </si>
  <si>
    <t>VICTOR MANUEL CASTILLO MENDOZA</t>
  </si>
  <si>
    <t>VIVIANA MARTINEZ CASTILLO</t>
  </si>
  <si>
    <t>A25506-7515</t>
  </si>
  <si>
    <t>VICTOR MANUEL MARTINEZ MENDEZ</t>
  </si>
  <si>
    <t>13,800.00 MXN</t>
  </si>
  <si>
    <t>A25506-3177</t>
  </si>
  <si>
    <t>VICTOR MANUEL MEJIA ORELLANA</t>
  </si>
  <si>
    <t>9,705.92 HNL</t>
  </si>
  <si>
    <t>A25506-3007</t>
  </si>
  <si>
    <t>OSCAR ARMANDO NATAREN SEVILLA</t>
  </si>
  <si>
    <t>HONDURAS - ATLANTIDA - LA MASICA</t>
  </si>
  <si>
    <t>A25506-3003</t>
  </si>
  <si>
    <t>ROSARIO ORELLANA RAPALO</t>
  </si>
  <si>
    <t>2,277.92 HNL</t>
  </si>
  <si>
    <t>A25506-3002</t>
  </si>
  <si>
    <t>A25506-2402</t>
  </si>
  <si>
    <t>3,265.68 HNL</t>
  </si>
  <si>
    <t>A25506-1958</t>
  </si>
  <si>
    <t>CINTHYA LIZBETH DOMINGUEZ GONZALEZ</t>
  </si>
  <si>
    <t>A25506-1956</t>
  </si>
  <si>
    <t>14,573.00 HNL</t>
  </si>
  <si>
    <t>A25506-2800</t>
  </si>
  <si>
    <t>VICTOR MANUEL REYES GARCIA</t>
  </si>
  <si>
    <t>RITA MARIA REYES PEREZ</t>
  </si>
  <si>
    <t>15,548.40 MXN</t>
  </si>
  <si>
    <t>A25506-2767</t>
  </si>
  <si>
    <t>KARLA MARIA NUNEZ REYES</t>
  </si>
  <si>
    <t>887.00 USD</t>
  </si>
  <si>
    <t>16,418.37 MXN</t>
  </si>
  <si>
    <t>A25506-2766</t>
  </si>
  <si>
    <t>A25506-2572</t>
  </si>
  <si>
    <t>18,950.00 MXN</t>
  </si>
  <si>
    <t>A25506-2246</t>
  </si>
  <si>
    <t>A25506-1657</t>
  </si>
  <si>
    <t>A25506-3216</t>
  </si>
  <si>
    <t>VICTOR MANUEL TORRES BRIONES</t>
  </si>
  <si>
    <t>16,796.00 MXN</t>
  </si>
  <si>
    <t>A25506-3044</t>
  </si>
  <si>
    <t>16,583.50 MXN</t>
  </si>
  <si>
    <t>A25506-2817</t>
  </si>
  <si>
    <t>433.00 USD</t>
  </si>
  <si>
    <t>8,010.50 MXN</t>
  </si>
  <si>
    <t>A25506-2816</t>
  </si>
  <si>
    <t>A25506-2514</t>
  </si>
  <si>
    <t>16,389.00 MXN</t>
  </si>
  <si>
    <t>A25506-2510</t>
  </si>
  <si>
    <t>ALMA GABRIELA MUNOZ MARTINEZ</t>
  </si>
  <si>
    <t>1,825.00 MXN</t>
  </si>
  <si>
    <t>A25506-2509</t>
  </si>
  <si>
    <t>16,425.00 MXN</t>
  </si>
  <si>
    <t>A25506-2090</t>
  </si>
  <si>
    <t>10,710.00 MXN</t>
  </si>
  <si>
    <t>A25506-2003</t>
  </si>
  <si>
    <t>2,710.50 MXN</t>
  </si>
  <si>
    <t>A25506-2000</t>
  </si>
  <si>
    <t>A25506-1911</t>
  </si>
  <si>
    <t>A25506-1770</t>
  </si>
  <si>
    <t>A25506-1607</t>
  </si>
  <si>
    <t>A25506-7423</t>
  </si>
  <si>
    <t>ROLANDO RUIZ FLORES</t>
  </si>
  <si>
    <t>7,848.00 MXN</t>
  </si>
  <si>
    <t>A25506-2444</t>
  </si>
  <si>
    <t>VICTOR MIGUEL DIAZ GARCIA</t>
  </si>
  <si>
    <t>CONSUELO GARCIA JAQUEZ</t>
  </si>
  <si>
    <t>MEXICO - DURANGO - CUENCAME</t>
  </si>
  <si>
    <t>A25506-7817</t>
  </si>
  <si>
    <t>VICTOR OROZCO RAMIREZ</t>
  </si>
  <si>
    <t>YANEYRY YEDID MELO SOVERANES</t>
  </si>
  <si>
    <t>10,251.00 MXN</t>
  </si>
  <si>
    <t>CAJA POPULAR LAS HUASTECAS</t>
  </si>
  <si>
    <t>A25506-7750</t>
  </si>
  <si>
    <t>NORMA DELI JUAREZ OROZCO</t>
  </si>
  <si>
    <t>40,220.00 MXN</t>
  </si>
  <si>
    <t>MEXICO - GUANAJUATO - XICHU</t>
  </si>
  <si>
    <t>A25506-7429</t>
  </si>
  <si>
    <t>ALFREDO JOSIMAR LOPEZ GARAY</t>
  </si>
  <si>
    <t>A25506-7428</t>
  </si>
  <si>
    <t>A25506-7901</t>
  </si>
  <si>
    <t>ORALIA SANCHEZ MOTA</t>
  </si>
  <si>
    <t>15,808.00 MXN</t>
  </si>
  <si>
    <t>A25506-3143</t>
  </si>
  <si>
    <t>VICTOR QUINTANILLA VASQUEZ</t>
  </si>
  <si>
    <t>MARIA DILCIA VASQUEZ CRUZ</t>
  </si>
  <si>
    <t>1,821.00 USD</t>
  </si>
  <si>
    <t>45,015.12 HNL</t>
  </si>
  <si>
    <t>A25506-3105</t>
  </si>
  <si>
    <t>A25506-2779</t>
  </si>
  <si>
    <t>A25506-2684</t>
  </si>
  <si>
    <t>12,005.00 HNL</t>
  </si>
  <si>
    <t>A25506-2575</t>
  </si>
  <si>
    <t>A25506-2255</t>
  </si>
  <si>
    <t>2,025.00 USD</t>
  </si>
  <si>
    <t>50,098.50 HNL</t>
  </si>
  <si>
    <t>A25506-2194</t>
  </si>
  <si>
    <t>A25506-2055</t>
  </si>
  <si>
    <t>606.06 USD</t>
  </si>
  <si>
    <t>14,999.99 HNL</t>
  </si>
  <si>
    <t>A25506-1859</t>
  </si>
  <si>
    <t>1,225.00 USD</t>
  </si>
  <si>
    <t>30,073.75 HNL</t>
  </si>
  <si>
    <t>A25506-1496</t>
  </si>
  <si>
    <t>A25506-6654</t>
  </si>
  <si>
    <t>1,373.00 USD</t>
  </si>
  <si>
    <t>35,011.50 HNL</t>
  </si>
  <si>
    <t>A25506-7730</t>
  </si>
  <si>
    <t>1,171.00 USD</t>
  </si>
  <si>
    <t>30,001.02 HNL</t>
  </si>
  <si>
    <t>A25506-1590</t>
  </si>
  <si>
    <t>WAGNER OSVELY TUBAC AVILA</t>
  </si>
  <si>
    <t>ROSA LINDA PORRAS BATZ</t>
  </si>
  <si>
    <t>A25506-6733</t>
  </si>
  <si>
    <t>WALTER DIEGO GUARCHAJ TUM</t>
  </si>
  <si>
    <t>ISABEL SUY PERECHU</t>
  </si>
  <si>
    <t>A25506-3137</t>
  </si>
  <si>
    <t>WALTER OCTAVIO VAZQUEZ ESCOBAR</t>
  </si>
  <si>
    <t>REYNA ESCOBAR HERNANDEZ</t>
  </si>
  <si>
    <t>GUATEMALA - ZACAPA - ZACAPA</t>
  </si>
  <si>
    <t>A25506-7530</t>
  </si>
  <si>
    <t>WALTER ROMEO TUPUL PEREZ</t>
  </si>
  <si>
    <t>DELMY ISIDORA ZELAYA FUENTES</t>
  </si>
  <si>
    <t>10,039.12 HNL</t>
  </si>
  <si>
    <t>HONDURAS - OLANCHO - GUALACO</t>
  </si>
  <si>
    <t>A25506-3122</t>
  </si>
  <si>
    <t>WENDY REYNA OLAYO</t>
  </si>
  <si>
    <t>WIDNY ANTONIA REYNA OLAYO</t>
  </si>
  <si>
    <t>1,612.80 GTQ</t>
  </si>
  <si>
    <t>GUATEMALA - SACATEPEQUEZ - ANTIGUA GUATEMALA</t>
  </si>
  <si>
    <t>A25506-8731</t>
  </si>
  <si>
    <t>WESLEY ALBERTINO ANGEL PEREZ</t>
  </si>
  <si>
    <t>MIRIAM DORCAS PEREZ GOMEZ</t>
  </si>
  <si>
    <t>3,850.00 GTQ</t>
  </si>
  <si>
    <t>A25506-8346</t>
  </si>
  <si>
    <t>4,638.00 GTQ</t>
  </si>
  <si>
    <t>A25506-8223</t>
  </si>
  <si>
    <t>WILBER GUSTAVO CHAVARRIA</t>
  </si>
  <si>
    <t>SONIA ELIZABETH SANCHEZ MARQUEZ</t>
  </si>
  <si>
    <t>EL SALVADOR - MORAZAN - PERQUIN</t>
  </si>
  <si>
    <t>A25506-8327</t>
  </si>
  <si>
    <t>PATRICIA MARIELA PINEDA MELENDEZ</t>
  </si>
  <si>
    <t>22.00 USD</t>
  </si>
  <si>
    <t>565.40 HNL</t>
  </si>
  <si>
    <t>HONDURAS - YORO - EL NEGRITO</t>
  </si>
  <si>
    <t>A25506-2866</t>
  </si>
  <si>
    <t>WILFREDO LOPEZ QUINTANILLA</t>
  </si>
  <si>
    <t>SANTOS DE JESUS MARTINEZ DE ESTRADA</t>
  </si>
  <si>
    <t>A25506-2643</t>
  </si>
  <si>
    <t>CARMEN MABEL ARGUETA GUEVARA</t>
  </si>
  <si>
    <t>A25506-2642</t>
  </si>
  <si>
    <t>SANTOS DE JESUS MARTINEZ ESTRADA</t>
  </si>
  <si>
    <t>A25506-2200</t>
  </si>
  <si>
    <t>JUANA MARTINEZ REYES</t>
  </si>
  <si>
    <t>837.00 MXN</t>
  </si>
  <si>
    <t>A25506-6853</t>
  </si>
  <si>
    <t>WILIAM MARTINEZ HERNANDEZ</t>
  </si>
  <si>
    <t>ANA GLADIS PEREZ DIAZ</t>
  </si>
  <si>
    <t>17,794.00 HNL</t>
  </si>
  <si>
    <t>A25506-7761</t>
  </si>
  <si>
    <t>20,448.00 HNL</t>
  </si>
  <si>
    <t>A25506-7403</t>
  </si>
  <si>
    <t>23,004.00 HNL</t>
  </si>
  <si>
    <t>A25506-8744</t>
  </si>
  <si>
    <t>15,372.00 HNL</t>
  </si>
  <si>
    <t>A25506-8284</t>
  </si>
  <si>
    <t>21,505.00 HNL</t>
  </si>
  <si>
    <t>A25506-2058</t>
  </si>
  <si>
    <t>WILLIAM RAFAEL MENDOZA CASTRO</t>
  </si>
  <si>
    <t>HANNSEL JULISSA DIAZ BUSTILLO</t>
  </si>
  <si>
    <t>4,912.00 HNL</t>
  </si>
  <si>
    <t>A25506-2289</t>
  </si>
  <si>
    <t>XIOMARA LORENA BILLELA BALLECILLO</t>
  </si>
  <si>
    <t>FANY PAOLA HENRIQUEZ</t>
  </si>
  <si>
    <t>A25506-1913</t>
  </si>
  <si>
    <t>ALBA LORENA SABALETA GONZALEZ</t>
  </si>
  <si>
    <t>A25506-1586</t>
  </si>
  <si>
    <t>5,355.00 GTQ</t>
  </si>
  <si>
    <t>A25506-8238</t>
  </si>
  <si>
    <t>1,071.00 GTQ</t>
  </si>
  <si>
    <t>A25506-6774</t>
  </si>
  <si>
    <t>XIOMARA YAMILETH GONZALEZ GUERRERO</t>
  </si>
  <si>
    <t>SONIA RAQUEL RIVAS GALVEZ</t>
  </si>
  <si>
    <t>EL SALVADOR - LA PAZ - SAN LUIS LA HERRADURA</t>
  </si>
  <si>
    <t>A25506-6769</t>
  </si>
  <si>
    <t>A25506-8307</t>
  </si>
  <si>
    <t>A25506-1835</t>
  </si>
  <si>
    <t>YAMILECT DEL SOCORRO CONTRERA VARELA</t>
  </si>
  <si>
    <t>LILIETH DEL SOCORRO RIVERA CONTRERA</t>
  </si>
  <si>
    <t>A25506-7825</t>
  </si>
  <si>
    <t>5,892.60 HNL</t>
  </si>
  <si>
    <t>A25506-7474</t>
  </si>
  <si>
    <t>MARCOS TULIO SANCHEZ VELASQUEZ</t>
  </si>
  <si>
    <t>A25506-7473</t>
  </si>
  <si>
    <t>10,248.00 HNL</t>
  </si>
  <si>
    <t>A25506-7410</t>
  </si>
  <si>
    <t>A25506-8764</t>
  </si>
  <si>
    <t>2,420.50 HNL</t>
  </si>
  <si>
    <t>A25506-8316</t>
  </si>
  <si>
    <t>6,425.00 HNL</t>
  </si>
  <si>
    <t>A25506-2075</t>
  </si>
  <si>
    <t>YASMIN OTONIEL MALDONADO PRADO</t>
  </si>
  <si>
    <t>NORMA ELIZABET TEJADA</t>
  </si>
  <si>
    <t>36,900.00 HNL</t>
  </si>
  <si>
    <t>A25506-3303</t>
  </si>
  <si>
    <t>YESSENIA CAROLINA MEDINA</t>
  </si>
  <si>
    <t>HELLEN PATRICIA LOPEZ SOTO</t>
  </si>
  <si>
    <t>23,103.85 HNL</t>
  </si>
  <si>
    <t>A25506-3009</t>
  </si>
  <si>
    <t>A25506-2855</t>
  </si>
  <si>
    <t>SARAHI RODRIGUEZ EUCEDA</t>
  </si>
  <si>
    <t>9,656.40 HNL</t>
  </si>
  <si>
    <t>A25506-2794</t>
  </si>
  <si>
    <t>ROSAURA ISABEL LEMUS VASQUEZ</t>
  </si>
  <si>
    <t>HONDURAS - CORTES - LA LIMA</t>
  </si>
  <si>
    <t>A25506-2793</t>
  </si>
  <si>
    <t>A25506-2313</t>
  </si>
  <si>
    <t>6,234.48 HNL</t>
  </si>
  <si>
    <t>A25506-1681</t>
  </si>
  <si>
    <t>LUIS ALBERTO MEDINA EUCEDA</t>
  </si>
  <si>
    <t>3,259.08 HNL</t>
  </si>
  <si>
    <t>A25506-1916</t>
  </si>
  <si>
    <t>YESSICA MELIDA URBINA ESPINAL</t>
  </si>
  <si>
    <t>ESDRAS GERARDO SOSA URBINA</t>
  </si>
  <si>
    <t>2,275.16 HNL</t>
  </si>
  <si>
    <t>A25506-1738</t>
  </si>
  <si>
    <t>2,271.48 HNL</t>
  </si>
  <si>
    <t>A25506-1635</t>
  </si>
  <si>
    <t>A25506-2619</t>
  </si>
  <si>
    <t>YIMI GARCIA RAMIREZ</t>
  </si>
  <si>
    <t>MIREYA MARTINEZ MARTINEZ</t>
  </si>
  <si>
    <t>17,073.00 MXN</t>
  </si>
  <si>
    <t>A25506-2593</t>
  </si>
  <si>
    <t>A25506-3266</t>
  </si>
  <si>
    <t>YISEEL YOLANDA VELASQUEZ NUNEZ</t>
  </si>
  <si>
    <t>DILCIA KARINA VELASQUEZ NUNEZ</t>
  </si>
  <si>
    <t>A25506-6773</t>
  </si>
  <si>
    <t>YOBELKA VICTORIA MORAN OBREGON</t>
  </si>
  <si>
    <t>CARMENSA DEL SOCORRO CARDOZA ORBEGON</t>
  </si>
  <si>
    <t>A25506-3452</t>
  </si>
  <si>
    <t>YOLANDA MARTINEZ ACOSTA</t>
  </si>
  <si>
    <t>HILDA MARTINEZ REYES</t>
  </si>
  <si>
    <t>4,399.90 MXN</t>
  </si>
  <si>
    <t>A25506-2232</t>
  </si>
  <si>
    <t>3,344.00 MXN</t>
  </si>
  <si>
    <t>A25506-7854</t>
  </si>
  <si>
    <t>EPIFANIA ACOSTA MENDOZA</t>
  </si>
  <si>
    <t>5,863.80 MXN</t>
  </si>
  <si>
    <t>A25506-3092</t>
  </si>
  <si>
    <t>YOLANDA QUIROZ BALLESTEROS</t>
  </si>
  <si>
    <t>MARTHA LILIA QUIROZ BALLESTEROS</t>
  </si>
  <si>
    <t>MEXICO - HIDALGO - TEPEJI DEL RIO</t>
  </si>
  <si>
    <t>A25506-7413</t>
  </si>
  <si>
    <t>YOLANDA VASQUEZ VALERIO</t>
  </si>
  <si>
    <t>ANA LUCIANO CRUZ</t>
  </si>
  <si>
    <t>MEXICO - GUERRERO - TLAPEHUALA</t>
  </si>
  <si>
    <t>A25506-7874</t>
  </si>
  <si>
    <t>A25506-7856</t>
  </si>
  <si>
    <t>NARDELIA RENTERIA LUCIANO</t>
  </si>
  <si>
    <t>1,011.50 MXN</t>
  </si>
  <si>
    <t>A25506-3366</t>
  </si>
  <si>
    <t>YSAURO REYES REYNA</t>
  </si>
  <si>
    <t>1,045.00 USD</t>
  </si>
  <si>
    <t>20,043.10 MXN</t>
  </si>
  <si>
    <t>A25506-3220</t>
  </si>
  <si>
    <t>A25506-3084</t>
  </si>
  <si>
    <t>A25506-8667</t>
  </si>
  <si>
    <t>YUDI MAGNOLIA ROMAN SANCHEZ</t>
  </si>
  <si>
    <t>MA DE LOS ANGELES ALMARAZ AGUERO</t>
  </si>
  <si>
    <t>12,108.60 MXN</t>
  </si>
  <si>
    <t>MEXICO - CHIHUAHUA - CAMARGO</t>
  </si>
  <si>
    <t>A25506-8666</t>
  </si>
  <si>
    <t>MARICELA ROMAN SANCHEZ</t>
  </si>
  <si>
    <t>A25506-6888</t>
  </si>
  <si>
    <t>YULIANA ORTIZ CHAVEZ</t>
  </si>
  <si>
    <t>MARIA GUADALUPE ZUNO ZAMBRANO</t>
  </si>
  <si>
    <t>603.00 MXN</t>
  </si>
  <si>
    <t>A25506-7853</t>
  </si>
  <si>
    <t>MA MERCEDES RODRIGUEZ GUTIERREZ</t>
  </si>
  <si>
    <t>BABIEN - BANCO DEL BIENESTAR (ANTES BANSEFI)</t>
  </si>
  <si>
    <t>A25506-3145</t>
  </si>
  <si>
    <t>ZACARIAS CASTELLANOS DIAZ</t>
  </si>
  <si>
    <t>15,103.60 HNL</t>
  </si>
  <si>
    <t>A25506-3144</t>
  </si>
  <si>
    <t>A25506-2900</t>
  </si>
  <si>
    <t>BRENDA YAMILETH CASTELLANOS AGUILAS</t>
  </si>
  <si>
    <t>A25506-2581</t>
  </si>
  <si>
    <t>A25506-2394</t>
  </si>
  <si>
    <t>24,740.00 HNL</t>
  </si>
  <si>
    <t>A25506-2230</t>
  </si>
  <si>
    <t>A25506-2025</t>
  </si>
  <si>
    <t>MARIA ERIS LOPEZ SANTOS</t>
  </si>
  <si>
    <t>4,742.40 HNL</t>
  </si>
  <si>
    <t>A25506-6629</t>
  </si>
  <si>
    <t>15,252.00 HNL</t>
  </si>
  <si>
    <t>A25506-8282</t>
  </si>
  <si>
    <t>ZENAIDO HERNANDEZ CRUZ</t>
  </si>
  <si>
    <t xml:space="preserve">CLIENTE </t>
  </si>
  <si>
    <t xml:space="preserve">TELEFONO </t>
  </si>
  <si>
    <t xml:space="preserve">VIN </t>
  </si>
  <si>
    <t>TIPO DE TRAMITE</t>
  </si>
  <si>
    <t>FECHA ENTREGA</t>
  </si>
  <si>
    <t xml:space="preserve">ABONO </t>
  </si>
  <si>
    <t xml:space="preserve">DEBE </t>
  </si>
  <si>
    <t xml:space="preserve">RUDY </t>
  </si>
  <si>
    <t xml:space="preserve">ADRIAN ALFONSO PULGAR PICO </t>
  </si>
  <si>
    <t>SALVAGE TITULO PLACAS Y STCK</t>
  </si>
  <si>
    <t xml:space="preserve">MARTIN SUAREZ </t>
  </si>
  <si>
    <t>PLACAS Y TITULO</t>
  </si>
  <si>
    <t>LAURA SALDANA RUSSEL</t>
  </si>
  <si>
    <t xml:space="preserve">juan roberto ortiz </t>
  </si>
  <si>
    <t>FERNANDO EZEQUIEL LUCIO</t>
  </si>
  <si>
    <t>jose guadalupe guerrero gonzales</t>
  </si>
  <si>
    <t>placas y titulo</t>
  </si>
  <si>
    <t xml:space="preserve">gamez </t>
  </si>
  <si>
    <t>kenet molina  tramite florida</t>
  </si>
  <si>
    <t>C30283</t>
  </si>
  <si>
    <t>francisco lopez</t>
  </si>
  <si>
    <t>titulo perdido</t>
  </si>
  <si>
    <t>jeremias xocol</t>
  </si>
  <si>
    <t>sticker</t>
  </si>
  <si>
    <t>marco yonier velazquez</t>
  </si>
  <si>
    <t xml:space="preserve">fernando contreras montero </t>
  </si>
  <si>
    <t xml:space="preserve">alberto  garcia </t>
  </si>
  <si>
    <t>MARCIO VELAZQUEZ</t>
  </si>
  <si>
    <t>placas y titulo Y LA INSPECCION</t>
  </si>
  <si>
    <t>tomas mandujano hernandez</t>
  </si>
  <si>
    <t>José Ricardo Vilchez Ocom</t>
  </si>
  <si>
    <t>Suly's Schedule</t>
  </si>
  <si>
    <t>WEEK:</t>
  </si>
  <si>
    <t>START TIME:</t>
  </si>
  <si>
    <t>TIME</t>
  </si>
  <si>
    <t>MON</t>
  </si>
  <si>
    <t>TUE</t>
  </si>
  <si>
    <t>WED</t>
  </si>
  <si>
    <t>THU</t>
  </si>
  <si>
    <t>FRI</t>
  </si>
  <si>
    <t>SAT</t>
  </si>
  <si>
    <t>SUN</t>
  </si>
  <si>
    <t>HOURS</t>
  </si>
  <si>
    <t>caro</t>
  </si>
  <si>
    <t>mary</t>
  </si>
  <si>
    <t>mari</t>
  </si>
  <si>
    <t xml:space="preserve">NOMBRE </t>
  </si>
  <si>
    <t>usuario</t>
  </si>
  <si>
    <t>CONTRASENA</t>
  </si>
  <si>
    <t xml:space="preserve">adt </t>
  </si>
  <si>
    <t>salondeeventos</t>
  </si>
  <si>
    <t>Adrian7004@@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</si>
</sst>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/d/yyyy"/>
    <numFmt numFmtId="165" formatCode="&quot;$&quot;#,##0.00"/>
    <numFmt numFmtId="166" formatCode="&quot;$&quot;#,##0"/>
    <numFmt numFmtId="167" formatCode="_(&quot;$&quot;* #,##0.00_);_(&quot;$&quot;* \(#,##0.00\);_(&quot;$&quot;* &quot;-&quot;??_);_(@_)"/>
    <numFmt numFmtId="168" formatCode="mm/dd"/>
    <numFmt numFmtId="169" formatCode="000-000-0000"/>
    <numFmt numFmtId="170" formatCode="m/d/yyyy"/>
    <numFmt numFmtId="171" formatCode="mm/dd/yyyy"/>
    <numFmt numFmtId="172" formatCode="mm/dd/yy"/>
    <numFmt numFmtId="173" formatCode="mm/dd/yyyy h:mm:ss"/>
    <numFmt numFmtId="174" formatCode="h:mm am/pm"/>
  </numFmts>
  <fonts count="81">
    <font>
      <sz val="10.0"/>
      <color rgb="FF000000"/>
      <name val="Georgia"/>
      <scheme val="minor"/>
    </font>
    <font>
      <b/>
      <sz val="20.0"/>
      <color rgb="FF000000"/>
      <name val="Calibri"/>
    </font>
    <font>
      <b/>
      <sz val="24.0"/>
      <color rgb="FF000000"/>
      <name val="Calibri"/>
    </font>
    <font>
      <b/>
      <sz val="18.0"/>
      <color rgb="FF000000"/>
      <name val="Calibri"/>
    </font>
    <font>
      <b/>
      <sz val="22.0"/>
      <color rgb="FF000000"/>
      <name val="Calibri"/>
    </font>
    <font>
      <sz val="11.0"/>
      <color rgb="FF000000"/>
      <name val="Calibri"/>
    </font>
    <font>
      <sz val="18.0"/>
      <color rgb="FF000000"/>
      <name val="Calibri"/>
    </font>
    <font>
      <b/>
      <sz val="18.0"/>
      <color rgb="FFFF0000"/>
      <name val="Calibri"/>
    </font>
    <font>
      <b/>
      <sz val="18.0"/>
      <color rgb="FFFF00FF"/>
      <name val="Calibri"/>
    </font>
    <font>
      <sz val="14.0"/>
      <color rgb="FF000000"/>
      <name val="Calibri"/>
    </font>
    <font>
      <b/>
      <sz val="16.0"/>
      <color theme="1"/>
      <name val="Calibri"/>
    </font>
    <font>
      <sz val="65.0"/>
      <color rgb="FF000000"/>
      <name val="Calibri"/>
    </font>
    <font>
      <sz val="6.0"/>
      <color theme="1"/>
      <name val="Georgia"/>
      <scheme val="minor"/>
    </font>
    <font>
      <color theme="1"/>
      <name val="Georgia"/>
      <scheme val="minor"/>
    </font>
    <font>
      <b/>
      <sz val="11.0"/>
      <color rgb="FF000000"/>
      <name val="Calibri"/>
    </font>
    <font>
      <sz val="22.0"/>
      <color rgb="FF000000"/>
      <name val="Calibri"/>
    </font>
    <font>
      <b/>
      <sz val="14.0"/>
      <color rgb="FF000000"/>
      <name val="Calibri"/>
    </font>
    <font>
      <b/>
      <sz val="16.0"/>
      <color rgb="FF000000"/>
      <name val="Calibri"/>
    </font>
    <font>
      <sz val="11.0"/>
      <color theme="1"/>
      <name val="Calibri"/>
    </font>
    <font>
      <sz val="21.0"/>
      <color theme="1"/>
      <name val="Georgia"/>
      <scheme val="minor"/>
    </font>
    <font>
      <b/>
      <sz val="16.0"/>
      <color theme="1"/>
      <name val="Georgia"/>
      <scheme val="minor"/>
    </font>
    <font>
      <b/>
      <sz val="24.0"/>
      <color theme="0"/>
      <name val="Arial"/>
    </font>
    <font/>
    <font>
      <sz val="36.0"/>
      <color theme="1"/>
      <name val="Georgia"/>
      <scheme val="minor"/>
    </font>
    <font>
      <b/>
      <sz val="21.0"/>
      <color theme="1"/>
      <name val="Georgia"/>
      <scheme val="minor"/>
    </font>
    <font>
      <b/>
      <sz val="23.0"/>
      <color theme="1"/>
      <name val="Verdana"/>
    </font>
    <font>
      <b/>
      <sz val="15.0"/>
      <color theme="1"/>
      <name val="Verdana"/>
    </font>
    <font>
      <b/>
      <sz val="24.0"/>
      <color theme="1"/>
      <name val="Verdana"/>
    </font>
    <font>
      <b/>
      <sz val="18.0"/>
      <color theme="1"/>
      <name val="Verdana"/>
    </font>
    <font>
      <color theme="1"/>
      <name val="Arial"/>
    </font>
    <font>
      <color rgb="FF000000"/>
      <name val="Arial"/>
    </font>
    <font>
      <sz val="16.0"/>
      <color theme="1"/>
      <name val="Verdana"/>
    </font>
    <font>
      <sz val="15.0"/>
      <color theme="1"/>
      <name val="Verdana"/>
    </font>
    <font>
      <sz val="22.0"/>
      <color theme="1"/>
      <name val="Arial"/>
    </font>
    <font>
      <sz val="24.0"/>
      <color theme="1"/>
      <name val="Verdana"/>
    </font>
    <font>
      <sz val="18.0"/>
      <color theme="1"/>
      <name val="Verdana"/>
    </font>
    <font>
      <sz val="23.0"/>
      <color theme="1"/>
      <name val="Verdana"/>
    </font>
    <font>
      <b/>
      <sz val="18.0"/>
      <color theme="1"/>
      <name val="Arial"/>
    </font>
    <font>
      <b/>
      <sz val="12.0"/>
      <color theme="1"/>
      <name val="Verdana"/>
    </font>
    <font>
      <sz val="15.0"/>
      <color rgb="FF000000"/>
      <name val="Verdana"/>
    </font>
    <font>
      <color rgb="FFE0F7FA"/>
      <name val="Arial"/>
    </font>
    <font>
      <b/>
      <sz val="15.0"/>
      <color rgb="FF1A3438"/>
      <name val="Verdana"/>
    </font>
    <font>
      <b/>
      <sz val="21.0"/>
      <color theme="1"/>
      <name val="Verdana"/>
    </font>
    <font>
      <b/>
      <sz val="16.0"/>
      <color theme="1"/>
      <name val="Verdana"/>
    </font>
    <font>
      <color rgb="FFFEECF2"/>
      <name val="Arial"/>
    </font>
    <font>
      <sz val="18.0"/>
      <color theme="1"/>
      <name val="Arial"/>
    </font>
    <font>
      <sz val="17.0"/>
      <color theme="1"/>
      <name val="Verdana"/>
    </font>
    <font>
      <sz val="24.0"/>
      <color theme="1"/>
      <name val="Arial"/>
    </font>
    <font>
      <sz val="18.0"/>
      <color rgb="FF000000"/>
      <name val="Verdana"/>
    </font>
    <font>
      <sz val="24.0"/>
      <color rgb="FF000000"/>
      <name val="Arial"/>
    </font>
    <font>
      <sz val="18.0"/>
      <color rgb="FF000000"/>
      <name val="Arial"/>
    </font>
    <font>
      <sz val="16.0"/>
      <color rgb="FF000000"/>
      <name val="Verdana"/>
    </font>
    <font>
      <sz val="18.0"/>
      <color rgb="FF1A3438"/>
      <name val="Verdana"/>
    </font>
    <font>
      <b/>
      <sz val="16.0"/>
      <color rgb="FF000000"/>
      <name val="Verdana"/>
    </font>
    <font>
      <sz val="24.0"/>
      <color theme="1"/>
      <name val="Georgia"/>
      <scheme val="minor"/>
    </font>
    <font>
      <sz val="18.0"/>
      <color theme="1"/>
      <name val="Georgia"/>
      <scheme val="minor"/>
    </font>
    <font>
      <color rgb="FF000000"/>
      <name val="Georgia"/>
      <scheme val="minor"/>
    </font>
    <font>
      <sz val="20.0"/>
      <color theme="1"/>
      <name val="Georgia"/>
      <scheme val="minor"/>
    </font>
    <font>
      <sz val="20.0"/>
      <color theme="1"/>
      <name val="Arial"/>
    </font>
    <font>
      <sz val="26.0"/>
      <color theme="1"/>
      <name val="Georgia"/>
      <scheme val="minor"/>
    </font>
    <font>
      <sz val="24.0"/>
      <color rgb="FFFFFFFF"/>
      <name val="Georgia"/>
      <scheme val="minor"/>
    </font>
    <font>
      <sz val="24.0"/>
      <color rgb="FF000000"/>
      <name val="Georgia"/>
      <scheme val="minor"/>
    </font>
    <font>
      <sz val="24.0"/>
      <color rgb="FF1A3438"/>
      <name val="Georgia"/>
      <scheme val="minor"/>
    </font>
    <font>
      <sz val="13.0"/>
      <color theme="1"/>
      <name val="Georgia"/>
      <scheme val="minor"/>
    </font>
    <font>
      <sz val="13.0"/>
      <color rgb="FF4E4D4D"/>
      <name val="Arial"/>
    </font>
    <font>
      <sz val="14.0"/>
      <color theme="1"/>
      <name val="Georgia"/>
      <scheme val="minor"/>
    </font>
    <font>
      <sz val="11.0"/>
      <color rgb="FFF15533"/>
      <name val="&quot;Source Sans Pro&quot;"/>
    </font>
    <font>
      <b/>
      <sz val="90.0"/>
      <color rgb="FF333F4F"/>
      <name val="&quot;Segoe Script&quot;"/>
    </font>
    <font>
      <b/>
      <sz val="16.0"/>
      <color rgb="FF7D4E94"/>
      <name val="&quot;Source Sans Pro&quot;"/>
    </font>
    <font>
      <sz val="16.0"/>
      <color rgb="FF333F4F"/>
      <name val="&quot;Source Sans Pro&quot;"/>
    </font>
    <font>
      <sz val="24.0"/>
      <color rgb="FF000000"/>
      <name val="&quot;Source Sans Pro Bold&quot;"/>
    </font>
    <font>
      <sz val="11.0"/>
      <color rgb="FFF15533"/>
      <name val="&quot;Source Sans Pro Bold&quot;"/>
    </font>
    <font>
      <sz val="18.0"/>
      <color rgb="FFF15533"/>
      <name val="&quot;Source Sans Pro&quot;"/>
    </font>
    <font>
      <b/>
      <sz val="14.0"/>
      <color rgb="FF333F4F"/>
      <name val="&quot;Source Sans Pro&quot;"/>
    </font>
    <font>
      <b/>
      <sz val="14.0"/>
      <color rgb="FF000000"/>
      <name val="&quot;Source Sans Pro&quot;"/>
    </font>
    <font>
      <sz val="14.0"/>
      <color rgb="FF000000"/>
      <name val="&quot;Source Sans Pro&quot;"/>
    </font>
    <font>
      <sz val="14.0"/>
      <color rgb="FF12332D"/>
      <name val="Arial"/>
    </font>
    <font>
      <sz val="14.0"/>
      <color rgb="FF12332D"/>
      <name val="&quot;Source Sans Pro Regular&quot;"/>
    </font>
    <font>
      <sz val="11.0"/>
      <color rgb="FF333F4F"/>
      <name val="&quot;Source Sans Pro Bold&quot;"/>
    </font>
    <font>
      <sz val="15.0"/>
      <color theme="1"/>
      <name val="Arial"/>
    </font>
    <font>
      <sz val="12.0"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FEECF2"/>
        <bgColor rgb="FFFEECF2"/>
      </patternFill>
    </fill>
    <fill>
      <patternFill patternType="solid">
        <fgColor rgb="FFFDACC6"/>
        <bgColor rgb="FFFDACC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BBC"/>
        <bgColor rgb="FFFF9BBC"/>
      </patternFill>
    </fill>
    <fill>
      <patternFill patternType="solid">
        <fgColor rgb="FFFF00FF"/>
        <bgColor rgb="FFFF00FF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EEFFFC"/>
        <bgColor rgb="FFEEFFFC"/>
      </patternFill>
    </fill>
    <fill>
      <patternFill patternType="solid">
        <fgColor rgb="FFFBBC04"/>
        <bgColor rgb="FFFBBC04"/>
      </patternFill>
    </fill>
    <fill>
      <patternFill patternType="solid">
        <fgColor rgb="FFFCE9F2"/>
        <bgColor rgb="FFFCE9F2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E69138"/>
        <bgColor rgb="FFE69138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8E8E8"/>
        <bgColor rgb="FFE8E8E8"/>
      </patternFill>
    </fill>
    <fill>
      <patternFill patternType="solid">
        <fgColor rgb="FFDEDEDE"/>
        <bgColor rgb="FFDEDEDE"/>
      </patternFill>
    </fill>
    <fill>
      <patternFill patternType="solid">
        <fgColor rgb="FF00FF00"/>
        <bgColor rgb="FF00FF00"/>
      </patternFill>
    </fill>
    <fill>
      <patternFill patternType="solid">
        <fgColor rgb="FFFAB9AB"/>
        <bgColor rgb="FFFAB9AB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CE9F2"/>
      </left>
    </border>
  </borders>
  <cellStyleXfs count="1">
    <xf borderId="0" fillId="0" fontId="0" numFmtId="0" applyAlignment="1" applyFont="1"/>
  </cellStyleXfs>
  <cellXfs count="28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2" numFmtId="164" xfId="0" applyAlignment="1" applyFont="1" applyNumberFormat="1">
      <alignment horizontal="center" readingOrder="0" shrinkToFit="0" wrapText="0"/>
    </xf>
    <xf borderId="0" fillId="2" fontId="3" numFmtId="0" xfId="0" applyAlignment="1" applyFont="1">
      <alignment horizontal="center" readingOrder="0" shrinkToFit="0" wrapText="0"/>
    </xf>
    <xf borderId="0" fillId="2" fontId="4" numFmtId="0" xfId="0" applyAlignment="1" applyFont="1">
      <alignment horizontal="center" readingOrder="0" shrinkToFit="0" wrapText="0"/>
    </xf>
    <xf borderId="0" fillId="0" fontId="5" numFmtId="0" xfId="0" applyAlignment="1" applyFont="1">
      <alignment shrinkToFit="0" wrapText="0"/>
    </xf>
    <xf borderId="0" fillId="0" fontId="6" numFmtId="0" xfId="0" applyAlignment="1" applyFont="1">
      <alignment horizontal="center" shrinkToFit="0" wrapText="0"/>
    </xf>
    <xf borderId="1" fillId="3" fontId="1" numFmtId="0" xfId="0" applyAlignment="1" applyBorder="1" applyFill="1" applyFont="1">
      <alignment horizontal="center" shrinkToFit="0" wrapText="0"/>
    </xf>
    <xf borderId="1" fillId="3" fontId="3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7" numFmtId="165" xfId="0" applyAlignment="1" applyBorder="1" applyFont="1" applyNumberFormat="1">
      <alignment horizontal="center" readingOrder="0" shrinkToFit="0" wrapText="0"/>
    </xf>
    <xf borderId="1" fillId="2" fontId="8" numFmtId="165" xfId="0" applyAlignment="1" applyBorder="1" applyFont="1" applyNumberFormat="1">
      <alignment horizontal="center" readingOrder="0" shrinkToFit="0" wrapText="0"/>
    </xf>
    <xf borderId="1" fillId="3" fontId="4" numFmtId="166" xfId="0" applyAlignment="1" applyBorder="1" applyFont="1" applyNumberFormat="1">
      <alignment horizontal="center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center" readingOrder="0"/>
    </xf>
    <xf borderId="1" fillId="3" fontId="4" numFmtId="166" xfId="0" applyAlignment="1" applyBorder="1" applyFont="1" applyNumberFormat="1">
      <alignment horizontal="center" readingOrder="0" shrinkToFit="0" wrapText="0"/>
    </xf>
    <xf borderId="0" fillId="0" fontId="9" numFmtId="0" xfId="0" applyAlignment="1" applyFont="1">
      <alignment readingOrder="0" shrinkToFit="0" wrapText="0"/>
    </xf>
    <xf borderId="0" fillId="0" fontId="10" numFmtId="166" xfId="0" applyAlignment="1" applyFont="1" applyNumberFormat="1">
      <alignment horizontal="center" vertical="bottom"/>
    </xf>
    <xf borderId="0" fillId="0" fontId="1" numFmtId="0" xfId="0" applyAlignment="1" applyFont="1">
      <alignment horizontal="center" readingOrder="0" shrinkToFit="0" wrapText="0"/>
    </xf>
    <xf borderId="0" fillId="0" fontId="6" numFmtId="0" xfId="0" applyAlignment="1" applyFont="1">
      <alignment horizontal="center" readingOrder="0" shrinkToFit="0" wrapText="0"/>
    </xf>
    <xf borderId="0" fillId="0" fontId="11" numFmtId="0" xfId="0" applyAlignment="1" applyFont="1">
      <alignment readingOrder="0" shrinkToFit="0" wrapText="0"/>
    </xf>
    <xf borderId="0" fillId="0" fontId="12" numFmtId="0" xfId="0" applyFont="1"/>
    <xf borderId="0" fillId="0" fontId="13" numFmtId="0" xfId="0" applyAlignment="1" applyFont="1">
      <alignment readingOrder="0"/>
    </xf>
    <xf borderId="0" fillId="4" fontId="14" numFmtId="0" xfId="0" applyAlignment="1" applyFill="1" applyFont="1">
      <alignment readingOrder="0" shrinkToFit="0" wrapText="0"/>
    </xf>
    <xf borderId="0" fillId="4" fontId="5" numFmtId="0" xfId="0" applyAlignment="1" applyFont="1">
      <alignment readingOrder="0" shrinkToFit="0" wrapText="0"/>
    </xf>
    <xf borderId="1" fillId="5" fontId="2" numFmtId="166" xfId="0" applyAlignment="1" applyBorder="1" applyFill="1" applyFont="1" applyNumberFormat="1">
      <alignment shrinkToFit="0" wrapText="0"/>
    </xf>
    <xf borderId="0" fillId="0" fontId="14" numFmtId="0" xfId="0" applyAlignment="1" applyFont="1">
      <alignment shrinkToFit="0" wrapText="0"/>
    </xf>
    <xf borderId="0" fillId="0" fontId="14" numFmtId="0" xfId="0" applyAlignment="1" applyFont="1">
      <alignment readingOrder="0" shrinkToFit="0" wrapText="0"/>
    </xf>
    <xf borderId="0" fillId="0" fontId="15" numFmtId="0" xfId="0" applyAlignment="1" applyFont="1">
      <alignment shrinkToFit="0" wrapText="0"/>
    </xf>
    <xf borderId="0" fillId="0" fontId="16" numFmtId="166" xfId="0" applyAlignment="1" applyFont="1" applyNumberFormat="1">
      <alignment horizontal="center" readingOrder="0" shrinkToFit="0" wrapText="0"/>
    </xf>
    <xf borderId="1" fillId="6" fontId="16" numFmtId="166" xfId="0" applyAlignment="1" applyBorder="1" applyFill="1" applyFont="1" applyNumberFormat="1">
      <alignment horizontal="center" readingOrder="0" shrinkToFit="0" wrapText="0"/>
    </xf>
    <xf borderId="1" fillId="6" fontId="16" numFmtId="0" xfId="0" applyAlignment="1" applyBorder="1" applyFont="1">
      <alignment horizontal="center" readingOrder="0" shrinkToFit="0" wrapText="0"/>
    </xf>
    <xf borderId="1" fillId="6" fontId="16" numFmtId="0" xfId="0" applyAlignment="1" applyBorder="1" applyFont="1">
      <alignment horizontal="center" shrinkToFit="0" wrapText="0"/>
    </xf>
    <xf borderId="1" fillId="6" fontId="15" numFmtId="0" xfId="0" applyAlignment="1" applyBorder="1" applyFont="1">
      <alignment shrinkToFit="0" wrapText="0"/>
    </xf>
    <xf borderId="0" fillId="0" fontId="16" numFmtId="0" xfId="0" applyAlignment="1" applyFont="1">
      <alignment horizontal="center" readingOrder="0" shrinkToFit="0" wrapText="0"/>
    </xf>
    <xf borderId="1" fillId="2" fontId="17" numFmtId="166" xfId="0" applyAlignment="1" applyBorder="1" applyFont="1" applyNumberFormat="1">
      <alignment horizontal="center" readingOrder="0" shrinkToFit="0" wrapText="0"/>
    </xf>
    <xf borderId="1" fillId="2" fontId="17" numFmtId="166" xfId="0" applyAlignment="1" applyBorder="1" applyFont="1" applyNumberFormat="1">
      <alignment horizontal="center" readingOrder="0" shrinkToFit="0" wrapText="0"/>
    </xf>
    <xf borderId="1" fillId="2" fontId="17" numFmtId="166" xfId="0" applyAlignment="1" applyBorder="1" applyFont="1" applyNumberFormat="1">
      <alignment horizontal="center" shrinkToFit="0" wrapText="0"/>
    </xf>
    <xf borderId="1" fillId="2" fontId="15" numFmtId="0" xfId="0" applyAlignment="1" applyBorder="1" applyFont="1">
      <alignment shrinkToFit="0" wrapText="0"/>
    </xf>
    <xf borderId="0" fillId="0" fontId="17" numFmtId="0" xfId="0" applyAlignment="1" applyFont="1">
      <alignment horizontal="center" readingOrder="0" shrinkToFit="0" wrapText="0"/>
    </xf>
    <xf borderId="0" fillId="0" fontId="18" numFmtId="0" xfId="0" applyAlignment="1" applyFont="1">
      <alignment readingOrder="0" shrinkToFit="0" wrapText="0"/>
    </xf>
    <xf borderId="0" fillId="2" fontId="17" numFmtId="166" xfId="0" applyAlignment="1" applyFont="1" applyNumberFormat="1">
      <alignment horizontal="center"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horizontal="center" readingOrder="0"/>
    </xf>
    <xf borderId="1" fillId="2" fontId="15" numFmtId="165" xfId="0" applyAlignment="1" applyBorder="1" applyFont="1" applyNumberFormat="1">
      <alignment shrinkToFit="0" wrapText="0"/>
    </xf>
    <xf borderId="0" fillId="0" fontId="5" numFmtId="165" xfId="0" applyAlignment="1" applyFont="1" applyNumberFormat="1">
      <alignment shrinkToFit="0" wrapText="0"/>
    </xf>
    <xf borderId="0" fillId="0" fontId="13" numFmtId="165" xfId="0" applyFont="1" applyNumberFormat="1"/>
    <xf borderId="0" fillId="0" fontId="19" numFmtId="165" xfId="0" applyAlignment="1" applyFont="1" applyNumberFormat="1">
      <alignment readingOrder="0"/>
    </xf>
    <xf borderId="0" fillId="0" fontId="14" numFmtId="10" xfId="0" applyAlignment="1" applyFont="1" applyNumberFormat="1">
      <alignment horizontal="center" readingOrder="0" shrinkToFit="0" wrapText="0"/>
    </xf>
    <xf borderId="0" fillId="0" fontId="14" numFmtId="0" xfId="0" applyAlignment="1" applyFont="1">
      <alignment horizontal="center" shrinkToFit="0" wrapText="0"/>
    </xf>
    <xf borderId="1" fillId="6" fontId="2" numFmtId="166" xfId="0" applyAlignment="1" applyBorder="1" applyFont="1" applyNumberFormat="1">
      <alignment horizontal="center" shrinkToFit="0" wrapText="0"/>
    </xf>
    <xf borderId="2" fillId="7" fontId="21" numFmtId="166" xfId="0" applyBorder="1" applyFill="1" applyFont="1" applyNumberFormat="1"/>
    <xf borderId="3" fillId="0" fontId="22" numFmtId="0" xfId="0" applyBorder="1" applyFont="1"/>
    <xf borderId="0" fillId="0" fontId="10" numFmtId="0" xfId="0" applyAlignment="1" applyFont="1">
      <alignment readingOrder="0"/>
    </xf>
    <xf borderId="0" fillId="0" fontId="13" numFmtId="0" xfId="0" applyAlignment="1" applyFont="1">
      <alignment horizontal="left" readingOrder="0"/>
    </xf>
    <xf borderId="0" fillId="0" fontId="13" numFmtId="0" xfId="0" applyFont="1"/>
    <xf borderId="0" fillId="0" fontId="23" numFmtId="0" xfId="0" applyAlignment="1" applyFont="1">
      <alignment readingOrder="0"/>
    </xf>
    <xf borderId="1" fillId="8" fontId="24" numFmtId="0" xfId="0" applyAlignment="1" applyBorder="1" applyFill="1" applyFont="1">
      <alignment readingOrder="0"/>
    </xf>
    <xf borderId="1" fillId="8" fontId="24" numFmtId="4" xfId="0" applyAlignment="1" applyBorder="1" applyFont="1" applyNumberFormat="1">
      <alignment readingOrder="0"/>
    </xf>
    <xf borderId="1" fillId="8" fontId="24" numFmtId="0" xfId="0" applyBorder="1" applyFont="1"/>
    <xf borderId="0" fillId="8" fontId="24" numFmtId="0" xfId="0" applyFont="1"/>
    <xf borderId="1" fillId="4" fontId="20" numFmtId="0" xfId="0" applyAlignment="1" applyBorder="1" applyFont="1">
      <alignment readingOrder="0"/>
    </xf>
    <xf borderId="1" fillId="4" fontId="20" numFmtId="0" xfId="0" applyAlignment="1" applyBorder="1" applyFont="1">
      <alignment readingOrder="0"/>
    </xf>
    <xf borderId="1" fillId="4" fontId="20" numFmtId="4" xfId="0" applyAlignment="1" applyBorder="1" applyFont="1" applyNumberFormat="1">
      <alignment readingOrder="0"/>
    </xf>
    <xf borderId="1" fillId="4" fontId="20" numFmtId="0" xfId="0" applyBorder="1" applyFont="1"/>
    <xf borderId="0" fillId="4" fontId="20" numFmtId="0" xfId="0" applyFont="1"/>
    <xf borderId="1" fillId="9" fontId="20" numFmtId="0" xfId="0" applyAlignment="1" applyBorder="1" applyFill="1" applyFont="1">
      <alignment readingOrder="0"/>
    </xf>
    <xf borderId="1" fillId="9" fontId="20" numFmtId="0" xfId="0" applyAlignment="1" applyBorder="1" applyFont="1">
      <alignment readingOrder="0"/>
    </xf>
    <xf borderId="1" fillId="9" fontId="20" numFmtId="4" xfId="0" applyAlignment="1" applyBorder="1" applyFont="1" applyNumberFormat="1">
      <alignment readingOrder="0"/>
    </xf>
    <xf borderId="1" fillId="9" fontId="20" numFmtId="0" xfId="0" applyBorder="1" applyFont="1"/>
    <xf borderId="0" fillId="9" fontId="20" numFmtId="0" xfId="0" applyFont="1"/>
    <xf borderId="1" fillId="0" fontId="20" numFmtId="0" xfId="0" applyBorder="1" applyFont="1"/>
    <xf borderId="1" fillId="0" fontId="20" numFmtId="4" xfId="0" applyBorder="1" applyFont="1" applyNumberFormat="1"/>
    <xf borderId="0" fillId="0" fontId="20" numFmtId="0" xfId="0" applyFont="1"/>
    <xf borderId="4" fillId="7" fontId="25" numFmtId="0" xfId="0" applyAlignment="1" applyBorder="1" applyFont="1">
      <alignment vertical="bottom"/>
    </xf>
    <xf borderId="5" fillId="7" fontId="26" numFmtId="167" xfId="0" applyAlignment="1" applyBorder="1" applyFont="1" applyNumberFormat="1">
      <alignment vertical="bottom"/>
    </xf>
    <xf borderId="5" fillId="7" fontId="25" numFmtId="167" xfId="0" applyAlignment="1" applyBorder="1" applyFont="1" applyNumberFormat="1">
      <alignment vertical="bottom"/>
    </xf>
    <xf borderId="5" fillId="7" fontId="27" numFmtId="0" xfId="0" applyAlignment="1" applyBorder="1" applyFont="1">
      <alignment readingOrder="0" vertical="bottom"/>
    </xf>
    <xf borderId="5" fillId="7" fontId="28" numFmtId="167" xfId="0" applyAlignment="1" applyBorder="1" applyFont="1" applyNumberFormat="1">
      <alignment vertical="bottom"/>
    </xf>
    <xf borderId="5" fillId="7" fontId="25" numFmtId="0" xfId="0" applyAlignment="1" applyBorder="1" applyFont="1">
      <alignment vertical="bottom"/>
    </xf>
    <xf borderId="0" fillId="0" fontId="29" numFmtId="0" xfId="0" applyAlignment="1" applyFont="1">
      <alignment vertical="bottom"/>
    </xf>
    <xf borderId="0" fillId="0" fontId="30" numFmtId="0" xfId="0" applyAlignment="1" applyFont="1">
      <alignment vertical="bottom"/>
    </xf>
    <xf borderId="4" fillId="10" fontId="31" numFmtId="0" xfId="0" applyAlignment="1" applyBorder="1" applyFill="1" applyFont="1">
      <alignment readingOrder="0" vertical="bottom"/>
    </xf>
    <xf borderId="5" fillId="2" fontId="32" numFmtId="167" xfId="0" applyAlignment="1" applyBorder="1" applyFont="1" applyNumberFormat="1">
      <alignment horizontal="right" readingOrder="0" vertical="bottom"/>
    </xf>
    <xf borderId="5" fillId="10" fontId="33" numFmtId="167" xfId="0" applyAlignment="1" applyBorder="1" applyFont="1" applyNumberFormat="1">
      <alignment vertical="bottom"/>
    </xf>
    <xf borderId="5" fillId="2" fontId="34" numFmtId="0" xfId="0" applyAlignment="1" applyBorder="1" applyFont="1">
      <alignment vertical="bottom"/>
    </xf>
    <xf borderId="5" fillId="10" fontId="35" numFmtId="167" xfId="0" applyAlignment="1" applyBorder="1" applyFont="1" applyNumberFormat="1">
      <alignment horizontal="right" readingOrder="0" vertical="bottom"/>
    </xf>
    <xf borderId="5" fillId="2" fontId="36" numFmtId="167" xfId="0" applyAlignment="1" applyBorder="1" applyFont="1" applyNumberFormat="1">
      <alignment horizontal="right" vertical="bottom"/>
    </xf>
    <xf borderId="0" fillId="0" fontId="29" numFmtId="0" xfId="0" applyAlignment="1" applyFont="1">
      <alignment readingOrder="0" vertical="bottom"/>
    </xf>
    <xf borderId="5" fillId="2" fontId="31" numFmtId="167" xfId="0" applyAlignment="1" applyBorder="1" applyFont="1" applyNumberFormat="1">
      <alignment horizontal="right" readingOrder="0" vertical="bottom"/>
    </xf>
    <xf borderId="5" fillId="10" fontId="37" numFmtId="167" xfId="0" applyAlignment="1" applyBorder="1" applyFont="1" applyNumberFormat="1">
      <alignment readingOrder="0" vertical="bottom"/>
    </xf>
    <xf borderId="5" fillId="2" fontId="38" numFmtId="167" xfId="0" applyAlignment="1" applyBorder="1" applyFont="1" applyNumberFormat="1">
      <alignment horizontal="right" vertical="bottom"/>
    </xf>
    <xf borderId="5" fillId="10" fontId="29" numFmtId="167" xfId="0" applyAlignment="1" applyBorder="1" applyFont="1" applyNumberFormat="1">
      <alignment vertical="bottom"/>
    </xf>
    <xf borderId="5" fillId="2" fontId="34" numFmtId="0" xfId="0" applyAlignment="1" applyBorder="1" applyFont="1">
      <alignment readingOrder="0" vertical="bottom"/>
    </xf>
    <xf borderId="5" fillId="5" fontId="29" numFmtId="167" xfId="0" applyAlignment="1" applyBorder="1" applyFont="1" applyNumberFormat="1">
      <alignment vertical="bottom"/>
    </xf>
    <xf borderId="5" fillId="11" fontId="32" numFmtId="167" xfId="0" applyAlignment="1" applyBorder="1" applyFill="1" applyFont="1" applyNumberFormat="1">
      <alignment horizontal="right" vertical="bottom"/>
    </xf>
    <xf borderId="5" fillId="2" fontId="39" numFmtId="167" xfId="0" applyAlignment="1" applyBorder="1" applyFont="1" applyNumberFormat="1">
      <alignment horizontal="right" readingOrder="0" vertical="bottom"/>
    </xf>
    <xf borderId="5" fillId="2" fontId="29" numFmtId="0" xfId="0" applyAlignment="1" applyBorder="1" applyFont="1">
      <alignment vertical="bottom"/>
    </xf>
    <xf borderId="5" fillId="2" fontId="26" numFmtId="167" xfId="0" applyAlignment="1" applyBorder="1" applyFont="1" applyNumberFormat="1">
      <alignment horizontal="right" readingOrder="0" vertical="bottom"/>
    </xf>
    <xf borderId="5" fillId="10" fontId="40" numFmtId="167" xfId="0" applyAlignment="1" applyBorder="1" applyFont="1" applyNumberFormat="1">
      <alignment vertical="bottom"/>
    </xf>
    <xf borderId="0" fillId="0" fontId="30" numFmtId="0" xfId="0" applyAlignment="1" applyFont="1">
      <alignment readingOrder="0" vertical="bottom"/>
    </xf>
    <xf borderId="5" fillId="2" fontId="41" numFmtId="167" xfId="0" applyAlignment="1" applyBorder="1" applyFont="1" applyNumberFormat="1">
      <alignment horizontal="right" readingOrder="0" vertical="bottom"/>
    </xf>
    <xf borderId="5" fillId="0" fontId="29" numFmtId="0" xfId="0" applyAlignment="1" applyBorder="1" applyFont="1">
      <alignment vertical="bottom"/>
    </xf>
    <xf borderId="4" fillId="10" fontId="42" numFmtId="0" xfId="0" applyAlignment="1" applyBorder="1" applyFont="1">
      <alignment readingOrder="0" vertical="bottom"/>
    </xf>
    <xf borderId="5" fillId="2" fontId="43" numFmtId="167" xfId="0" applyAlignment="1" applyBorder="1" applyFont="1" applyNumberFormat="1">
      <alignment horizontal="right" readingOrder="0" vertical="bottom"/>
    </xf>
    <xf borderId="5" fillId="10" fontId="44" numFmtId="167" xfId="0" applyAlignment="1" applyBorder="1" applyFont="1" applyNumberFormat="1">
      <alignment readingOrder="0" vertical="bottom"/>
    </xf>
    <xf borderId="5" fillId="10" fontId="45" numFmtId="167" xfId="0" applyAlignment="1" applyBorder="1" applyFont="1" applyNumberFormat="1">
      <alignment readingOrder="0" vertical="bottom"/>
    </xf>
    <xf borderId="5" fillId="2" fontId="46" numFmtId="167" xfId="0" applyAlignment="1" applyBorder="1" applyFont="1" applyNumberFormat="1">
      <alignment horizontal="right" readingOrder="0" vertical="bottom"/>
    </xf>
    <xf borderId="5" fillId="2" fontId="47" numFmtId="0" xfId="0" applyAlignment="1" applyBorder="1" applyFont="1">
      <alignment readingOrder="0" vertical="bottom"/>
    </xf>
    <xf borderId="5" fillId="2" fontId="35" numFmtId="167" xfId="0" applyAlignment="1" applyBorder="1" applyFont="1" applyNumberFormat="1">
      <alignment horizontal="right" readingOrder="0" vertical="bottom"/>
    </xf>
    <xf borderId="4" fillId="10" fontId="35" numFmtId="0" xfId="0" applyAlignment="1" applyBorder="1" applyFont="1">
      <alignment readingOrder="0" vertical="bottom"/>
    </xf>
    <xf borderId="5" fillId="2" fontId="48" numFmtId="167" xfId="0" applyAlignment="1" applyBorder="1" applyFont="1" applyNumberFormat="1">
      <alignment horizontal="right" readingOrder="0" vertical="bottom"/>
    </xf>
    <xf borderId="5" fillId="6" fontId="48" numFmtId="167" xfId="0" applyAlignment="1" applyBorder="1" applyFont="1" applyNumberFormat="1">
      <alignment horizontal="right" readingOrder="0" vertical="bottom"/>
    </xf>
    <xf borderId="5" fillId="12" fontId="49" numFmtId="0" xfId="0" applyAlignment="1" applyBorder="1" applyFill="1" applyFont="1">
      <alignment readingOrder="0" vertical="bottom"/>
    </xf>
    <xf borderId="5" fillId="10" fontId="50" numFmtId="167" xfId="0" applyAlignment="1" applyBorder="1" applyFont="1" applyNumberFormat="1">
      <alignment readingOrder="0" vertical="bottom"/>
    </xf>
    <xf borderId="0" fillId="0" fontId="29" numFmtId="168" xfId="0" applyAlignment="1" applyFont="1" applyNumberFormat="1">
      <alignment readingOrder="0" vertical="bottom"/>
    </xf>
    <xf borderId="5" fillId="9" fontId="50" numFmtId="167" xfId="0" applyAlignment="1" applyBorder="1" applyFont="1" applyNumberFormat="1">
      <alignment readingOrder="0" vertical="bottom"/>
    </xf>
    <xf borderId="4" fillId="10" fontId="51" numFmtId="0" xfId="0" applyAlignment="1" applyBorder="1" applyFont="1">
      <alignment readingOrder="0" vertical="bottom"/>
    </xf>
    <xf borderId="5" fillId="2" fontId="52" numFmtId="167" xfId="0" applyAlignment="1" applyBorder="1" applyFont="1" applyNumberFormat="1">
      <alignment horizontal="right" readingOrder="0" vertical="bottom"/>
    </xf>
    <xf borderId="5" fillId="10" fontId="29" numFmtId="167" xfId="0" applyAlignment="1" applyBorder="1" applyFont="1" applyNumberFormat="1">
      <alignment readingOrder="0" vertical="bottom"/>
    </xf>
    <xf borderId="5" fillId="0" fontId="29" numFmtId="0" xfId="0" applyAlignment="1" applyBorder="1" applyFont="1">
      <alignment readingOrder="0" vertical="bottom"/>
    </xf>
    <xf borderId="4" fillId="10" fontId="53" numFmtId="0" xfId="0" applyAlignment="1" applyBorder="1" applyFont="1">
      <alignment readingOrder="0" vertical="bottom"/>
    </xf>
    <xf borderId="5" fillId="7" fontId="48" numFmtId="167" xfId="0" applyAlignment="1" applyBorder="1" applyFont="1" applyNumberFormat="1">
      <alignment horizontal="right" readingOrder="0" vertical="bottom"/>
    </xf>
    <xf borderId="5" fillId="13" fontId="47" numFmtId="0" xfId="0" applyAlignment="1" applyBorder="1" applyFill="1" applyFont="1">
      <alignment readingOrder="0" vertical="bottom"/>
    </xf>
    <xf borderId="5" fillId="13" fontId="45" numFmtId="167" xfId="0" applyAlignment="1" applyBorder="1" applyFont="1" applyNumberFormat="1">
      <alignment readingOrder="0" vertical="bottom"/>
    </xf>
    <xf borderId="5" fillId="13" fontId="47" numFmtId="168" xfId="0" applyAlignment="1" applyBorder="1" applyFont="1" applyNumberFormat="1">
      <alignment readingOrder="0" vertical="bottom"/>
    </xf>
    <xf borderId="5" fillId="12" fontId="48" numFmtId="167" xfId="0" applyAlignment="1" applyBorder="1" applyFont="1" applyNumberFormat="1">
      <alignment horizontal="right" readingOrder="0" vertical="bottom"/>
    </xf>
    <xf borderId="5" fillId="14" fontId="45" numFmtId="167" xfId="0" applyAlignment="1" applyBorder="1" applyFill="1" applyFont="1" applyNumberFormat="1">
      <alignment readingOrder="0" vertical="bottom"/>
    </xf>
    <xf borderId="5" fillId="11" fontId="45" numFmtId="167" xfId="0" applyAlignment="1" applyBorder="1" applyFont="1" applyNumberFormat="1">
      <alignment readingOrder="0" vertical="bottom"/>
    </xf>
    <xf borderId="0" fillId="0" fontId="29" numFmtId="167" xfId="0" applyAlignment="1" applyFont="1" applyNumberFormat="1">
      <alignment readingOrder="0" vertical="bottom"/>
    </xf>
    <xf borderId="0" fillId="0" fontId="29" numFmtId="167" xfId="0" applyAlignment="1" applyFont="1" applyNumberFormat="1">
      <alignment vertical="bottom"/>
    </xf>
    <xf borderId="0" fillId="0" fontId="47" numFmtId="0" xfId="0" applyAlignment="1" applyFont="1">
      <alignment vertical="bottom"/>
    </xf>
    <xf borderId="0" fillId="0" fontId="45" numFmtId="167" xfId="0" applyAlignment="1" applyFont="1" applyNumberFormat="1">
      <alignment vertical="bottom"/>
    </xf>
    <xf borderId="0" fillId="0" fontId="30" numFmtId="167" xfId="0" applyAlignment="1" applyFont="1" applyNumberFormat="1">
      <alignment vertical="bottom"/>
    </xf>
    <xf borderId="0" fillId="0" fontId="45" numFmtId="167" xfId="0" applyAlignment="1" applyFont="1" applyNumberFormat="1">
      <alignment readingOrder="0" vertical="bottom"/>
    </xf>
    <xf borderId="0" fillId="0" fontId="45" numFmtId="0" xfId="0" applyAlignment="1" applyFont="1">
      <alignment vertical="bottom"/>
    </xf>
    <xf borderId="0" fillId="0" fontId="45" numFmtId="0" xfId="0" applyAlignment="1" applyFont="1">
      <alignment readingOrder="0" vertical="bottom"/>
    </xf>
    <xf borderId="0" fillId="0" fontId="54" numFmtId="0" xfId="0" applyFont="1"/>
    <xf borderId="0" fillId="0" fontId="55" numFmtId="0" xfId="0" applyFont="1"/>
    <xf borderId="0" fillId="0" fontId="56" numFmtId="0" xfId="0" applyFont="1"/>
    <xf borderId="1" fillId="15" fontId="57" numFmtId="0" xfId="0" applyAlignment="1" applyBorder="1" applyFill="1" applyFont="1">
      <alignment readingOrder="0"/>
    </xf>
    <xf borderId="1" fillId="15" fontId="57" numFmtId="169" xfId="0" applyAlignment="1" applyBorder="1" applyFont="1" applyNumberFormat="1">
      <alignment readingOrder="0"/>
    </xf>
    <xf borderId="1" fillId="15" fontId="57" numFmtId="164" xfId="0" applyAlignment="1" applyBorder="1" applyFont="1" applyNumberFormat="1">
      <alignment readingOrder="0"/>
    </xf>
    <xf borderId="1" fillId="0" fontId="13" numFmtId="0" xfId="0" applyBorder="1" applyFont="1"/>
    <xf borderId="1" fillId="0" fontId="13" numFmtId="169" xfId="0" applyBorder="1" applyFont="1" applyNumberFormat="1"/>
    <xf borderId="1" fillId="0" fontId="13" numFmtId="164" xfId="0" applyBorder="1" applyFont="1" applyNumberFormat="1"/>
    <xf borderId="1" fillId="13" fontId="57" numFmtId="0" xfId="0" applyAlignment="1" applyBorder="1" applyFont="1">
      <alignment readingOrder="0"/>
    </xf>
    <xf borderId="1" fillId="13" fontId="57" numFmtId="169" xfId="0" applyAlignment="1" applyBorder="1" applyFont="1" applyNumberFormat="1">
      <alignment readingOrder="0"/>
    </xf>
    <xf borderId="1" fillId="13" fontId="57" numFmtId="170" xfId="0" applyAlignment="1" applyBorder="1" applyFont="1" applyNumberFormat="1">
      <alignment readingOrder="0"/>
    </xf>
    <xf borderId="1" fillId="13" fontId="57" numFmtId="164" xfId="0" applyAlignment="1" applyBorder="1" applyFont="1" applyNumberFormat="1">
      <alignment readingOrder="0"/>
    </xf>
    <xf borderId="1" fillId="0" fontId="57" numFmtId="0" xfId="0" applyAlignment="1" applyBorder="1" applyFont="1">
      <alignment readingOrder="0"/>
    </xf>
    <xf borderId="1" fillId="13" fontId="57" numFmtId="169" xfId="0" applyBorder="1" applyFont="1" applyNumberFormat="1"/>
    <xf borderId="1" fillId="13" fontId="57" numFmtId="0" xfId="0" applyBorder="1" applyFont="1"/>
    <xf borderId="1" fillId="13" fontId="57" numFmtId="171" xfId="0" applyAlignment="1" applyBorder="1" applyFont="1" applyNumberFormat="1">
      <alignment readingOrder="0"/>
    </xf>
    <xf borderId="1" fillId="0" fontId="13" numFmtId="0" xfId="0" applyAlignment="1" applyBorder="1" applyFont="1">
      <alignment readingOrder="0"/>
    </xf>
    <xf borderId="1" fillId="14" fontId="57" numFmtId="0" xfId="0" applyAlignment="1" applyBorder="1" applyFont="1">
      <alignment readingOrder="0"/>
    </xf>
    <xf borderId="1" fillId="14" fontId="57" numFmtId="169" xfId="0" applyBorder="1" applyFont="1" applyNumberFormat="1"/>
    <xf borderId="1" fillId="14" fontId="57" numFmtId="164" xfId="0" applyAlignment="1" applyBorder="1" applyFont="1" applyNumberFormat="1">
      <alignment readingOrder="0"/>
    </xf>
    <xf borderId="1" fillId="14" fontId="57" numFmtId="0" xfId="0" applyBorder="1" applyFont="1"/>
    <xf borderId="1" fillId="0" fontId="57" numFmtId="169" xfId="0" applyAlignment="1" applyBorder="1" applyFont="1" applyNumberFormat="1">
      <alignment readingOrder="0"/>
    </xf>
    <xf borderId="1" fillId="0" fontId="57" numFmtId="164" xfId="0" applyAlignment="1" applyBorder="1" applyFont="1" applyNumberFormat="1">
      <alignment readingOrder="0"/>
    </xf>
    <xf borderId="1" fillId="0" fontId="57" numFmtId="0" xfId="0" applyBorder="1" applyFont="1"/>
    <xf borderId="1" fillId="13" fontId="57" numFmtId="172" xfId="0" applyAlignment="1" applyBorder="1" applyFont="1" applyNumberFormat="1">
      <alignment readingOrder="0"/>
    </xf>
    <xf borderId="1" fillId="14" fontId="57" numFmtId="169" xfId="0" applyAlignment="1" applyBorder="1" applyFont="1" applyNumberFormat="1">
      <alignment readingOrder="0"/>
    </xf>
    <xf borderId="1" fillId="0" fontId="57" numFmtId="169" xfId="0" applyBorder="1" applyFont="1" applyNumberFormat="1"/>
    <xf borderId="1" fillId="16" fontId="57" numFmtId="0" xfId="0" applyAlignment="1" applyBorder="1" applyFill="1" applyFont="1">
      <alignment readingOrder="0"/>
    </xf>
    <xf borderId="1" fillId="16" fontId="57" numFmtId="169" xfId="0" applyAlignment="1" applyBorder="1" applyFont="1" applyNumberFormat="1">
      <alignment readingOrder="0"/>
    </xf>
    <xf borderId="1" fillId="16" fontId="57" numFmtId="171" xfId="0" applyAlignment="1" applyBorder="1" applyFont="1" applyNumberFormat="1">
      <alignment readingOrder="0"/>
    </xf>
    <xf borderId="1" fillId="16" fontId="57" numFmtId="0" xfId="0" applyBorder="1" applyFont="1"/>
    <xf borderId="1" fillId="0" fontId="57" numFmtId="164" xfId="0" applyBorder="1" applyFont="1" applyNumberFormat="1"/>
    <xf borderId="0" fillId="0" fontId="13" numFmtId="169" xfId="0" applyFont="1" applyNumberFormat="1"/>
    <xf borderId="0" fillId="0" fontId="13" numFmtId="164" xfId="0" applyFont="1" applyNumberFormat="1"/>
    <xf borderId="0" fillId="0" fontId="57" numFmtId="0" xfId="0" applyFont="1"/>
    <xf borderId="0" fillId="0" fontId="57" numFmtId="0" xfId="0" applyAlignment="1" applyFont="1">
      <alignment readingOrder="0"/>
    </xf>
    <xf borderId="1" fillId="10" fontId="57" numFmtId="0" xfId="0" applyAlignment="1" applyBorder="1" applyFont="1">
      <alignment readingOrder="0"/>
    </xf>
    <xf borderId="1" fillId="17" fontId="57" numFmtId="0" xfId="0" applyAlignment="1" applyBorder="1" applyFill="1" applyFont="1">
      <alignment readingOrder="0"/>
    </xf>
    <xf borderId="1" fillId="17" fontId="57" numFmtId="0" xfId="0" applyBorder="1" applyFont="1"/>
    <xf borderId="1" fillId="10" fontId="57" numFmtId="0" xfId="0" applyBorder="1" applyFont="1"/>
    <xf borderId="1" fillId="10" fontId="58" numFmtId="0" xfId="0" applyAlignment="1" applyBorder="1" applyFont="1">
      <alignment horizontal="right" readingOrder="0" vertical="bottom"/>
    </xf>
    <xf borderId="1" fillId="17" fontId="58" numFmtId="0" xfId="0" applyAlignment="1" applyBorder="1" applyFont="1">
      <alignment readingOrder="0" vertical="bottom"/>
    </xf>
    <xf borderId="1" fillId="17" fontId="29" numFmtId="0" xfId="0" applyAlignment="1" applyBorder="1" applyFont="1">
      <alignment vertical="bottom"/>
    </xf>
    <xf borderId="1" fillId="17" fontId="58" numFmtId="0" xfId="0" applyAlignment="1" applyBorder="1" applyFont="1">
      <alignment vertical="bottom"/>
    </xf>
    <xf borderId="1" fillId="10" fontId="58" numFmtId="0" xfId="0" applyAlignment="1" applyBorder="1" applyFont="1">
      <alignment horizontal="right" vertical="bottom"/>
    </xf>
    <xf borderId="1" fillId="0" fontId="58" numFmtId="0" xfId="0" applyAlignment="1" applyBorder="1" applyFont="1">
      <alignment vertical="bottom"/>
    </xf>
    <xf borderId="1" fillId="10" fontId="58" numFmtId="0" xfId="0" applyAlignment="1" applyBorder="1" applyFont="1">
      <alignment readingOrder="0" vertical="bottom"/>
    </xf>
    <xf borderId="1" fillId="10" fontId="58" numFmtId="0" xfId="0" applyAlignment="1" applyBorder="1" applyFont="1">
      <alignment vertical="bottom"/>
    </xf>
    <xf borderId="1" fillId="0" fontId="58" numFmtId="0" xfId="0" applyAlignment="1" applyBorder="1" applyFont="1">
      <alignment readingOrder="0" vertical="bottom"/>
    </xf>
    <xf borderId="1" fillId="0" fontId="29" numFmtId="0" xfId="0" applyAlignment="1" applyBorder="1" applyFont="1">
      <alignment vertical="bottom"/>
    </xf>
    <xf borderId="0" fillId="7" fontId="59" numFmtId="0" xfId="0" applyAlignment="1" applyFont="1">
      <alignment readingOrder="0"/>
    </xf>
    <xf borderId="0" fillId="0" fontId="13" numFmtId="4" xfId="0" applyFont="1" applyNumberFormat="1"/>
    <xf borderId="0" fillId="0" fontId="59" numFmtId="0" xfId="0" applyAlignment="1" applyFont="1">
      <alignment readingOrder="0"/>
    </xf>
    <xf borderId="1" fillId="2" fontId="54" numFmtId="0" xfId="0" applyAlignment="1" applyBorder="1" applyFont="1">
      <alignment readingOrder="0"/>
    </xf>
    <xf borderId="1" fillId="2" fontId="54" numFmtId="4" xfId="0" applyBorder="1" applyFont="1" applyNumberFormat="1"/>
    <xf borderId="1" fillId="2" fontId="54" numFmtId="0" xfId="0" applyBorder="1" applyFont="1"/>
    <xf borderId="1" fillId="3" fontId="54" numFmtId="4" xfId="0" applyAlignment="1" applyBorder="1" applyFont="1" applyNumberFormat="1">
      <alignment readingOrder="0"/>
    </xf>
    <xf borderId="1" fillId="0" fontId="54" numFmtId="0" xfId="0" applyBorder="1" applyFont="1"/>
    <xf borderId="1" fillId="0" fontId="54" numFmtId="4" xfId="0" applyBorder="1" applyFont="1" applyNumberFormat="1"/>
    <xf borderId="1" fillId="0" fontId="54" numFmtId="0" xfId="0" applyAlignment="1" applyBorder="1" applyFont="1">
      <alignment readingOrder="0"/>
    </xf>
    <xf borderId="1" fillId="0" fontId="54" numFmtId="4" xfId="0" applyAlignment="1" applyBorder="1" applyFont="1" applyNumberFormat="1">
      <alignment readingOrder="0"/>
    </xf>
    <xf borderId="1" fillId="0" fontId="60" numFmtId="4" xfId="0" applyAlignment="1" applyBorder="1" applyFont="1" applyNumberFormat="1">
      <alignment readingOrder="0"/>
    </xf>
    <xf borderId="1" fillId="4" fontId="54" numFmtId="4" xfId="0" applyAlignment="1" applyBorder="1" applyFont="1" applyNumberFormat="1">
      <alignment readingOrder="0"/>
    </xf>
    <xf borderId="1" fillId="4" fontId="61" numFmtId="4" xfId="0" applyAlignment="1" applyBorder="1" applyFont="1" applyNumberFormat="1">
      <alignment readingOrder="0"/>
    </xf>
    <xf borderId="1" fillId="4" fontId="62" numFmtId="4" xfId="0" applyAlignment="1" applyBorder="1" applyFont="1" applyNumberFormat="1">
      <alignment readingOrder="0"/>
    </xf>
    <xf borderId="1" fillId="2" fontId="63" numFmtId="0" xfId="0" applyAlignment="1" applyBorder="1" applyFont="1">
      <alignment readingOrder="0"/>
    </xf>
    <xf borderId="1" fillId="2" fontId="63" numFmtId="167" xfId="0" applyAlignment="1" applyBorder="1" applyFont="1" applyNumberFormat="1">
      <alignment readingOrder="0"/>
    </xf>
    <xf borderId="6" fillId="18" fontId="64" numFmtId="0" xfId="0" applyAlignment="1" applyBorder="1" applyFill="1" applyFont="1">
      <alignment horizontal="left" readingOrder="0"/>
    </xf>
    <xf borderId="6" fillId="18" fontId="64" numFmtId="173" xfId="0" applyAlignment="1" applyBorder="1" applyFont="1" applyNumberFormat="1">
      <alignment horizontal="left" readingOrder="0"/>
    </xf>
    <xf borderId="6" fillId="18" fontId="64" numFmtId="167" xfId="0" applyAlignment="1" applyBorder="1" applyFont="1" applyNumberFormat="1">
      <alignment horizontal="right" readingOrder="0"/>
    </xf>
    <xf borderId="6" fillId="18" fontId="64" numFmtId="0" xfId="0" applyAlignment="1" applyBorder="1" applyFont="1">
      <alignment horizontal="right" readingOrder="0"/>
    </xf>
    <xf borderId="7" fillId="18" fontId="64" numFmtId="0" xfId="0" applyAlignment="1" applyBorder="1" applyFont="1">
      <alignment horizontal="left" readingOrder="0"/>
    </xf>
    <xf borderId="7" fillId="18" fontId="64" numFmtId="173" xfId="0" applyAlignment="1" applyBorder="1" applyFont="1" applyNumberFormat="1">
      <alignment horizontal="left" readingOrder="0"/>
    </xf>
    <xf borderId="7" fillId="18" fontId="64" numFmtId="167" xfId="0" applyAlignment="1" applyBorder="1" applyFont="1" applyNumberFormat="1">
      <alignment horizontal="right" readingOrder="0"/>
    </xf>
    <xf borderId="7" fillId="18" fontId="64" numFmtId="0" xfId="0" applyAlignment="1" applyBorder="1" applyFont="1">
      <alignment horizontal="right" readingOrder="0"/>
    </xf>
    <xf borderId="7" fillId="19" fontId="64" numFmtId="0" xfId="0" applyAlignment="1" applyBorder="1" applyFill="1" applyFont="1">
      <alignment horizontal="left" readingOrder="0"/>
    </xf>
    <xf borderId="7" fillId="19" fontId="64" numFmtId="173" xfId="0" applyAlignment="1" applyBorder="1" applyFont="1" applyNumberFormat="1">
      <alignment horizontal="left" readingOrder="0"/>
    </xf>
    <xf borderId="7" fillId="19" fontId="64" numFmtId="167" xfId="0" applyAlignment="1" applyBorder="1" applyFont="1" applyNumberFormat="1">
      <alignment horizontal="right" readingOrder="0"/>
    </xf>
    <xf borderId="7" fillId="19" fontId="64" numFmtId="0" xfId="0" applyAlignment="1" applyBorder="1" applyFont="1">
      <alignment horizontal="right" readingOrder="0"/>
    </xf>
    <xf borderId="7" fillId="20" fontId="64" numFmtId="0" xfId="0" applyAlignment="1" applyBorder="1" applyFill="1" applyFont="1">
      <alignment horizontal="left" readingOrder="0"/>
    </xf>
    <xf borderId="7" fillId="20" fontId="64" numFmtId="173" xfId="0" applyAlignment="1" applyBorder="1" applyFont="1" applyNumberFormat="1">
      <alignment horizontal="left" readingOrder="0"/>
    </xf>
    <xf borderId="7" fillId="20" fontId="64" numFmtId="167" xfId="0" applyAlignment="1" applyBorder="1" applyFont="1" applyNumberFormat="1">
      <alignment horizontal="right" readingOrder="0"/>
    </xf>
    <xf borderId="7" fillId="20" fontId="64" numFmtId="0" xfId="0" applyAlignment="1" applyBorder="1" applyFont="1">
      <alignment horizontal="right" readingOrder="0"/>
    </xf>
    <xf borderId="7" fillId="19" fontId="64" numFmtId="173" xfId="0" applyAlignment="1" applyBorder="1" applyFont="1" applyNumberFormat="1">
      <alignment horizontal="left"/>
    </xf>
    <xf borderId="7" fillId="19" fontId="64" numFmtId="0" xfId="0" applyAlignment="1" applyBorder="1" applyFont="1">
      <alignment horizontal="left"/>
    </xf>
    <xf borderId="7" fillId="18" fontId="64" numFmtId="0" xfId="0" applyAlignment="1" applyBorder="1" applyFont="1">
      <alignment horizontal="left"/>
    </xf>
    <xf borderId="7" fillId="18" fontId="64" numFmtId="173" xfId="0" applyAlignment="1" applyBorder="1" applyFont="1" applyNumberFormat="1">
      <alignment horizontal="left"/>
    </xf>
    <xf borderId="7" fillId="20" fontId="64" numFmtId="173" xfId="0" applyAlignment="1" applyBorder="1" applyFont="1" applyNumberFormat="1">
      <alignment horizontal="left"/>
    </xf>
    <xf borderId="0" fillId="19" fontId="64" numFmtId="0" xfId="0" applyAlignment="1" applyFont="1">
      <alignment horizontal="left" readingOrder="0"/>
    </xf>
    <xf borderId="0" fillId="19" fontId="64" numFmtId="173" xfId="0" applyAlignment="1" applyFont="1" applyNumberFormat="1">
      <alignment horizontal="left" readingOrder="0"/>
    </xf>
    <xf borderId="0" fillId="19" fontId="64" numFmtId="167" xfId="0" applyAlignment="1" applyFont="1" applyNumberFormat="1">
      <alignment horizontal="right" readingOrder="0"/>
    </xf>
    <xf borderId="0" fillId="19" fontId="64" numFmtId="0" xfId="0" applyAlignment="1" applyFont="1">
      <alignment horizontal="right" readingOrder="0"/>
    </xf>
    <xf borderId="0" fillId="18" fontId="64" numFmtId="0" xfId="0" applyAlignment="1" applyFont="1">
      <alignment horizontal="left" readingOrder="0"/>
    </xf>
    <xf borderId="0" fillId="18" fontId="64" numFmtId="173" xfId="0" applyAlignment="1" applyFont="1" applyNumberFormat="1">
      <alignment horizontal="left" readingOrder="0"/>
    </xf>
    <xf borderId="0" fillId="18" fontId="64" numFmtId="167" xfId="0" applyAlignment="1" applyFont="1" applyNumberFormat="1">
      <alignment horizontal="right" readingOrder="0"/>
    </xf>
    <xf borderId="0" fillId="18" fontId="64" numFmtId="0" xfId="0" applyAlignment="1" applyFont="1">
      <alignment horizontal="right" readingOrder="0"/>
    </xf>
    <xf borderId="0" fillId="18" fontId="64" numFmtId="173" xfId="0" applyAlignment="1" applyFont="1" applyNumberFormat="1">
      <alignment horizontal="left"/>
    </xf>
    <xf borderId="0" fillId="20" fontId="64" numFmtId="0" xfId="0" applyAlignment="1" applyFont="1">
      <alignment horizontal="left" readingOrder="0"/>
    </xf>
    <xf borderId="0" fillId="20" fontId="64" numFmtId="173" xfId="0" applyAlignment="1" applyFont="1" applyNumberFormat="1">
      <alignment horizontal="left" readingOrder="0"/>
    </xf>
    <xf borderId="0" fillId="20" fontId="64" numFmtId="167" xfId="0" applyAlignment="1" applyFont="1" applyNumberFormat="1">
      <alignment horizontal="right" readingOrder="0"/>
    </xf>
    <xf borderId="0" fillId="20" fontId="64" numFmtId="0" xfId="0" applyAlignment="1" applyFont="1">
      <alignment horizontal="right" readingOrder="0"/>
    </xf>
    <xf borderId="0" fillId="18" fontId="64" numFmtId="0" xfId="0" applyAlignment="1" applyFont="1">
      <alignment horizontal="left"/>
    </xf>
    <xf borderId="0" fillId="19" fontId="64" numFmtId="0" xfId="0" applyAlignment="1" applyFont="1">
      <alignment horizontal="left"/>
    </xf>
    <xf borderId="0" fillId="19" fontId="64" numFmtId="173" xfId="0" applyAlignment="1" applyFont="1" applyNumberFormat="1">
      <alignment horizontal="left"/>
    </xf>
    <xf borderId="1" fillId="0" fontId="19" numFmtId="0" xfId="0" applyAlignment="1" applyBorder="1" applyFont="1">
      <alignment readingOrder="0"/>
    </xf>
    <xf borderId="0" fillId="0" fontId="55" numFmtId="0" xfId="0" applyAlignment="1" applyFont="1">
      <alignment readingOrder="0"/>
    </xf>
    <xf borderId="0" fillId="0" fontId="55" numFmtId="171" xfId="0" applyAlignment="1" applyFont="1" applyNumberFormat="1">
      <alignment readingOrder="0"/>
    </xf>
    <xf borderId="0" fillId="0" fontId="65" numFmtId="0" xfId="0" applyFont="1"/>
    <xf borderId="0" fillId="21" fontId="55" numFmtId="0" xfId="0" applyAlignment="1" applyFill="1" applyFont="1">
      <alignment readingOrder="0"/>
    </xf>
    <xf borderId="0" fillId="21" fontId="55" numFmtId="171" xfId="0" applyAlignment="1" applyFont="1" applyNumberFormat="1">
      <alignment readingOrder="0"/>
    </xf>
    <xf borderId="0" fillId="21" fontId="55" numFmtId="0" xfId="0" applyFont="1"/>
    <xf borderId="0" fillId="21" fontId="55" numFmtId="170" xfId="0" applyAlignment="1" applyFont="1" applyNumberFormat="1">
      <alignment readingOrder="0"/>
    </xf>
    <xf borderId="0" fillId="0" fontId="55" numFmtId="170" xfId="0" applyAlignment="1" applyFont="1" applyNumberFormat="1">
      <alignment readingOrder="0"/>
    </xf>
    <xf borderId="0" fillId="12" fontId="66" numFmtId="0" xfId="0" applyAlignment="1" applyFont="1">
      <alignment horizontal="left" shrinkToFit="0" vertical="bottom" wrapText="0"/>
    </xf>
    <xf borderId="0" fillId="12" fontId="67" numFmtId="0" xfId="0" applyAlignment="1" applyFont="1">
      <alignment horizontal="center" readingOrder="0" shrinkToFit="0" wrapText="0"/>
    </xf>
    <xf borderId="0" fillId="12" fontId="66" numFmtId="0" xfId="0" applyAlignment="1" applyFont="1">
      <alignment horizontal="left" shrinkToFit="0" wrapText="0"/>
    </xf>
    <xf borderId="0" fillId="12" fontId="68" numFmtId="0" xfId="0" applyAlignment="1" applyFont="1">
      <alignment horizontal="right" readingOrder="0" shrinkToFit="0" wrapText="0"/>
    </xf>
    <xf borderId="0" fillId="12" fontId="69" numFmtId="171" xfId="0" applyAlignment="1" applyFont="1" applyNumberFormat="1">
      <alignment horizontal="left" readingOrder="0" shrinkToFit="0" wrapText="0"/>
    </xf>
    <xf borderId="0" fillId="12" fontId="69" numFmtId="174" xfId="0" applyAlignment="1" applyFont="1" applyNumberFormat="1">
      <alignment horizontal="left" readingOrder="0" shrinkToFit="0" wrapText="0"/>
    </xf>
    <xf borderId="0" fillId="12" fontId="70" numFmtId="0" xfId="0" applyAlignment="1" applyFont="1">
      <alignment horizontal="center" shrinkToFit="0" vertical="bottom" wrapText="0"/>
    </xf>
    <xf borderId="0" fillId="12" fontId="71" numFmtId="0" xfId="0" applyAlignment="1" applyFont="1">
      <alignment horizontal="left" shrinkToFit="0" vertical="bottom" wrapText="0"/>
    </xf>
    <xf borderId="0" fillId="12" fontId="72" numFmtId="0" xfId="0" applyAlignment="1" applyFont="1">
      <alignment horizontal="left" shrinkToFit="0" vertical="bottom" wrapText="0"/>
    </xf>
    <xf borderId="0" fillId="22" fontId="73" numFmtId="0" xfId="0" applyAlignment="1" applyFill="1" applyFont="1">
      <alignment horizontal="center" readingOrder="0" shrinkToFit="0" wrapText="0"/>
    </xf>
    <xf borderId="8" fillId="22" fontId="73" numFmtId="0" xfId="0" applyAlignment="1" applyBorder="1" applyFont="1">
      <alignment horizontal="center" readingOrder="0" shrinkToFit="0" wrapText="0"/>
    </xf>
    <xf borderId="0" fillId="0" fontId="74" numFmtId="174" xfId="0" applyAlignment="1" applyFont="1" applyNumberFormat="1">
      <alignment horizontal="center" readingOrder="0" shrinkToFit="0" wrapText="0"/>
    </xf>
    <xf borderId="0" fillId="0" fontId="75" numFmtId="0" xfId="0" applyAlignment="1" applyFont="1">
      <alignment horizontal="center" readingOrder="0"/>
    </xf>
    <xf borderId="8" fillId="0" fontId="76" numFmtId="0" xfId="0" applyAlignment="1" applyBorder="1" applyFont="1">
      <alignment horizontal="center" readingOrder="0" shrinkToFit="0" wrapText="0"/>
    </xf>
    <xf borderId="0" fillId="0" fontId="75" numFmtId="0" xfId="0" applyAlignment="1" applyFont="1">
      <alignment horizontal="center"/>
    </xf>
    <xf borderId="8" fillId="0" fontId="77" numFmtId="0" xfId="0" applyAlignment="1" applyBorder="1" applyFont="1">
      <alignment horizontal="center" readingOrder="0" shrinkToFit="0" wrapText="0"/>
    </xf>
    <xf borderId="8" fillId="0" fontId="78" numFmtId="0" xfId="0" applyAlignment="1" applyBorder="1" applyFont="1">
      <alignment horizontal="center"/>
    </xf>
    <xf borderId="0" fillId="6" fontId="58" numFmtId="0" xfId="0" applyAlignment="1" applyFont="1">
      <alignment vertical="bottom"/>
    </xf>
    <xf borderId="0" fillId="6" fontId="58" numFmtId="169" xfId="0" applyAlignment="1" applyFont="1" applyNumberFormat="1">
      <alignment horizontal="center" readingOrder="0" vertical="bottom"/>
    </xf>
    <xf borderId="0" fillId="6" fontId="58" numFmtId="0" xfId="0" applyAlignment="1" applyFont="1">
      <alignment readingOrder="0" vertical="bottom"/>
    </xf>
    <xf borderId="0" fillId="3" fontId="58" numFmtId="0" xfId="0" applyAlignment="1" applyFont="1">
      <alignment readingOrder="0" vertical="bottom"/>
    </xf>
    <xf borderId="1" fillId="0" fontId="79" numFmtId="0" xfId="0" applyAlignment="1" applyBorder="1" applyFont="1">
      <alignment readingOrder="0" vertical="bottom"/>
    </xf>
    <xf borderId="1" fillId="0" fontId="79" numFmtId="169" xfId="0" applyAlignment="1" applyBorder="1" applyFont="1" applyNumberFormat="1">
      <alignment horizontal="center" vertical="bottom"/>
    </xf>
    <xf borderId="1" fillId="0" fontId="79" numFmtId="0" xfId="0" applyAlignment="1" applyBorder="1" applyFont="1">
      <alignment vertical="bottom"/>
    </xf>
    <xf borderId="1" fillId="0" fontId="79" numFmtId="0" xfId="0" applyAlignment="1" applyBorder="1" applyFont="1">
      <alignment horizontal="right" vertical="bottom"/>
    </xf>
    <xf borderId="1" fillId="0" fontId="79" numFmtId="0" xfId="0" applyAlignment="1" applyBorder="1" applyFont="1">
      <alignment horizontal="right" readingOrder="0" vertical="bottom"/>
    </xf>
    <xf borderId="1" fillId="0" fontId="80" numFmtId="0" xfId="0" applyAlignment="1" applyBorder="1" applyFont="1">
      <alignment readingOrder="0" vertical="bottom"/>
    </xf>
    <xf borderId="1" fillId="0" fontId="29" numFmtId="169" xfId="0" applyAlignment="1" applyBorder="1" applyFont="1" applyNumberFormat="1">
      <alignment vertical="bottom"/>
    </xf>
    <xf borderId="1" fillId="0" fontId="80" numFmtId="0" xfId="0" applyAlignment="1" applyBorder="1" applyFont="1">
      <alignment vertical="bottom"/>
    </xf>
    <xf borderId="0" fillId="0" fontId="29" numFmtId="169" xfId="0" applyAlignment="1" applyFont="1" applyNumberFormat="1">
      <alignment vertical="bottom"/>
    </xf>
    <xf borderId="0" fillId="0" fontId="80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3438"/>
      </a:dk1>
      <a:lt1>
        <a:srgbClr val="FFFFFF"/>
      </a:lt1>
      <a:dk2>
        <a:srgbClr val="1A3438"/>
      </a:dk2>
      <a:lt2>
        <a:srgbClr val="FFFFFF"/>
      </a:lt2>
      <a:accent1>
        <a:srgbClr val="D77659"/>
      </a:accent1>
      <a:accent2>
        <a:srgbClr val="AB4028"/>
      </a:accent2>
      <a:accent3>
        <a:srgbClr val="004552"/>
      </a:accent3>
      <a:accent4>
        <a:srgbClr val="457D7C"/>
      </a:accent4>
      <a:accent5>
        <a:srgbClr val="50A6A6"/>
      </a:accent5>
      <a:accent6>
        <a:srgbClr val="9BCCC6"/>
      </a:accent6>
      <a:hlink>
        <a:srgbClr val="34A870"/>
      </a:hlink>
      <a:folHlink>
        <a:srgbClr val="34A870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0.0"/>
    <col customWidth="1" min="2" max="2" width="31.13"/>
    <col customWidth="1" min="3" max="3" width="45.5"/>
    <col customWidth="1" min="4" max="4" width="30.63"/>
  </cols>
  <sheetData>
    <row r="1" ht="35.25" customHeight="1">
      <c r="A1" s="1" t="s">
        <v>0</v>
      </c>
      <c r="B1" s="2">
        <f>NOW()</f>
        <v>46090.46455</v>
      </c>
      <c r="C1" s="3" t="s">
        <v>1</v>
      </c>
      <c r="D1" s="4" t="s">
        <v>2</v>
      </c>
      <c r="E1" s="5"/>
      <c r="F1" s="5"/>
      <c r="G1" s="5"/>
      <c r="H1" s="6"/>
    </row>
    <row r="2" ht="36.0" customHeight="1">
      <c r="A2" s="7" t="s">
        <v>3</v>
      </c>
      <c r="B2" s="8" t="s">
        <v>4</v>
      </c>
      <c r="C2" s="8" t="s">
        <v>5</v>
      </c>
      <c r="D2" s="9" t="s">
        <v>6</v>
      </c>
      <c r="E2" s="5"/>
      <c r="F2" s="5"/>
      <c r="G2" s="5"/>
      <c r="H2" s="6"/>
    </row>
    <row r="3" ht="32.25" customHeight="1">
      <c r="A3" s="10" t="s">
        <v>7</v>
      </c>
      <c r="B3" s="11">
        <v>3195.0</v>
      </c>
      <c r="C3" s="12"/>
      <c r="D3" s="13">
        <f t="shared" ref="D3:D4" si="1">B3-C3</f>
        <v>3195</v>
      </c>
      <c r="E3" s="14"/>
      <c r="G3" s="5"/>
      <c r="H3" s="15"/>
    </row>
    <row r="4" ht="33.75" customHeight="1">
      <c r="A4" s="16" t="s">
        <v>8</v>
      </c>
      <c r="B4" s="11">
        <v>0.0</v>
      </c>
      <c r="C4" s="12">
        <v>0.0</v>
      </c>
      <c r="D4" s="13">
        <f t="shared" si="1"/>
        <v>0</v>
      </c>
      <c r="E4" s="5"/>
      <c r="F4" s="5"/>
      <c r="G4" s="5"/>
      <c r="H4" s="17"/>
    </row>
    <row r="5" ht="29.25" customHeight="1">
      <c r="A5" s="10" t="s">
        <v>9</v>
      </c>
      <c r="B5" s="11">
        <v>0.0</v>
      </c>
      <c r="C5" s="12">
        <v>0.0</v>
      </c>
      <c r="D5" s="18">
        <f t="shared" ref="D5:D8" si="2">SUM(B5-C5)</f>
        <v>0</v>
      </c>
      <c r="E5" s="19"/>
      <c r="G5" s="20"/>
      <c r="H5" s="6"/>
    </row>
    <row r="6" ht="27.75" customHeight="1">
      <c r="A6" s="10" t="s">
        <v>10</v>
      </c>
      <c r="B6" s="11">
        <v>0.0</v>
      </c>
      <c r="C6" s="12">
        <v>0.0</v>
      </c>
      <c r="D6" s="18">
        <f t="shared" si="2"/>
        <v>0</v>
      </c>
      <c r="E6" s="21"/>
      <c r="F6" s="5"/>
      <c r="G6" s="20"/>
      <c r="H6" s="6"/>
    </row>
    <row r="7" ht="27.75" customHeight="1">
      <c r="A7" s="10" t="s">
        <v>11</v>
      </c>
      <c r="B7" s="11">
        <v>0.0</v>
      </c>
      <c r="C7" s="12"/>
      <c r="D7" s="18">
        <f t="shared" si="2"/>
        <v>0</v>
      </c>
      <c r="E7" s="21"/>
      <c r="F7" s="5"/>
      <c r="G7" s="20"/>
      <c r="H7" s="6"/>
    </row>
    <row r="8" ht="27.75" customHeight="1">
      <c r="A8" s="10" t="s">
        <v>12</v>
      </c>
      <c r="B8" s="11">
        <v>0.0</v>
      </c>
      <c r="C8" s="12"/>
      <c r="D8" s="18">
        <f t="shared" si="2"/>
        <v>0</v>
      </c>
      <c r="E8" s="21"/>
      <c r="F8" s="5"/>
      <c r="G8" s="20"/>
      <c r="H8" s="6"/>
    </row>
    <row r="9" ht="27.0" customHeight="1">
      <c r="A9" s="10" t="s">
        <v>13</v>
      </c>
      <c r="B9" s="11">
        <v>0.0</v>
      </c>
      <c r="C9" s="12">
        <v>0.0</v>
      </c>
      <c r="D9" s="13">
        <f t="shared" ref="D9:D10" si="3">B9-C9</f>
        <v>0</v>
      </c>
      <c r="E9" s="14"/>
      <c r="F9" s="5"/>
      <c r="G9" s="20"/>
      <c r="H9" s="6"/>
    </row>
    <row r="10" ht="27.0" customHeight="1">
      <c r="A10" s="10" t="s">
        <v>14</v>
      </c>
      <c r="B10" s="11">
        <v>0.0</v>
      </c>
      <c r="C10" s="12"/>
      <c r="D10" s="18">
        <f t="shared" si="3"/>
        <v>0</v>
      </c>
      <c r="E10" s="14"/>
      <c r="F10" s="14"/>
      <c r="G10" s="20"/>
      <c r="H10" s="5"/>
    </row>
    <row r="11" ht="27.0" customHeight="1">
      <c r="A11" s="10" t="s">
        <v>15</v>
      </c>
      <c r="B11" s="11">
        <v>0.0</v>
      </c>
      <c r="C11" s="12" t="s">
        <v>16</v>
      </c>
      <c r="D11" s="18">
        <v>0.0</v>
      </c>
      <c r="E11" s="14"/>
      <c r="F11" s="14"/>
      <c r="G11" s="20"/>
      <c r="H11" s="22"/>
    </row>
    <row r="12" ht="27.0" customHeight="1">
      <c r="A12" s="10" t="s">
        <v>17</v>
      </c>
      <c r="B12" s="11">
        <v>0.0</v>
      </c>
      <c r="C12" s="12">
        <v>0.0</v>
      </c>
      <c r="D12" s="13">
        <f t="shared" ref="D12:D13" si="4">B12-C12</f>
        <v>0</v>
      </c>
      <c r="E12" s="14"/>
      <c r="F12" s="14" t="s">
        <v>18</v>
      </c>
      <c r="G12" s="20"/>
      <c r="H12" s="22"/>
    </row>
    <row r="13" ht="31.5" customHeight="1">
      <c r="A13" s="10" t="s">
        <v>19</v>
      </c>
      <c r="B13" s="11">
        <v>0.0</v>
      </c>
      <c r="C13" s="12">
        <v>0.0</v>
      </c>
      <c r="D13" s="13">
        <f t="shared" si="4"/>
        <v>0</v>
      </c>
      <c r="E13" s="5"/>
      <c r="F13" s="5"/>
      <c r="G13" s="20"/>
      <c r="H13" s="22"/>
    </row>
    <row r="14" ht="31.5" customHeight="1">
      <c r="A14" s="10" t="s">
        <v>20</v>
      </c>
      <c r="B14" s="11">
        <v>0.0</v>
      </c>
      <c r="C14" s="12">
        <v>0.0</v>
      </c>
      <c r="D14" s="13">
        <f t="shared" ref="D14:D15" si="5">SUM(B14-C14)</f>
        <v>0</v>
      </c>
      <c r="E14" s="14"/>
      <c r="F14" s="5"/>
      <c r="G14" s="5"/>
      <c r="H14" s="22"/>
    </row>
    <row r="15" ht="31.5" customHeight="1">
      <c r="A15" s="10" t="s">
        <v>21</v>
      </c>
      <c r="B15" s="11">
        <v>20000.0</v>
      </c>
      <c r="C15" s="12">
        <v>0.0</v>
      </c>
      <c r="D15" s="13">
        <f t="shared" si="5"/>
        <v>20000</v>
      </c>
      <c r="E15" s="14"/>
      <c r="F15" s="5"/>
      <c r="G15" s="5"/>
      <c r="H15" s="22"/>
    </row>
    <row r="16" ht="31.5" customHeight="1">
      <c r="A16" s="10" t="s">
        <v>22</v>
      </c>
      <c r="B16" s="11">
        <v>0.0</v>
      </c>
      <c r="C16" s="12">
        <v>0.0</v>
      </c>
      <c r="D16" s="13">
        <f t="shared" ref="D16:D19" si="6">B16-C16</f>
        <v>0</v>
      </c>
      <c r="E16" s="14"/>
      <c r="F16" s="14"/>
      <c r="G16" s="5"/>
      <c r="H16" s="22"/>
    </row>
    <row r="17" ht="31.5" customHeight="1">
      <c r="A17" s="10" t="s">
        <v>23</v>
      </c>
      <c r="B17" s="11">
        <v>0.0</v>
      </c>
      <c r="C17" s="12">
        <v>0.0</v>
      </c>
      <c r="D17" s="13">
        <f t="shared" si="6"/>
        <v>0</v>
      </c>
      <c r="E17" s="5"/>
      <c r="F17" s="23" t="s">
        <v>24</v>
      </c>
      <c r="G17" s="14" t="s">
        <v>25</v>
      </c>
      <c r="H17" s="6"/>
      <c r="I17" s="24"/>
      <c r="J17" s="25" t="s">
        <v>26</v>
      </c>
    </row>
    <row r="18" ht="31.5" customHeight="1">
      <c r="A18" s="10" t="s">
        <v>27</v>
      </c>
      <c r="B18" s="11">
        <v>0.0</v>
      </c>
      <c r="C18" s="12">
        <v>0.0</v>
      </c>
      <c r="D18" s="13">
        <f t="shared" si="6"/>
        <v>0</v>
      </c>
      <c r="E18" s="14"/>
      <c r="F18" s="5"/>
      <c r="G18" s="5"/>
      <c r="H18" s="6"/>
    </row>
    <row r="19" ht="32.25" customHeight="1">
      <c r="A19" s="10" t="s">
        <v>28</v>
      </c>
      <c r="B19" s="11">
        <v>0.0</v>
      </c>
      <c r="C19" s="12">
        <v>0.0</v>
      </c>
      <c r="D19" s="13">
        <f t="shared" si="6"/>
        <v>0</v>
      </c>
      <c r="E19" s="14"/>
      <c r="F19" s="14"/>
      <c r="G19" s="14"/>
      <c r="H19" s="6"/>
    </row>
    <row r="20" ht="31.5" customHeight="1">
      <c r="A20" s="26"/>
      <c r="B20" s="26"/>
      <c r="C20" s="27"/>
      <c r="D20" s="28">
        <f>SUM(D3:D19)</f>
        <v>23195</v>
      </c>
      <c r="E20" s="5"/>
      <c r="F20" s="5"/>
      <c r="G20" s="5"/>
      <c r="H20" s="14"/>
    </row>
    <row r="21" ht="15.75" customHeight="1">
      <c r="A21" s="29"/>
      <c r="B21" s="30"/>
      <c r="C21" s="14"/>
      <c r="D21" s="31"/>
      <c r="E21" s="5"/>
      <c r="F21" s="14"/>
      <c r="G21" s="14"/>
      <c r="H21" s="5"/>
    </row>
    <row r="22" ht="15.75" customHeight="1">
      <c r="A22" s="29"/>
      <c r="B22" s="30"/>
      <c r="C22" s="5"/>
      <c r="D22" s="31"/>
      <c r="E22" s="32"/>
      <c r="F22" s="5"/>
      <c r="G22" s="5"/>
      <c r="H22" s="5"/>
    </row>
    <row r="23" ht="27.0" customHeight="1">
      <c r="A23" s="33"/>
      <c r="B23" s="34"/>
      <c r="C23" s="35" t="s">
        <v>6</v>
      </c>
      <c r="D23" s="36"/>
      <c r="E23" s="37"/>
      <c r="F23" s="14"/>
      <c r="G23" s="5"/>
      <c r="H23" s="5"/>
    </row>
    <row r="24" ht="24.0" customHeight="1">
      <c r="A24" s="38">
        <v>201.0</v>
      </c>
      <c r="B24" s="39">
        <v>100.0</v>
      </c>
      <c r="C24" s="40">
        <f> A24*B24</f>
        <v>20100</v>
      </c>
      <c r="D24" s="41"/>
      <c r="E24" s="42"/>
      <c r="F24" s="43"/>
      <c r="G24" s="5"/>
      <c r="H24" s="5"/>
    </row>
    <row r="25" ht="22.5" customHeight="1">
      <c r="A25" s="44">
        <v>0.0</v>
      </c>
      <c r="B25" s="39">
        <v>50.0</v>
      </c>
      <c r="C25" s="40">
        <f t="shared" ref="C25:C29" si="7">A25*B25</f>
        <v>0</v>
      </c>
      <c r="D25" s="41"/>
      <c r="E25" s="42"/>
      <c r="F25" s="5"/>
      <c r="G25" s="5"/>
      <c r="H25" s="14"/>
    </row>
    <row r="26" ht="21.75" customHeight="1">
      <c r="A26" s="38">
        <v>100.0</v>
      </c>
      <c r="B26" s="39">
        <v>20.0</v>
      </c>
      <c r="C26" s="40">
        <f t="shared" si="7"/>
        <v>2000</v>
      </c>
      <c r="D26" s="41"/>
      <c r="E26" s="42"/>
      <c r="F26" s="5"/>
      <c r="G26" s="5"/>
      <c r="H26" s="5"/>
      <c r="J26" s="45"/>
    </row>
    <row r="27" ht="25.5" customHeight="1">
      <c r="A27" s="38">
        <v>76.0</v>
      </c>
      <c r="B27" s="39">
        <v>10.0</v>
      </c>
      <c r="C27" s="39">
        <f t="shared" si="7"/>
        <v>760</v>
      </c>
      <c r="D27" s="41"/>
      <c r="E27" s="46"/>
      <c r="F27" s="5"/>
      <c r="G27" s="14"/>
      <c r="H27" s="5"/>
      <c r="J27" s="45"/>
    </row>
    <row r="28" ht="22.5" customHeight="1">
      <c r="A28" s="38">
        <v>21.0</v>
      </c>
      <c r="B28" s="39">
        <v>5.0</v>
      </c>
      <c r="C28" s="38">
        <f t="shared" si="7"/>
        <v>105</v>
      </c>
      <c r="D28" s="47"/>
      <c r="E28" s="42"/>
      <c r="F28" s="48"/>
      <c r="G28" s="48"/>
      <c r="H28" s="48"/>
      <c r="I28" s="49"/>
      <c r="J28" s="50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21.75" customHeight="1">
      <c r="A29" s="38">
        <v>230.0</v>
      </c>
      <c r="B29" s="39">
        <v>1.0</v>
      </c>
      <c r="C29" s="40">
        <f t="shared" si="7"/>
        <v>230</v>
      </c>
      <c r="D29" s="41"/>
      <c r="E29" s="42"/>
      <c r="F29" s="5"/>
      <c r="G29" s="5"/>
      <c r="H29" s="5"/>
      <c r="J29" s="45"/>
    </row>
    <row r="30" ht="45.75" customHeight="1">
      <c r="A30" s="51"/>
      <c r="B30" s="52"/>
      <c r="C30" s="53">
        <f>SUM(C24:C29)</f>
        <v>23195</v>
      </c>
      <c r="D30" s="28">
        <f>D20</f>
        <v>23195</v>
      </c>
      <c r="E30" s="54">
        <f>C30-D30</f>
        <v>0</v>
      </c>
      <c r="F30" s="55"/>
      <c r="G30" s="14"/>
      <c r="H30" s="14"/>
    </row>
    <row r="31" ht="21.75" customHeight="1">
      <c r="A31" s="56"/>
      <c r="B31" s="52"/>
      <c r="C31" s="52"/>
      <c r="D31" s="29"/>
      <c r="E31" s="5"/>
      <c r="F31" s="5"/>
      <c r="G31" s="5"/>
      <c r="H31" s="5"/>
    </row>
    <row r="32">
      <c r="A32" s="56"/>
      <c r="B32" s="57"/>
    </row>
    <row r="33">
      <c r="A33" s="56"/>
      <c r="J33" s="58" t="str">
        <f>++++B312325</f>
        <v/>
      </c>
    </row>
    <row r="34" ht="54.0" customHeight="1">
      <c r="A34" s="59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">
    <mergeCell ref="E30:F30"/>
  </mergeCell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4.88"/>
    <col customWidth="1" min="3" max="3" width="44.25"/>
    <col customWidth="1" min="4" max="4" width="23.5"/>
    <col customWidth="1" min="5" max="5" width="33.63"/>
    <col customWidth="1" min="6" max="6" width="22.25"/>
  </cols>
  <sheetData>
    <row r="1">
      <c r="A1" s="60" t="s">
        <v>29</v>
      </c>
      <c r="B1" s="60" t="s">
        <v>30</v>
      </c>
      <c r="C1" s="60" t="s">
        <v>31</v>
      </c>
      <c r="D1" s="61" t="s">
        <v>32</v>
      </c>
      <c r="E1" s="61" t="s">
        <v>33</v>
      </c>
      <c r="F1" s="62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>
      <c r="A2" s="64" t="s">
        <v>34</v>
      </c>
      <c r="B2" s="65"/>
      <c r="C2" s="65"/>
      <c r="D2" s="66"/>
      <c r="E2" s="66"/>
      <c r="F2" s="67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>
      <c r="A3" s="69" t="s">
        <v>35</v>
      </c>
      <c r="B3" s="70"/>
      <c r="C3" s="70"/>
      <c r="D3" s="71"/>
      <c r="E3" s="71"/>
      <c r="F3" s="72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>
      <c r="A4" s="64" t="s">
        <v>36</v>
      </c>
      <c r="B4" s="65"/>
      <c r="C4" s="65"/>
      <c r="D4" s="66"/>
      <c r="E4" s="66"/>
      <c r="F4" s="67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>
      <c r="A5" s="69" t="s">
        <v>37</v>
      </c>
      <c r="B5" s="70"/>
      <c r="C5" s="70"/>
      <c r="D5" s="71"/>
      <c r="E5" s="71"/>
      <c r="F5" s="72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>
      <c r="A6" s="64" t="s">
        <v>38</v>
      </c>
      <c r="B6" s="65"/>
      <c r="C6" s="65"/>
      <c r="D6" s="66"/>
      <c r="E6" s="66"/>
      <c r="F6" s="67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>
      <c r="A7" s="69" t="s">
        <v>39</v>
      </c>
      <c r="B7" s="70"/>
      <c r="C7" s="70"/>
      <c r="D7" s="71"/>
      <c r="E7" s="71"/>
      <c r="F7" s="72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>
      <c r="A8" s="64" t="s">
        <v>40</v>
      </c>
      <c r="B8" s="65"/>
      <c r="C8" s="65"/>
      <c r="D8" s="66"/>
      <c r="E8" s="66"/>
      <c r="F8" s="67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>
      <c r="A9" s="69" t="s">
        <v>41</v>
      </c>
      <c r="B9" s="70"/>
      <c r="C9" s="70"/>
      <c r="D9" s="71"/>
      <c r="E9" s="71"/>
      <c r="F9" s="72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>
      <c r="A10" s="64" t="s">
        <v>42</v>
      </c>
      <c r="B10" s="65"/>
      <c r="C10" s="65"/>
      <c r="D10" s="66"/>
      <c r="E10" s="66"/>
      <c r="F10" s="67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>
      <c r="A11" s="69" t="s">
        <v>43</v>
      </c>
      <c r="B11" s="70"/>
      <c r="C11" s="70"/>
      <c r="D11" s="71"/>
      <c r="E11" s="71"/>
      <c r="F11" s="72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>
      <c r="A12" s="64" t="s">
        <v>44</v>
      </c>
      <c r="B12" s="65"/>
      <c r="C12" s="65"/>
      <c r="D12" s="66"/>
      <c r="E12" s="66"/>
      <c r="F12" s="67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>
      <c r="A13" s="69" t="s">
        <v>45</v>
      </c>
      <c r="B13" s="70"/>
      <c r="C13" s="70"/>
      <c r="D13" s="71"/>
      <c r="E13" s="71"/>
      <c r="F13" s="72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>
      <c r="A14" s="64" t="s">
        <v>46</v>
      </c>
      <c r="B14" s="65"/>
      <c r="C14" s="65"/>
      <c r="D14" s="66"/>
      <c r="E14" s="66"/>
      <c r="F14" s="67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>
      <c r="A15" s="69" t="s">
        <v>47</v>
      </c>
      <c r="B15" s="70"/>
      <c r="C15" s="70"/>
      <c r="D15" s="71"/>
      <c r="E15" s="71"/>
      <c r="F15" s="72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>
      <c r="A16" s="64" t="s">
        <v>48</v>
      </c>
      <c r="B16" s="65"/>
      <c r="C16" s="65"/>
      <c r="D16" s="66"/>
      <c r="E16" s="66"/>
      <c r="F16" s="67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>
      <c r="A17" s="69" t="s">
        <v>49</v>
      </c>
      <c r="B17" s="70"/>
      <c r="C17" s="70"/>
      <c r="D17" s="71"/>
      <c r="E17" s="71">
        <v>10.0</v>
      </c>
      <c r="F17" s="72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>
      <c r="A18" s="64" t="s">
        <v>50</v>
      </c>
      <c r="B18" s="65"/>
      <c r="C18" s="65"/>
      <c r="D18" s="66"/>
      <c r="E18" s="66">
        <v>30.0</v>
      </c>
      <c r="F18" s="67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>
      <c r="A19" s="69" t="s">
        <v>51</v>
      </c>
      <c r="B19" s="70"/>
      <c r="C19" s="70"/>
      <c r="D19" s="71"/>
      <c r="E19" s="71">
        <v>15.0</v>
      </c>
      <c r="F19" s="72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>
      <c r="A20" s="64" t="s">
        <v>52</v>
      </c>
      <c r="B20" s="65"/>
      <c r="C20" s="65"/>
      <c r="D20" s="66"/>
      <c r="E20" s="66">
        <v>10.0</v>
      </c>
      <c r="F20" s="64" t="s">
        <v>53</v>
      </c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>
      <c r="A21" s="69" t="s">
        <v>54</v>
      </c>
      <c r="B21" s="70"/>
      <c r="C21" s="70"/>
      <c r="D21" s="71"/>
      <c r="E21" s="71"/>
      <c r="F21" s="70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>
      <c r="A22" s="64" t="s">
        <v>55</v>
      </c>
      <c r="B22" s="65"/>
      <c r="C22" s="65"/>
      <c r="D22" s="66"/>
      <c r="E22" s="66"/>
      <c r="F22" s="64" t="s">
        <v>56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>
      <c r="A23" s="69" t="s">
        <v>57</v>
      </c>
      <c r="B23" s="70"/>
      <c r="C23" s="70"/>
      <c r="D23" s="71"/>
      <c r="E23" s="71">
        <v>15.0</v>
      </c>
      <c r="F23" s="69" t="s">
        <v>56</v>
      </c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>
      <c r="A24" s="64" t="s">
        <v>58</v>
      </c>
      <c r="B24" s="65"/>
      <c r="C24" s="65"/>
      <c r="D24" s="66"/>
      <c r="E24" s="66"/>
      <c r="F24" s="65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>
      <c r="A25" s="69" t="s">
        <v>59</v>
      </c>
      <c r="B25" s="70"/>
      <c r="C25" s="70"/>
      <c r="D25" s="71"/>
      <c r="E25" s="71"/>
      <c r="F25" s="70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>
      <c r="A26" s="64" t="s">
        <v>60</v>
      </c>
      <c r="B26" s="65"/>
      <c r="C26" s="65"/>
      <c r="D26" s="66"/>
      <c r="E26" s="66">
        <v>10.0</v>
      </c>
      <c r="F26" s="64" t="s">
        <v>53</v>
      </c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>
      <c r="A27" s="69" t="s">
        <v>61</v>
      </c>
      <c r="B27" s="70"/>
      <c r="C27" s="69" t="s">
        <v>62</v>
      </c>
      <c r="D27" s="71"/>
      <c r="E27" s="71">
        <v>25.0</v>
      </c>
      <c r="F27" s="70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>
      <c r="A28" s="64" t="s">
        <v>63</v>
      </c>
      <c r="B28" s="65"/>
      <c r="C28" s="64" t="s">
        <v>64</v>
      </c>
      <c r="D28" s="66"/>
      <c r="E28" s="66"/>
      <c r="F28" s="65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>
      <c r="A29" s="69" t="s">
        <v>65</v>
      </c>
      <c r="B29" s="70"/>
      <c r="C29" s="69" t="s">
        <v>66</v>
      </c>
      <c r="D29" s="71"/>
      <c r="E29" s="71">
        <v>5.0</v>
      </c>
      <c r="F29" s="70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>
      <c r="A30" s="64" t="s">
        <v>67</v>
      </c>
      <c r="B30" s="65"/>
      <c r="C30" s="64" t="s">
        <v>68</v>
      </c>
      <c r="D30" s="66"/>
      <c r="E30" s="66"/>
      <c r="F30" s="65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>
      <c r="A31" s="69" t="s">
        <v>69</v>
      </c>
      <c r="B31" s="70"/>
      <c r="C31" s="69" t="s">
        <v>68</v>
      </c>
      <c r="D31" s="71"/>
      <c r="E31" s="71">
        <v>10.0</v>
      </c>
      <c r="F31" s="69" t="s">
        <v>53</v>
      </c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>
      <c r="A32" s="64" t="s">
        <v>70</v>
      </c>
      <c r="B32" s="65"/>
      <c r="C32" s="64" t="s">
        <v>71</v>
      </c>
      <c r="D32" s="66"/>
      <c r="E32" s="66">
        <v>20.0</v>
      </c>
      <c r="F32" s="65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>
      <c r="A33" s="69" t="s">
        <v>72</v>
      </c>
      <c r="B33" s="70"/>
      <c r="C33" s="70"/>
      <c r="D33" s="71"/>
      <c r="E33" s="71">
        <v>20.0</v>
      </c>
      <c r="F33" s="69" t="s">
        <v>73</v>
      </c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>
      <c r="A34" s="64" t="s">
        <v>74</v>
      </c>
      <c r="B34" s="65"/>
      <c r="C34" s="65"/>
      <c r="D34" s="66"/>
      <c r="E34" s="66">
        <v>25.0</v>
      </c>
      <c r="F34" s="64" t="s">
        <v>75</v>
      </c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>
      <c r="A35" s="69" t="s">
        <v>76</v>
      </c>
      <c r="B35" s="70"/>
      <c r="C35" s="70"/>
      <c r="D35" s="71"/>
      <c r="E35" s="71">
        <v>40.0</v>
      </c>
      <c r="F35" s="69" t="s">
        <v>77</v>
      </c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>
      <c r="A36" s="64" t="s">
        <v>78</v>
      </c>
      <c r="B36" s="65"/>
      <c r="C36" s="65"/>
      <c r="D36" s="66"/>
      <c r="E36" s="66"/>
      <c r="F36" s="65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>
      <c r="A37" s="69" t="s">
        <v>79</v>
      </c>
      <c r="B37" s="70"/>
      <c r="C37" s="70"/>
      <c r="D37" s="71"/>
      <c r="E37" s="71"/>
      <c r="F37" s="70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>
      <c r="A38" s="64" t="s">
        <v>80</v>
      </c>
      <c r="B38" s="65"/>
      <c r="C38" s="65"/>
      <c r="D38" s="66"/>
      <c r="E38" s="66"/>
      <c r="F38" s="65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>
      <c r="A39" s="69" t="s">
        <v>81</v>
      </c>
      <c r="B39" s="70"/>
      <c r="C39" s="70"/>
      <c r="D39" s="71"/>
      <c r="E39" s="71"/>
      <c r="F39" s="70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>
      <c r="A40" s="64" t="s">
        <v>82</v>
      </c>
      <c r="B40" s="65"/>
      <c r="C40" s="65"/>
      <c r="D40" s="66"/>
      <c r="E40" s="66"/>
      <c r="F40" s="65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>
      <c r="A41" s="69" t="s">
        <v>83</v>
      </c>
      <c r="B41" s="70"/>
      <c r="C41" s="70"/>
      <c r="D41" s="71"/>
      <c r="E41" s="71"/>
      <c r="F41" s="70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>
      <c r="A42" s="64" t="s">
        <v>84</v>
      </c>
      <c r="B42" s="65"/>
      <c r="C42" s="65"/>
      <c r="D42" s="66"/>
      <c r="E42" s="66"/>
      <c r="F42" s="65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>
      <c r="A43" s="69" t="s">
        <v>85</v>
      </c>
      <c r="B43" s="70"/>
      <c r="C43" s="70"/>
      <c r="D43" s="71"/>
      <c r="E43" s="71"/>
      <c r="F43" s="70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>
      <c r="A44" s="64" t="s">
        <v>86</v>
      </c>
      <c r="B44" s="65"/>
      <c r="C44" s="65"/>
      <c r="D44" s="66"/>
      <c r="E44" s="66"/>
      <c r="F44" s="65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>
      <c r="A45" s="69" t="s">
        <v>87</v>
      </c>
      <c r="B45" s="70"/>
      <c r="C45" s="70"/>
      <c r="D45" s="71"/>
      <c r="E45" s="71"/>
      <c r="F45" s="70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>
      <c r="A46" s="64" t="s">
        <v>88</v>
      </c>
      <c r="B46" s="65"/>
      <c r="C46" s="65"/>
      <c r="D46" s="66"/>
      <c r="E46" s="66"/>
      <c r="F46" s="65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>
      <c r="A47" s="69" t="s">
        <v>89</v>
      </c>
      <c r="B47" s="70"/>
      <c r="C47" s="70"/>
      <c r="D47" s="71"/>
      <c r="E47" s="71"/>
      <c r="F47" s="70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>
      <c r="A48" s="64" t="s">
        <v>90</v>
      </c>
      <c r="B48" s="65"/>
      <c r="C48" s="65"/>
      <c r="D48" s="66"/>
      <c r="E48" s="66"/>
      <c r="F48" s="65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>
      <c r="A49" s="69" t="s">
        <v>91</v>
      </c>
      <c r="B49" s="70"/>
      <c r="C49" s="70"/>
      <c r="D49" s="71"/>
      <c r="E49" s="71"/>
      <c r="F49" s="70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>
      <c r="A50" s="64" t="s">
        <v>92</v>
      </c>
      <c r="B50" s="65"/>
      <c r="C50" s="65"/>
      <c r="D50" s="66"/>
      <c r="E50" s="66"/>
      <c r="F50" s="65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>
      <c r="A51" s="69" t="s">
        <v>93</v>
      </c>
      <c r="B51" s="70"/>
      <c r="C51" s="70"/>
      <c r="D51" s="71"/>
      <c r="E51" s="71"/>
      <c r="F51" s="70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>
      <c r="A52" s="64" t="s">
        <v>94</v>
      </c>
      <c r="B52" s="65"/>
      <c r="C52" s="65"/>
      <c r="D52" s="66"/>
      <c r="E52" s="66"/>
      <c r="F52" s="65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>
      <c r="A53" s="69" t="s">
        <v>95</v>
      </c>
      <c r="B53" s="70"/>
      <c r="C53" s="70"/>
      <c r="D53" s="71"/>
      <c r="E53" s="71"/>
      <c r="F53" s="70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>
      <c r="A54" s="64" t="s">
        <v>96</v>
      </c>
      <c r="B54" s="65"/>
      <c r="C54" s="65"/>
      <c r="D54" s="66"/>
      <c r="E54" s="66"/>
      <c r="F54" s="65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>
      <c r="A55" s="69" t="s">
        <v>97</v>
      </c>
      <c r="B55" s="70"/>
      <c r="C55" s="70"/>
      <c r="D55" s="71"/>
      <c r="E55" s="71"/>
      <c r="F55" s="70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>
      <c r="A56" s="64" t="s">
        <v>98</v>
      </c>
      <c r="B56" s="65"/>
      <c r="C56" s="65"/>
      <c r="D56" s="66"/>
      <c r="E56" s="66"/>
      <c r="F56" s="65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>
      <c r="A57" s="69" t="s">
        <v>99</v>
      </c>
      <c r="B57" s="70"/>
      <c r="C57" s="70"/>
      <c r="D57" s="71"/>
      <c r="E57" s="71"/>
      <c r="F57" s="70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>
      <c r="A58" s="64" t="s">
        <v>100</v>
      </c>
      <c r="B58" s="65"/>
      <c r="C58" s="65"/>
      <c r="D58" s="66"/>
      <c r="E58" s="66"/>
      <c r="F58" s="65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>
      <c r="A59" s="69" t="s">
        <v>101</v>
      </c>
      <c r="B59" s="70"/>
      <c r="C59" s="70"/>
      <c r="D59" s="71"/>
      <c r="E59" s="71"/>
      <c r="F59" s="70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>
      <c r="A60" s="64" t="s">
        <v>102</v>
      </c>
      <c r="B60" s="65"/>
      <c r="C60" s="65"/>
      <c r="D60" s="66"/>
      <c r="E60" s="66"/>
      <c r="F60" s="65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>
      <c r="A61" s="69" t="s">
        <v>103</v>
      </c>
      <c r="B61" s="70"/>
      <c r="C61" s="70"/>
      <c r="D61" s="71"/>
      <c r="E61" s="71"/>
      <c r="F61" s="70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>
      <c r="A62" s="64" t="s">
        <v>104</v>
      </c>
      <c r="B62" s="65"/>
      <c r="C62" s="65"/>
      <c r="D62" s="66"/>
      <c r="E62" s="66"/>
      <c r="F62" s="65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>
      <c r="A63" s="69" t="s">
        <v>105</v>
      </c>
      <c r="B63" s="70"/>
      <c r="C63" s="70"/>
      <c r="D63" s="71"/>
      <c r="E63" s="71"/>
      <c r="F63" s="70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>
      <c r="A64" s="64" t="s">
        <v>106</v>
      </c>
      <c r="B64" s="65"/>
      <c r="C64" s="65"/>
      <c r="D64" s="66"/>
      <c r="E64" s="66"/>
      <c r="F64" s="65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>
      <c r="A65" s="69" t="s">
        <v>107</v>
      </c>
      <c r="B65" s="70"/>
      <c r="C65" s="70"/>
      <c r="D65" s="71"/>
      <c r="E65" s="71"/>
      <c r="F65" s="70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>
      <c r="A66" s="64" t="s">
        <v>108</v>
      </c>
      <c r="B66" s="65"/>
      <c r="C66" s="65"/>
      <c r="D66" s="66"/>
      <c r="E66" s="66"/>
      <c r="F66" s="65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>
      <c r="A67" s="69" t="s">
        <v>109</v>
      </c>
      <c r="B67" s="70"/>
      <c r="C67" s="70"/>
      <c r="D67" s="71"/>
      <c r="E67" s="71"/>
      <c r="F67" s="70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>
      <c r="A68" s="64" t="s">
        <v>110</v>
      </c>
      <c r="B68" s="64">
        <v>0.0</v>
      </c>
      <c r="C68" s="65"/>
      <c r="D68" s="66"/>
      <c r="E68" s="66"/>
      <c r="F68" s="65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>
      <c r="A69" s="69" t="s">
        <v>111</v>
      </c>
      <c r="B69" s="69">
        <v>0.0</v>
      </c>
      <c r="C69" s="70"/>
      <c r="D69" s="71"/>
      <c r="E69" s="71"/>
      <c r="F69" s="70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>
      <c r="A70" s="64" t="s">
        <v>112</v>
      </c>
      <c r="B70" s="64">
        <v>1.0</v>
      </c>
      <c r="C70" s="65"/>
      <c r="D70" s="66"/>
      <c r="E70" s="66"/>
      <c r="F70" s="65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>
      <c r="A71" s="69" t="s">
        <v>113</v>
      </c>
      <c r="B71" s="69">
        <v>0.0</v>
      </c>
      <c r="C71" s="70"/>
      <c r="D71" s="71"/>
      <c r="E71" s="71"/>
      <c r="F71" s="70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>
      <c r="A72" s="74"/>
      <c r="B72" s="74"/>
      <c r="C72" s="74"/>
      <c r="D72" s="75"/>
      <c r="E72" s="75"/>
      <c r="F72" s="74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>
      <c r="A73" s="74"/>
      <c r="B73" s="74"/>
      <c r="C73" s="74"/>
      <c r="D73" s="75"/>
      <c r="E73" s="75"/>
      <c r="F73" s="74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>
      <c r="A74" s="74"/>
      <c r="B74" s="74"/>
      <c r="C74" s="74"/>
      <c r="D74" s="75"/>
      <c r="E74" s="75"/>
      <c r="F74" s="74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>
      <c r="A75" s="74"/>
      <c r="B75" s="74"/>
      <c r="C75" s="74"/>
      <c r="D75" s="75"/>
      <c r="E75" s="75"/>
      <c r="F75" s="74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>
      <c r="A76" s="74"/>
      <c r="B76" s="74"/>
      <c r="C76" s="74"/>
      <c r="D76" s="75"/>
      <c r="E76" s="75"/>
      <c r="F76" s="74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>
      <c r="A77" s="74"/>
      <c r="B77" s="74"/>
      <c r="C77" s="74"/>
      <c r="D77" s="75"/>
      <c r="E77" s="75"/>
      <c r="F77" s="74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>
      <c r="A78" s="74"/>
      <c r="B78" s="74"/>
      <c r="C78" s="74"/>
      <c r="D78" s="75"/>
      <c r="E78" s="75"/>
      <c r="F78" s="74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>
      <c r="A79" s="74"/>
      <c r="B79" s="74"/>
      <c r="C79" s="74"/>
      <c r="D79" s="75"/>
      <c r="E79" s="75"/>
      <c r="F79" s="74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>
      <c r="A80" s="74"/>
      <c r="B80" s="74"/>
      <c r="C80" s="74"/>
      <c r="D80" s="75"/>
      <c r="E80" s="75"/>
      <c r="F80" s="74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>
      <c r="A81" s="74"/>
      <c r="B81" s="74"/>
      <c r="C81" s="74"/>
      <c r="D81" s="75"/>
      <c r="E81" s="75"/>
      <c r="F81" s="74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>
      <c r="A82" s="74"/>
      <c r="B82" s="74"/>
      <c r="C82" s="74"/>
      <c r="D82" s="75"/>
      <c r="E82" s="75"/>
      <c r="F82" s="74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>
      <c r="A83" s="74"/>
      <c r="B83" s="74"/>
      <c r="C83" s="74"/>
      <c r="D83" s="75"/>
      <c r="E83" s="75"/>
      <c r="F83" s="74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>
      <c r="A84" s="74"/>
      <c r="B84" s="74"/>
      <c r="C84" s="74"/>
      <c r="D84" s="75"/>
      <c r="E84" s="75"/>
      <c r="F84" s="74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>
      <c r="A85" s="74"/>
      <c r="B85" s="74"/>
      <c r="C85" s="74"/>
      <c r="D85" s="75"/>
      <c r="E85" s="75"/>
      <c r="F85" s="74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>
      <c r="A86" s="74"/>
      <c r="B86" s="74"/>
      <c r="C86" s="74"/>
      <c r="D86" s="75"/>
      <c r="E86" s="75"/>
      <c r="F86" s="74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>
      <c r="A87" s="74"/>
      <c r="B87" s="74"/>
      <c r="C87" s="74"/>
      <c r="D87" s="75"/>
      <c r="E87" s="75"/>
      <c r="F87" s="74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>
      <c r="A88" s="74"/>
      <c r="B88" s="74"/>
      <c r="C88" s="74"/>
      <c r="D88" s="75"/>
      <c r="E88" s="75"/>
      <c r="F88" s="74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>
      <c r="A89" s="74"/>
      <c r="B89" s="74"/>
      <c r="C89" s="74"/>
      <c r="D89" s="75"/>
      <c r="E89" s="75"/>
      <c r="F89" s="74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>
      <c r="A90" s="74"/>
      <c r="B90" s="74"/>
      <c r="C90" s="74"/>
      <c r="D90" s="75"/>
      <c r="E90" s="75"/>
      <c r="F90" s="74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>
      <c r="A91" s="74"/>
      <c r="B91" s="74"/>
      <c r="C91" s="74"/>
      <c r="D91" s="75"/>
      <c r="E91" s="75"/>
      <c r="F91" s="74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>
      <c r="A92" s="74"/>
      <c r="B92" s="74"/>
      <c r="C92" s="74"/>
      <c r="D92" s="75"/>
      <c r="E92" s="75"/>
      <c r="F92" s="74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>
      <c r="A93" s="74"/>
      <c r="B93" s="74"/>
      <c r="C93" s="74"/>
      <c r="D93" s="75"/>
      <c r="E93" s="75"/>
      <c r="F93" s="74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>
      <c r="A94" s="74"/>
      <c r="B94" s="74"/>
      <c r="C94" s="74"/>
      <c r="D94" s="75"/>
      <c r="E94" s="75"/>
      <c r="F94" s="74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>
      <c r="A95" s="74"/>
      <c r="B95" s="74"/>
      <c r="C95" s="74"/>
      <c r="D95" s="75"/>
      <c r="E95" s="75"/>
      <c r="F95" s="74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>
      <c r="A96" s="74"/>
      <c r="B96" s="74"/>
      <c r="C96" s="74"/>
      <c r="D96" s="75"/>
      <c r="E96" s="75"/>
      <c r="F96" s="74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>
      <c r="A97" s="74"/>
      <c r="B97" s="74"/>
      <c r="C97" s="74"/>
      <c r="D97" s="75"/>
      <c r="E97" s="75"/>
      <c r="F97" s="74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>
      <c r="A98" s="74"/>
      <c r="B98" s="74"/>
      <c r="C98" s="74"/>
      <c r="D98" s="75"/>
      <c r="E98" s="75"/>
      <c r="F98" s="74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>
      <c r="A99" s="74"/>
      <c r="B99" s="74"/>
      <c r="C99" s="74"/>
      <c r="D99" s="75"/>
      <c r="E99" s="75"/>
      <c r="F99" s="74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>
      <c r="A100" s="74"/>
      <c r="B100" s="74"/>
      <c r="C100" s="74"/>
      <c r="D100" s="75"/>
      <c r="E100" s="75"/>
      <c r="F100" s="74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>
      <c r="A101" s="74"/>
      <c r="B101" s="74"/>
      <c r="C101" s="74"/>
      <c r="D101" s="75"/>
      <c r="E101" s="75"/>
      <c r="F101" s="74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>
      <c r="A102" s="74"/>
      <c r="B102" s="74"/>
      <c r="C102" s="74"/>
      <c r="D102" s="75"/>
      <c r="E102" s="75"/>
      <c r="F102" s="74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>
      <c r="A103" s="74"/>
      <c r="B103" s="74"/>
      <c r="C103" s="74"/>
      <c r="D103" s="75"/>
      <c r="E103" s="75"/>
      <c r="F103" s="74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>
      <c r="A104" s="74"/>
      <c r="B104" s="74"/>
      <c r="C104" s="74"/>
      <c r="D104" s="75"/>
      <c r="E104" s="75"/>
      <c r="F104" s="74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>
      <c r="A105" s="74"/>
      <c r="B105" s="74"/>
      <c r="C105" s="74"/>
      <c r="D105" s="75"/>
      <c r="E105" s="75"/>
      <c r="F105" s="74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>
      <c r="A106" s="74"/>
      <c r="B106" s="74"/>
      <c r="C106" s="74"/>
      <c r="D106" s="75"/>
      <c r="E106" s="75"/>
      <c r="F106" s="74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>
      <c r="A107" s="74"/>
      <c r="B107" s="74"/>
      <c r="C107" s="74"/>
      <c r="D107" s="75"/>
      <c r="E107" s="75"/>
      <c r="F107" s="74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>
      <c r="A108" s="74"/>
      <c r="B108" s="74"/>
      <c r="C108" s="74"/>
      <c r="D108" s="75"/>
      <c r="E108" s="75"/>
      <c r="F108" s="74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>
      <c r="A109" s="74"/>
      <c r="B109" s="74"/>
      <c r="C109" s="74"/>
      <c r="D109" s="75"/>
      <c r="E109" s="75"/>
      <c r="F109" s="74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>
      <c r="A110" s="74"/>
      <c r="B110" s="74"/>
      <c r="C110" s="74"/>
      <c r="D110" s="75"/>
      <c r="E110" s="75"/>
      <c r="F110" s="74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>
      <c r="A111" s="74"/>
      <c r="B111" s="74"/>
      <c r="C111" s="74"/>
      <c r="D111" s="75"/>
      <c r="E111" s="75"/>
      <c r="F111" s="74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>
      <c r="A112" s="74"/>
      <c r="B112" s="74"/>
      <c r="C112" s="74"/>
      <c r="D112" s="75"/>
      <c r="E112" s="75"/>
      <c r="F112" s="74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>
      <c r="A113" s="74"/>
      <c r="B113" s="74"/>
      <c r="C113" s="74"/>
      <c r="D113" s="75"/>
      <c r="E113" s="75"/>
      <c r="F113" s="74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>
      <c r="A114" s="74"/>
      <c r="B114" s="74"/>
      <c r="C114" s="74"/>
      <c r="D114" s="75"/>
      <c r="E114" s="75"/>
      <c r="F114" s="74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>
      <c r="A115" s="74"/>
      <c r="B115" s="74"/>
      <c r="C115" s="74"/>
      <c r="D115" s="75"/>
      <c r="E115" s="75"/>
      <c r="F115" s="74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>
      <c r="A116" s="74"/>
      <c r="B116" s="74"/>
      <c r="C116" s="74"/>
      <c r="D116" s="75"/>
      <c r="E116" s="75"/>
      <c r="F116" s="74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>
      <c r="A117" s="74"/>
      <c r="B117" s="74"/>
      <c r="C117" s="74"/>
      <c r="D117" s="75"/>
      <c r="E117" s="75"/>
      <c r="F117" s="74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>
      <c r="A118" s="74"/>
      <c r="B118" s="74"/>
      <c r="C118" s="74"/>
      <c r="D118" s="75"/>
      <c r="E118" s="75"/>
      <c r="F118" s="74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>
      <c r="A119" s="74"/>
      <c r="B119" s="74"/>
      <c r="C119" s="74"/>
      <c r="D119" s="75"/>
      <c r="E119" s="75"/>
      <c r="F119" s="74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>
      <c r="A120" s="74"/>
      <c r="B120" s="74"/>
      <c r="C120" s="74"/>
      <c r="D120" s="75"/>
      <c r="E120" s="75"/>
      <c r="F120" s="74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>
      <c r="A121" s="74"/>
      <c r="B121" s="74"/>
      <c r="C121" s="74"/>
      <c r="D121" s="75"/>
      <c r="E121" s="75"/>
      <c r="F121" s="74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>
      <c r="A122" s="74"/>
      <c r="B122" s="74"/>
      <c r="C122" s="74"/>
      <c r="D122" s="75"/>
      <c r="E122" s="75"/>
      <c r="F122" s="74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>
      <c r="A123" s="74"/>
      <c r="B123" s="74"/>
      <c r="C123" s="74"/>
      <c r="D123" s="75"/>
      <c r="E123" s="75"/>
      <c r="F123" s="74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>
      <c r="A124" s="74"/>
      <c r="B124" s="74"/>
      <c r="C124" s="74"/>
      <c r="D124" s="75"/>
      <c r="E124" s="75"/>
      <c r="F124" s="74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>
      <c r="A125" s="74"/>
      <c r="B125" s="74"/>
      <c r="C125" s="74"/>
      <c r="D125" s="75"/>
      <c r="E125" s="75"/>
      <c r="F125" s="74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>
      <c r="A126" s="74"/>
      <c r="B126" s="74"/>
      <c r="C126" s="74"/>
      <c r="D126" s="75"/>
      <c r="E126" s="75"/>
      <c r="F126" s="74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>
      <c r="A127" s="74"/>
      <c r="B127" s="74"/>
      <c r="C127" s="74"/>
      <c r="D127" s="75"/>
      <c r="E127" s="75"/>
      <c r="F127" s="74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>
      <c r="A128" s="74"/>
      <c r="B128" s="74"/>
      <c r="C128" s="74"/>
      <c r="D128" s="75"/>
      <c r="E128" s="75"/>
      <c r="F128" s="74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>
      <c r="A129" s="74"/>
      <c r="B129" s="74"/>
      <c r="C129" s="74"/>
      <c r="D129" s="75"/>
      <c r="E129" s="75"/>
      <c r="F129" s="74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>
      <c r="A130" s="74"/>
      <c r="B130" s="74"/>
      <c r="C130" s="74"/>
      <c r="D130" s="75"/>
      <c r="E130" s="75"/>
      <c r="F130" s="74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>
      <c r="A131" s="74"/>
      <c r="B131" s="74"/>
      <c r="C131" s="74"/>
      <c r="D131" s="75"/>
      <c r="E131" s="75"/>
      <c r="F131" s="74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>
      <c r="A132" s="74"/>
      <c r="B132" s="74"/>
      <c r="C132" s="74"/>
      <c r="D132" s="75"/>
      <c r="E132" s="75"/>
      <c r="F132" s="74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>
      <c r="A133" s="74"/>
      <c r="B133" s="74"/>
      <c r="C133" s="74"/>
      <c r="D133" s="75"/>
      <c r="E133" s="75"/>
      <c r="F133" s="74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>
      <c r="A134" s="74"/>
      <c r="B134" s="74"/>
      <c r="C134" s="74"/>
      <c r="D134" s="75"/>
      <c r="E134" s="75"/>
      <c r="F134" s="74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>
      <c r="A135" s="74"/>
      <c r="B135" s="74"/>
      <c r="C135" s="74"/>
      <c r="D135" s="75"/>
      <c r="E135" s="75"/>
      <c r="F135" s="74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>
      <c r="A136" s="74"/>
      <c r="B136" s="74"/>
      <c r="C136" s="74"/>
      <c r="D136" s="75"/>
      <c r="E136" s="75"/>
      <c r="F136" s="74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>
      <c r="A137" s="74"/>
      <c r="B137" s="74"/>
      <c r="C137" s="74"/>
      <c r="D137" s="75"/>
      <c r="E137" s="75"/>
      <c r="F137" s="74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>
      <c r="A138" s="74"/>
      <c r="B138" s="74"/>
      <c r="C138" s="74"/>
      <c r="D138" s="75"/>
      <c r="E138" s="75"/>
      <c r="F138" s="74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>
      <c r="A139" s="74"/>
      <c r="B139" s="74"/>
      <c r="C139" s="74"/>
      <c r="D139" s="75"/>
      <c r="E139" s="75"/>
      <c r="F139" s="74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>
      <c r="A140" s="74"/>
      <c r="B140" s="74"/>
      <c r="C140" s="74"/>
      <c r="D140" s="75"/>
      <c r="E140" s="75"/>
      <c r="F140" s="74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>
      <c r="A141" s="74"/>
      <c r="B141" s="74"/>
      <c r="C141" s="74"/>
      <c r="D141" s="75"/>
      <c r="E141" s="75"/>
      <c r="F141" s="74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>
      <c r="A142" s="74"/>
      <c r="B142" s="74"/>
      <c r="C142" s="74"/>
      <c r="D142" s="75"/>
      <c r="E142" s="75"/>
      <c r="F142" s="74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>
      <c r="A143" s="74"/>
      <c r="B143" s="74"/>
      <c r="C143" s="74"/>
      <c r="D143" s="75"/>
      <c r="E143" s="75"/>
      <c r="F143" s="74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>
      <c r="A144" s="74"/>
      <c r="B144" s="74"/>
      <c r="C144" s="74"/>
      <c r="D144" s="75"/>
      <c r="E144" s="75"/>
      <c r="F144" s="74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>
      <c r="A145" s="74"/>
      <c r="B145" s="74"/>
      <c r="C145" s="74"/>
      <c r="D145" s="75"/>
      <c r="E145" s="75"/>
      <c r="F145" s="74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>
      <c r="A146" s="74"/>
      <c r="B146" s="74"/>
      <c r="C146" s="74"/>
      <c r="D146" s="75"/>
      <c r="E146" s="75"/>
      <c r="F146" s="74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>
      <c r="A147" s="74"/>
      <c r="B147" s="74"/>
      <c r="C147" s="74"/>
      <c r="D147" s="75"/>
      <c r="E147" s="75"/>
      <c r="F147" s="74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>
      <c r="A148" s="74"/>
      <c r="B148" s="74"/>
      <c r="C148" s="74"/>
      <c r="D148" s="75"/>
      <c r="E148" s="75"/>
      <c r="F148" s="74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>
      <c r="A149" s="74"/>
      <c r="B149" s="74"/>
      <c r="C149" s="74"/>
      <c r="D149" s="75"/>
      <c r="E149" s="75"/>
      <c r="F149" s="74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>
      <c r="A150" s="74"/>
      <c r="B150" s="74"/>
      <c r="C150" s="74"/>
      <c r="D150" s="75"/>
      <c r="E150" s="75"/>
      <c r="F150" s="74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>
      <c r="A151" s="74"/>
      <c r="B151" s="74"/>
      <c r="C151" s="74"/>
      <c r="D151" s="75"/>
      <c r="E151" s="75"/>
      <c r="F151" s="74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>
      <c r="A152" s="74"/>
      <c r="B152" s="74"/>
      <c r="C152" s="74"/>
      <c r="D152" s="75"/>
      <c r="E152" s="75"/>
      <c r="F152" s="74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>
      <c r="A153" s="74"/>
      <c r="B153" s="74"/>
      <c r="C153" s="74"/>
      <c r="D153" s="75"/>
      <c r="E153" s="75"/>
      <c r="F153" s="74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>
      <c r="A154" s="74"/>
      <c r="B154" s="74"/>
      <c r="C154" s="74"/>
      <c r="D154" s="75"/>
      <c r="E154" s="75"/>
      <c r="F154" s="74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>
      <c r="A155" s="74"/>
      <c r="B155" s="74"/>
      <c r="C155" s="74"/>
      <c r="D155" s="75"/>
      <c r="E155" s="75"/>
      <c r="F155" s="74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>
      <c r="A156" s="74"/>
      <c r="B156" s="74"/>
      <c r="C156" s="74"/>
      <c r="D156" s="75"/>
      <c r="E156" s="75"/>
      <c r="F156" s="74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>
      <c r="A157" s="74"/>
      <c r="B157" s="74"/>
      <c r="C157" s="74"/>
      <c r="D157" s="75"/>
      <c r="E157" s="75"/>
      <c r="F157" s="74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>
      <c r="A158" s="74"/>
      <c r="B158" s="74"/>
      <c r="C158" s="74"/>
      <c r="D158" s="75"/>
      <c r="E158" s="75"/>
      <c r="F158" s="74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>
      <c r="A159" s="74"/>
      <c r="B159" s="74"/>
      <c r="C159" s="74"/>
      <c r="D159" s="75"/>
      <c r="E159" s="75"/>
      <c r="F159" s="74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>
      <c r="A160" s="74"/>
      <c r="B160" s="74"/>
      <c r="C160" s="74"/>
      <c r="D160" s="75"/>
      <c r="E160" s="75"/>
      <c r="F160" s="74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>
      <c r="A161" s="74"/>
      <c r="B161" s="74"/>
      <c r="C161" s="74"/>
      <c r="D161" s="75"/>
      <c r="E161" s="75"/>
      <c r="F161" s="74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>
      <c r="A162" s="74"/>
      <c r="B162" s="74"/>
      <c r="C162" s="74"/>
      <c r="D162" s="75"/>
      <c r="E162" s="75"/>
      <c r="F162" s="74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>
      <c r="A163" s="74"/>
      <c r="B163" s="74"/>
      <c r="C163" s="74"/>
      <c r="D163" s="75"/>
      <c r="E163" s="75"/>
      <c r="F163" s="74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>
      <c r="A164" s="74"/>
      <c r="B164" s="74"/>
      <c r="C164" s="74"/>
      <c r="D164" s="75"/>
      <c r="E164" s="75"/>
      <c r="F164" s="74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>
      <c r="A165" s="74"/>
      <c r="B165" s="74"/>
      <c r="C165" s="74"/>
      <c r="D165" s="75"/>
      <c r="E165" s="75"/>
      <c r="F165" s="74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>
      <c r="A166" s="74"/>
      <c r="B166" s="74"/>
      <c r="C166" s="74"/>
      <c r="D166" s="75"/>
      <c r="E166" s="75"/>
      <c r="F166" s="74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>
      <c r="A167" s="74"/>
      <c r="B167" s="74"/>
      <c r="C167" s="74"/>
      <c r="D167" s="75"/>
      <c r="E167" s="75"/>
      <c r="F167" s="74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>
      <c r="A168" s="74"/>
      <c r="B168" s="74"/>
      <c r="C168" s="74"/>
      <c r="D168" s="75"/>
      <c r="E168" s="75"/>
      <c r="F168" s="74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>
      <c r="A169" s="74"/>
      <c r="B169" s="74"/>
      <c r="C169" s="74"/>
      <c r="D169" s="75"/>
      <c r="E169" s="75"/>
      <c r="F169" s="74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>
      <c r="A170" s="74"/>
      <c r="B170" s="74"/>
      <c r="C170" s="74"/>
      <c r="D170" s="75"/>
      <c r="E170" s="75"/>
      <c r="F170" s="74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>
      <c r="A171" s="74"/>
      <c r="B171" s="74"/>
      <c r="C171" s="74"/>
      <c r="D171" s="75"/>
      <c r="E171" s="75"/>
      <c r="F171" s="74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>
      <c r="A172" s="74"/>
      <c r="B172" s="74"/>
      <c r="C172" s="74"/>
      <c r="D172" s="75"/>
      <c r="E172" s="75"/>
      <c r="F172" s="74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>
      <c r="A173" s="74"/>
      <c r="B173" s="74"/>
      <c r="C173" s="74"/>
      <c r="D173" s="75"/>
      <c r="E173" s="75"/>
      <c r="F173" s="74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>
      <c r="A174" s="74"/>
      <c r="B174" s="74"/>
      <c r="C174" s="74"/>
      <c r="D174" s="75"/>
      <c r="E174" s="75"/>
      <c r="F174" s="74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>
      <c r="A175" s="74"/>
      <c r="B175" s="74"/>
      <c r="C175" s="74"/>
      <c r="D175" s="75"/>
      <c r="E175" s="75"/>
      <c r="F175" s="74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>
      <c r="A176" s="74"/>
      <c r="B176" s="74"/>
      <c r="C176" s="74"/>
      <c r="D176" s="75"/>
      <c r="E176" s="75"/>
      <c r="F176" s="74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>
      <c r="A177" s="74"/>
      <c r="B177" s="74"/>
      <c r="C177" s="74"/>
      <c r="D177" s="75"/>
      <c r="E177" s="75"/>
      <c r="F177" s="74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>
      <c r="A178" s="74"/>
      <c r="B178" s="74"/>
      <c r="C178" s="74"/>
      <c r="D178" s="75"/>
      <c r="E178" s="75"/>
      <c r="F178" s="74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>
      <c r="A179" s="74"/>
      <c r="B179" s="74"/>
      <c r="C179" s="74"/>
      <c r="D179" s="75"/>
      <c r="E179" s="75"/>
      <c r="F179" s="74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>
      <c r="A180" s="74"/>
      <c r="B180" s="74"/>
      <c r="C180" s="74"/>
      <c r="D180" s="75"/>
      <c r="E180" s="75"/>
      <c r="F180" s="74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>
      <c r="A181" s="74"/>
      <c r="B181" s="74"/>
      <c r="C181" s="74"/>
      <c r="D181" s="75"/>
      <c r="E181" s="75"/>
      <c r="F181" s="74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>
      <c r="A182" s="74"/>
      <c r="B182" s="74"/>
      <c r="C182" s="74"/>
      <c r="D182" s="75"/>
      <c r="E182" s="75"/>
      <c r="F182" s="74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>
      <c r="A183" s="74"/>
      <c r="B183" s="74"/>
      <c r="C183" s="74"/>
      <c r="D183" s="75"/>
      <c r="E183" s="75"/>
      <c r="F183" s="74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>
      <c r="A184" s="74"/>
      <c r="B184" s="74"/>
      <c r="C184" s="74"/>
      <c r="D184" s="75"/>
      <c r="E184" s="75"/>
      <c r="F184" s="74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>
      <c r="A185" s="74"/>
      <c r="B185" s="74"/>
      <c r="C185" s="74"/>
      <c r="D185" s="75"/>
      <c r="E185" s="75"/>
      <c r="F185" s="74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>
      <c r="A186" s="74"/>
      <c r="B186" s="74"/>
      <c r="C186" s="74"/>
      <c r="D186" s="75"/>
      <c r="E186" s="75"/>
      <c r="F186" s="74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>
      <c r="A187" s="74"/>
      <c r="B187" s="74"/>
      <c r="C187" s="74"/>
      <c r="D187" s="75"/>
      <c r="E187" s="75"/>
      <c r="F187" s="74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>
      <c r="A188" s="74"/>
      <c r="B188" s="74"/>
      <c r="C188" s="74"/>
      <c r="D188" s="75"/>
      <c r="E188" s="75"/>
      <c r="F188" s="74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>
      <c r="A189" s="74"/>
      <c r="B189" s="74"/>
      <c r="C189" s="74"/>
      <c r="D189" s="75"/>
      <c r="E189" s="75"/>
      <c r="F189" s="74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>
      <c r="A190" s="74"/>
      <c r="B190" s="74"/>
      <c r="C190" s="74"/>
      <c r="D190" s="75"/>
      <c r="E190" s="75"/>
      <c r="F190" s="74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>
      <c r="A191" s="74"/>
      <c r="B191" s="74"/>
      <c r="C191" s="74"/>
      <c r="D191" s="75"/>
      <c r="E191" s="75"/>
      <c r="F191" s="74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>
      <c r="A192" s="74"/>
      <c r="B192" s="74"/>
      <c r="C192" s="74"/>
      <c r="D192" s="75"/>
      <c r="E192" s="75"/>
      <c r="F192" s="74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>
      <c r="A193" s="74"/>
      <c r="B193" s="74"/>
      <c r="C193" s="74"/>
      <c r="D193" s="75"/>
      <c r="E193" s="75"/>
      <c r="F193" s="74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>
      <c r="A194" s="74"/>
      <c r="B194" s="74"/>
      <c r="C194" s="74"/>
      <c r="D194" s="75"/>
      <c r="E194" s="75"/>
      <c r="F194" s="74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>
      <c r="A195" s="74"/>
      <c r="B195" s="74"/>
      <c r="C195" s="74"/>
      <c r="D195" s="75"/>
      <c r="E195" s="75"/>
      <c r="F195" s="74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>
      <c r="A196" s="74"/>
      <c r="B196" s="74"/>
      <c r="C196" s="74"/>
      <c r="D196" s="75"/>
      <c r="E196" s="75"/>
      <c r="F196" s="74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>
      <c r="A197" s="74"/>
      <c r="B197" s="74"/>
      <c r="C197" s="74"/>
      <c r="D197" s="75"/>
      <c r="E197" s="75"/>
      <c r="F197" s="74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>
      <c r="A198" s="74"/>
      <c r="B198" s="74"/>
      <c r="C198" s="74"/>
      <c r="D198" s="75"/>
      <c r="E198" s="75"/>
      <c r="F198" s="74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>
      <c r="A199" s="74"/>
      <c r="B199" s="74"/>
      <c r="C199" s="74"/>
      <c r="D199" s="75"/>
      <c r="E199" s="75"/>
      <c r="F199" s="74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>
      <c r="A200" s="74"/>
      <c r="B200" s="74"/>
      <c r="C200" s="74"/>
      <c r="D200" s="75"/>
      <c r="E200" s="75"/>
      <c r="F200" s="74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>
      <c r="A201" s="74"/>
      <c r="B201" s="74"/>
      <c r="C201" s="74"/>
      <c r="D201" s="75"/>
      <c r="E201" s="75"/>
      <c r="F201" s="74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>
      <c r="A202" s="74"/>
      <c r="B202" s="74"/>
      <c r="C202" s="74"/>
      <c r="D202" s="75"/>
      <c r="E202" s="75"/>
      <c r="F202" s="74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>
      <c r="A203" s="74"/>
      <c r="B203" s="74"/>
      <c r="C203" s="74"/>
      <c r="D203" s="75"/>
      <c r="E203" s="75"/>
      <c r="F203" s="74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>
      <c r="A204" s="74"/>
      <c r="B204" s="74"/>
      <c r="C204" s="74"/>
      <c r="D204" s="75"/>
      <c r="E204" s="75"/>
      <c r="F204" s="74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>
      <c r="A205" s="74"/>
      <c r="B205" s="74"/>
      <c r="C205" s="74"/>
      <c r="D205" s="75"/>
      <c r="E205" s="75"/>
      <c r="F205" s="74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>
      <c r="A206" s="74"/>
      <c r="B206" s="74"/>
      <c r="C206" s="74"/>
      <c r="D206" s="75"/>
      <c r="E206" s="75"/>
      <c r="F206" s="74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>
      <c r="A207" s="74"/>
      <c r="B207" s="74"/>
      <c r="C207" s="74"/>
      <c r="D207" s="75"/>
      <c r="E207" s="75"/>
      <c r="F207" s="74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>
      <c r="A208" s="74"/>
      <c r="B208" s="74"/>
      <c r="C208" s="74"/>
      <c r="D208" s="75"/>
      <c r="E208" s="75"/>
      <c r="F208" s="74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>
      <c r="A209" s="74"/>
      <c r="B209" s="74"/>
      <c r="C209" s="74"/>
      <c r="D209" s="75"/>
      <c r="E209" s="75"/>
      <c r="F209" s="74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>
      <c r="A210" s="74"/>
      <c r="B210" s="74"/>
      <c r="C210" s="74"/>
      <c r="D210" s="75"/>
      <c r="E210" s="75"/>
      <c r="F210" s="74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>
      <c r="A211" s="74"/>
      <c r="B211" s="74"/>
      <c r="C211" s="74"/>
      <c r="D211" s="75"/>
      <c r="E211" s="75"/>
      <c r="F211" s="74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>
      <c r="A212" s="74"/>
      <c r="B212" s="74"/>
      <c r="C212" s="74"/>
      <c r="D212" s="75"/>
      <c r="E212" s="75"/>
      <c r="F212" s="74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>
      <c r="A213" s="74"/>
      <c r="B213" s="74"/>
      <c r="C213" s="74"/>
      <c r="D213" s="75"/>
      <c r="E213" s="75"/>
      <c r="F213" s="74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>
      <c r="A214" s="74"/>
      <c r="B214" s="74"/>
      <c r="C214" s="74"/>
      <c r="D214" s="75"/>
      <c r="E214" s="75"/>
      <c r="F214" s="74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>
      <c r="A215" s="74"/>
      <c r="B215" s="74"/>
      <c r="C215" s="74"/>
      <c r="D215" s="75"/>
      <c r="E215" s="75"/>
      <c r="F215" s="74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>
      <c r="A216" s="74"/>
      <c r="B216" s="74"/>
      <c r="C216" s="74"/>
      <c r="D216" s="75"/>
      <c r="E216" s="75"/>
      <c r="F216" s="74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>
      <c r="A217" s="74"/>
      <c r="B217" s="74"/>
      <c r="C217" s="74"/>
      <c r="D217" s="75"/>
      <c r="E217" s="75"/>
      <c r="F217" s="74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>
      <c r="A218" s="74"/>
      <c r="B218" s="74"/>
      <c r="C218" s="74"/>
      <c r="D218" s="75"/>
      <c r="E218" s="75"/>
      <c r="F218" s="74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>
      <c r="A219" s="74"/>
      <c r="B219" s="74"/>
      <c r="C219" s="74"/>
      <c r="D219" s="75"/>
      <c r="E219" s="75"/>
      <c r="F219" s="74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>
      <c r="A220" s="74"/>
      <c r="B220" s="74"/>
      <c r="C220" s="74"/>
      <c r="D220" s="75"/>
      <c r="E220" s="75"/>
      <c r="F220" s="74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>
      <c r="A221" s="74"/>
      <c r="B221" s="74"/>
      <c r="C221" s="74"/>
      <c r="D221" s="75"/>
      <c r="E221" s="75"/>
      <c r="F221" s="74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>
      <c r="A222" s="74"/>
      <c r="B222" s="74"/>
      <c r="C222" s="74"/>
      <c r="D222" s="75"/>
      <c r="E222" s="75"/>
      <c r="F222" s="74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>
      <c r="A223" s="74"/>
      <c r="B223" s="74"/>
      <c r="C223" s="74"/>
      <c r="D223" s="75"/>
      <c r="E223" s="75"/>
      <c r="F223" s="74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>
      <c r="A224" s="74"/>
      <c r="B224" s="74"/>
      <c r="C224" s="74"/>
      <c r="D224" s="75"/>
      <c r="E224" s="75"/>
      <c r="F224" s="74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>
      <c r="A225" s="74"/>
      <c r="B225" s="74"/>
      <c r="C225" s="74"/>
      <c r="D225" s="75"/>
      <c r="E225" s="75"/>
      <c r="F225" s="74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>
      <c r="A226" s="74"/>
      <c r="B226" s="74"/>
      <c r="C226" s="74"/>
      <c r="D226" s="75"/>
      <c r="E226" s="75"/>
      <c r="F226" s="74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>
      <c r="A227" s="74"/>
      <c r="B227" s="74"/>
      <c r="C227" s="74"/>
      <c r="D227" s="75"/>
      <c r="E227" s="75"/>
      <c r="F227" s="74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>
      <c r="A228" s="74"/>
      <c r="B228" s="74"/>
      <c r="C228" s="74"/>
      <c r="D228" s="75"/>
      <c r="E228" s="75"/>
      <c r="F228" s="74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>
      <c r="A229" s="74"/>
      <c r="B229" s="74"/>
      <c r="C229" s="74"/>
      <c r="D229" s="75"/>
      <c r="E229" s="75"/>
      <c r="F229" s="74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>
      <c r="A230" s="74"/>
      <c r="B230" s="74"/>
      <c r="C230" s="74"/>
      <c r="D230" s="75"/>
      <c r="E230" s="75"/>
      <c r="F230" s="74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>
      <c r="A231" s="74"/>
      <c r="B231" s="74"/>
      <c r="C231" s="74"/>
      <c r="D231" s="75"/>
      <c r="E231" s="75"/>
      <c r="F231" s="74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>
      <c r="A232" s="74"/>
      <c r="B232" s="74"/>
      <c r="C232" s="74"/>
      <c r="D232" s="75"/>
      <c r="E232" s="75"/>
      <c r="F232" s="74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>
      <c r="A233" s="74"/>
      <c r="B233" s="74"/>
      <c r="C233" s="74"/>
      <c r="D233" s="75"/>
      <c r="E233" s="75"/>
      <c r="F233" s="74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>
      <c r="A234" s="74"/>
      <c r="B234" s="74"/>
      <c r="C234" s="74"/>
      <c r="D234" s="75"/>
      <c r="E234" s="75"/>
      <c r="F234" s="74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>
      <c r="A235" s="74"/>
      <c r="B235" s="74"/>
      <c r="C235" s="74"/>
      <c r="D235" s="75"/>
      <c r="E235" s="75"/>
      <c r="F235" s="74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>
      <c r="A236" s="74"/>
      <c r="B236" s="74"/>
      <c r="C236" s="74"/>
      <c r="D236" s="75"/>
      <c r="E236" s="75"/>
      <c r="F236" s="74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>
      <c r="A237" s="74"/>
      <c r="B237" s="74"/>
      <c r="C237" s="74"/>
      <c r="D237" s="75"/>
      <c r="E237" s="75"/>
      <c r="F237" s="74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>
      <c r="A238" s="74"/>
      <c r="B238" s="74"/>
      <c r="C238" s="74"/>
      <c r="D238" s="75"/>
      <c r="E238" s="75"/>
      <c r="F238" s="74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>
      <c r="A239" s="74"/>
      <c r="B239" s="74"/>
      <c r="C239" s="74"/>
      <c r="D239" s="75"/>
      <c r="E239" s="75"/>
      <c r="F239" s="74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>
      <c r="A240" s="74"/>
      <c r="B240" s="74"/>
      <c r="C240" s="74"/>
      <c r="D240" s="75"/>
      <c r="E240" s="75"/>
      <c r="F240" s="74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>
      <c r="A241" s="74"/>
      <c r="B241" s="74"/>
      <c r="C241" s="74"/>
      <c r="D241" s="75"/>
      <c r="E241" s="75"/>
      <c r="F241" s="74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>
      <c r="A242" s="74"/>
      <c r="B242" s="74"/>
      <c r="C242" s="74"/>
      <c r="D242" s="75"/>
      <c r="E242" s="75"/>
      <c r="F242" s="74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>
      <c r="A243" s="74"/>
      <c r="B243" s="74"/>
      <c r="C243" s="74"/>
      <c r="D243" s="75"/>
      <c r="E243" s="75"/>
      <c r="F243" s="74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>
      <c r="A244" s="74"/>
      <c r="B244" s="74"/>
      <c r="C244" s="74"/>
      <c r="D244" s="75"/>
      <c r="E244" s="75"/>
      <c r="F244" s="74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>
      <c r="A245" s="74"/>
      <c r="B245" s="74"/>
      <c r="C245" s="74"/>
      <c r="D245" s="75"/>
      <c r="E245" s="75"/>
      <c r="F245" s="74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>
      <c r="A246" s="74"/>
      <c r="B246" s="74"/>
      <c r="C246" s="74"/>
      <c r="D246" s="75"/>
      <c r="E246" s="75"/>
      <c r="F246" s="74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>
      <c r="A247" s="74"/>
      <c r="B247" s="74"/>
      <c r="C247" s="74"/>
      <c r="D247" s="75"/>
      <c r="E247" s="75"/>
      <c r="F247" s="74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>
      <c r="A248" s="74"/>
      <c r="B248" s="74"/>
      <c r="C248" s="74"/>
      <c r="D248" s="75"/>
      <c r="E248" s="75"/>
      <c r="F248" s="74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>
      <c r="A249" s="74"/>
      <c r="B249" s="74"/>
      <c r="C249" s="74"/>
      <c r="D249" s="75"/>
      <c r="E249" s="75"/>
      <c r="F249" s="74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>
      <c r="A250" s="74"/>
      <c r="B250" s="74"/>
      <c r="C250" s="74"/>
      <c r="D250" s="75"/>
      <c r="E250" s="75"/>
      <c r="F250" s="74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>
      <c r="A251" s="74"/>
      <c r="B251" s="74"/>
      <c r="C251" s="74"/>
      <c r="D251" s="75"/>
      <c r="E251" s="75"/>
      <c r="F251" s="74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>
      <c r="A252" s="74"/>
      <c r="B252" s="74"/>
      <c r="C252" s="74"/>
      <c r="D252" s="75"/>
      <c r="E252" s="75"/>
      <c r="F252" s="74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>
      <c r="A253" s="74"/>
      <c r="B253" s="74"/>
      <c r="C253" s="74"/>
      <c r="D253" s="75"/>
      <c r="E253" s="75"/>
      <c r="F253" s="74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>
      <c r="A254" s="74"/>
      <c r="B254" s="74"/>
      <c r="C254" s="74"/>
      <c r="D254" s="75"/>
      <c r="E254" s="75"/>
      <c r="F254" s="74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>
      <c r="A255" s="74"/>
      <c r="B255" s="74"/>
      <c r="C255" s="74"/>
      <c r="D255" s="75"/>
      <c r="E255" s="75"/>
      <c r="F255" s="74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>
      <c r="A256" s="74"/>
      <c r="B256" s="74"/>
      <c r="C256" s="74"/>
      <c r="D256" s="75"/>
      <c r="E256" s="75"/>
      <c r="F256" s="74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>
      <c r="A257" s="74"/>
      <c r="B257" s="74"/>
      <c r="C257" s="74"/>
      <c r="D257" s="75"/>
      <c r="E257" s="75"/>
      <c r="F257" s="74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>
      <c r="A258" s="74"/>
      <c r="B258" s="74"/>
      <c r="C258" s="74"/>
      <c r="D258" s="75"/>
      <c r="E258" s="75"/>
      <c r="F258" s="74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>
      <c r="A259" s="74"/>
      <c r="B259" s="74"/>
      <c r="C259" s="74"/>
      <c r="D259" s="75"/>
      <c r="E259" s="75"/>
      <c r="F259" s="74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>
      <c r="A260" s="74"/>
      <c r="B260" s="74"/>
      <c r="C260" s="74"/>
      <c r="D260" s="75"/>
      <c r="E260" s="75"/>
      <c r="F260" s="74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>
      <c r="A261" s="74"/>
      <c r="B261" s="74"/>
      <c r="C261" s="74"/>
      <c r="D261" s="75"/>
      <c r="E261" s="75"/>
      <c r="F261" s="74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>
      <c r="A262" s="74"/>
      <c r="B262" s="74"/>
      <c r="C262" s="74"/>
      <c r="D262" s="75"/>
      <c r="E262" s="75"/>
      <c r="F262" s="74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>
      <c r="A263" s="74"/>
      <c r="B263" s="74"/>
      <c r="C263" s="74"/>
      <c r="D263" s="75"/>
      <c r="E263" s="75"/>
      <c r="F263" s="74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>
      <c r="A264" s="74"/>
      <c r="B264" s="74"/>
      <c r="C264" s="74"/>
      <c r="D264" s="75"/>
      <c r="E264" s="75"/>
      <c r="F264" s="74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>
      <c r="A265" s="74"/>
      <c r="B265" s="74"/>
      <c r="C265" s="74"/>
      <c r="D265" s="75"/>
      <c r="E265" s="75"/>
      <c r="F265" s="74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>
      <c r="A266" s="74"/>
      <c r="B266" s="74"/>
      <c r="C266" s="74"/>
      <c r="D266" s="75"/>
      <c r="E266" s="75"/>
      <c r="F266" s="74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>
      <c r="A267" s="74"/>
      <c r="B267" s="74"/>
      <c r="C267" s="74"/>
      <c r="D267" s="75"/>
      <c r="E267" s="75"/>
      <c r="F267" s="74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>
      <c r="A268" s="74"/>
      <c r="B268" s="74"/>
      <c r="C268" s="74"/>
      <c r="D268" s="75"/>
      <c r="E268" s="75"/>
      <c r="F268" s="74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>
      <c r="A269" s="74"/>
      <c r="B269" s="74"/>
      <c r="C269" s="74"/>
      <c r="D269" s="75"/>
      <c r="E269" s="75"/>
      <c r="F269" s="74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>
      <c r="A270" s="74"/>
      <c r="B270" s="74"/>
      <c r="C270" s="74"/>
      <c r="D270" s="75"/>
      <c r="E270" s="75"/>
      <c r="F270" s="74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>
      <c r="A271" s="74"/>
      <c r="B271" s="74"/>
      <c r="C271" s="74"/>
      <c r="D271" s="75"/>
      <c r="E271" s="75"/>
      <c r="F271" s="74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>
      <c r="A272" s="74"/>
      <c r="B272" s="74"/>
      <c r="C272" s="74"/>
      <c r="D272" s="75"/>
      <c r="E272" s="75"/>
      <c r="F272" s="74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>
      <c r="A273" s="74"/>
      <c r="B273" s="74"/>
      <c r="C273" s="74"/>
      <c r="D273" s="75"/>
      <c r="E273" s="75"/>
      <c r="F273" s="74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>
      <c r="A274" s="74"/>
      <c r="B274" s="74"/>
      <c r="C274" s="74"/>
      <c r="D274" s="75"/>
      <c r="E274" s="75"/>
      <c r="F274" s="74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>
      <c r="A275" s="74"/>
      <c r="B275" s="74"/>
      <c r="C275" s="74"/>
      <c r="D275" s="75"/>
      <c r="E275" s="75"/>
      <c r="F275" s="74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>
      <c r="A276" s="74"/>
      <c r="B276" s="74"/>
      <c r="C276" s="74"/>
      <c r="D276" s="75"/>
      <c r="E276" s="75"/>
      <c r="F276" s="74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>
      <c r="A277" s="74"/>
      <c r="B277" s="74"/>
      <c r="C277" s="74"/>
      <c r="D277" s="75"/>
      <c r="E277" s="75"/>
      <c r="F277" s="74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>
      <c r="A278" s="74"/>
      <c r="B278" s="74"/>
      <c r="C278" s="74"/>
      <c r="D278" s="75"/>
      <c r="E278" s="75"/>
      <c r="F278" s="74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>
      <c r="A279" s="74"/>
      <c r="B279" s="74"/>
      <c r="C279" s="74"/>
      <c r="D279" s="75"/>
      <c r="E279" s="75"/>
      <c r="F279" s="74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>
      <c r="A280" s="74"/>
      <c r="B280" s="74"/>
      <c r="C280" s="74"/>
      <c r="D280" s="75"/>
      <c r="E280" s="75"/>
      <c r="F280" s="74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>
      <c r="A281" s="74"/>
      <c r="B281" s="74"/>
      <c r="C281" s="74"/>
      <c r="D281" s="75"/>
      <c r="E281" s="75"/>
      <c r="F281" s="74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>
      <c r="A282" s="74"/>
      <c r="B282" s="74"/>
      <c r="C282" s="74"/>
      <c r="D282" s="75"/>
      <c r="E282" s="75"/>
      <c r="F282" s="74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>
      <c r="A283" s="74"/>
      <c r="B283" s="74"/>
      <c r="C283" s="74"/>
      <c r="D283" s="75"/>
      <c r="E283" s="75"/>
      <c r="F283" s="74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>
      <c r="A284" s="74"/>
      <c r="B284" s="74"/>
      <c r="C284" s="74"/>
      <c r="D284" s="75"/>
      <c r="E284" s="75"/>
      <c r="F284" s="74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>
      <c r="A285" s="74"/>
      <c r="B285" s="74"/>
      <c r="C285" s="74"/>
      <c r="D285" s="75"/>
      <c r="E285" s="75"/>
      <c r="F285" s="74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>
      <c r="A286" s="74"/>
      <c r="B286" s="74"/>
      <c r="C286" s="74"/>
      <c r="D286" s="75"/>
      <c r="E286" s="75"/>
      <c r="F286" s="74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>
      <c r="A287" s="74"/>
      <c r="B287" s="74"/>
      <c r="C287" s="74"/>
      <c r="D287" s="75"/>
      <c r="E287" s="75"/>
      <c r="F287" s="74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>
      <c r="A288" s="74"/>
      <c r="B288" s="74"/>
      <c r="C288" s="74"/>
      <c r="D288" s="75"/>
      <c r="E288" s="75"/>
      <c r="F288" s="74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>
      <c r="A289" s="74"/>
      <c r="B289" s="74"/>
      <c r="C289" s="74"/>
      <c r="D289" s="75"/>
      <c r="E289" s="75"/>
      <c r="F289" s="74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>
      <c r="A290" s="74"/>
      <c r="B290" s="74"/>
      <c r="C290" s="74"/>
      <c r="D290" s="75"/>
      <c r="E290" s="75"/>
      <c r="F290" s="74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>
      <c r="A291" s="74"/>
      <c r="B291" s="74"/>
      <c r="C291" s="74"/>
      <c r="D291" s="75"/>
      <c r="E291" s="75"/>
      <c r="F291" s="74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>
      <c r="A292" s="74"/>
      <c r="B292" s="74"/>
      <c r="C292" s="74"/>
      <c r="D292" s="75"/>
      <c r="E292" s="75"/>
      <c r="F292" s="74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>
      <c r="A293" s="74"/>
      <c r="B293" s="74"/>
      <c r="C293" s="74"/>
      <c r="D293" s="75"/>
      <c r="E293" s="75"/>
      <c r="F293" s="74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>
      <c r="A294" s="74"/>
      <c r="B294" s="74"/>
      <c r="C294" s="74"/>
      <c r="D294" s="75"/>
      <c r="E294" s="75"/>
      <c r="F294" s="74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>
      <c r="A295" s="74"/>
      <c r="B295" s="74"/>
      <c r="C295" s="74"/>
      <c r="D295" s="75"/>
      <c r="E295" s="75"/>
      <c r="F295" s="74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>
      <c r="A296" s="74"/>
      <c r="B296" s="74"/>
      <c r="C296" s="74"/>
      <c r="D296" s="75"/>
      <c r="E296" s="75"/>
      <c r="F296" s="74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>
      <c r="A297" s="74"/>
      <c r="B297" s="74"/>
      <c r="C297" s="74"/>
      <c r="D297" s="75"/>
      <c r="E297" s="75"/>
      <c r="F297" s="74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>
      <c r="A298" s="74"/>
      <c r="B298" s="74"/>
      <c r="C298" s="74"/>
      <c r="D298" s="75"/>
      <c r="E298" s="75"/>
      <c r="F298" s="74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>
      <c r="A299" s="74"/>
      <c r="B299" s="74"/>
      <c r="C299" s="74"/>
      <c r="D299" s="75"/>
      <c r="E299" s="75"/>
      <c r="F299" s="74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>
      <c r="A300" s="74"/>
      <c r="B300" s="74"/>
      <c r="C300" s="74"/>
      <c r="D300" s="75"/>
      <c r="E300" s="75"/>
      <c r="F300" s="74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>
      <c r="A301" s="74"/>
      <c r="B301" s="74"/>
      <c r="C301" s="74"/>
      <c r="D301" s="75"/>
      <c r="E301" s="75"/>
      <c r="F301" s="74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>
      <c r="A302" s="74"/>
      <c r="B302" s="74"/>
      <c r="C302" s="74"/>
      <c r="D302" s="75"/>
      <c r="E302" s="75"/>
      <c r="F302" s="74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>
      <c r="A303" s="74"/>
      <c r="B303" s="74"/>
      <c r="C303" s="74"/>
      <c r="D303" s="75"/>
      <c r="E303" s="75"/>
      <c r="F303" s="74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>
      <c r="A304" s="74"/>
      <c r="B304" s="74"/>
      <c r="C304" s="74"/>
      <c r="D304" s="75"/>
      <c r="E304" s="75"/>
      <c r="F304" s="74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>
      <c r="A305" s="74"/>
      <c r="B305" s="74"/>
      <c r="C305" s="74"/>
      <c r="D305" s="75"/>
      <c r="E305" s="75"/>
      <c r="F305" s="74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>
      <c r="A306" s="74"/>
      <c r="B306" s="74"/>
      <c r="C306" s="74"/>
      <c r="D306" s="75"/>
      <c r="E306" s="75"/>
      <c r="F306" s="74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>
      <c r="A307" s="74"/>
      <c r="B307" s="74"/>
      <c r="C307" s="74"/>
      <c r="D307" s="75"/>
      <c r="E307" s="75"/>
      <c r="F307" s="74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>
      <c r="A308" s="74"/>
      <c r="B308" s="74"/>
      <c r="C308" s="74"/>
      <c r="D308" s="75"/>
      <c r="E308" s="75"/>
      <c r="F308" s="74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>
      <c r="A309" s="74"/>
      <c r="B309" s="74"/>
      <c r="C309" s="74"/>
      <c r="D309" s="75"/>
      <c r="E309" s="75"/>
      <c r="F309" s="74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>
      <c r="A310" s="74"/>
      <c r="B310" s="74"/>
      <c r="C310" s="74"/>
      <c r="D310" s="75"/>
      <c r="E310" s="75"/>
      <c r="F310" s="74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>
      <c r="A311" s="74"/>
      <c r="B311" s="74"/>
      <c r="C311" s="74"/>
      <c r="D311" s="75"/>
      <c r="E311" s="75"/>
      <c r="F311" s="74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>
      <c r="A312" s="74"/>
      <c r="B312" s="74"/>
      <c r="C312" s="74"/>
      <c r="D312" s="75"/>
      <c r="E312" s="75"/>
      <c r="F312" s="74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>
      <c r="A313" s="74"/>
      <c r="B313" s="74"/>
      <c r="C313" s="74"/>
      <c r="D313" s="75"/>
      <c r="E313" s="75"/>
      <c r="F313" s="74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>
      <c r="A314" s="74"/>
      <c r="B314" s="74"/>
      <c r="C314" s="74"/>
      <c r="D314" s="75"/>
      <c r="E314" s="75"/>
      <c r="F314" s="74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>
      <c r="A315" s="74"/>
      <c r="B315" s="74"/>
      <c r="C315" s="74"/>
      <c r="D315" s="75"/>
      <c r="E315" s="75"/>
      <c r="F315" s="74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>
      <c r="A316" s="74"/>
      <c r="B316" s="74"/>
      <c r="C316" s="74"/>
      <c r="D316" s="75"/>
      <c r="E316" s="75"/>
      <c r="F316" s="74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>
      <c r="A317" s="74"/>
      <c r="B317" s="74"/>
      <c r="C317" s="74"/>
      <c r="D317" s="75"/>
      <c r="E317" s="75"/>
      <c r="F317" s="74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>
      <c r="A318" s="74"/>
      <c r="B318" s="74"/>
      <c r="C318" s="74"/>
      <c r="D318" s="75"/>
      <c r="E318" s="75"/>
      <c r="F318" s="74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>
      <c r="A319" s="74"/>
      <c r="B319" s="74"/>
      <c r="C319" s="74"/>
      <c r="D319" s="75"/>
      <c r="E319" s="75"/>
      <c r="F319" s="74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>
      <c r="A320" s="74"/>
      <c r="B320" s="74"/>
      <c r="C320" s="74"/>
      <c r="D320" s="75"/>
      <c r="E320" s="75"/>
      <c r="F320" s="74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>
      <c r="A321" s="74"/>
      <c r="B321" s="74"/>
      <c r="C321" s="74"/>
      <c r="D321" s="75"/>
      <c r="E321" s="75"/>
      <c r="F321" s="74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>
      <c r="A322" s="74"/>
      <c r="B322" s="74"/>
      <c r="C322" s="74"/>
      <c r="D322" s="75"/>
      <c r="E322" s="75"/>
      <c r="F322" s="74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>
      <c r="A323" s="74"/>
      <c r="B323" s="74"/>
      <c r="C323" s="74"/>
      <c r="D323" s="75"/>
      <c r="E323" s="75"/>
      <c r="F323" s="74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>
      <c r="A324" s="74"/>
      <c r="B324" s="74"/>
      <c r="C324" s="74"/>
      <c r="D324" s="75"/>
      <c r="E324" s="75"/>
      <c r="F324" s="74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>
      <c r="A325" s="74"/>
      <c r="B325" s="74"/>
      <c r="C325" s="74"/>
      <c r="D325" s="75"/>
      <c r="E325" s="75"/>
      <c r="F325" s="74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>
      <c r="A326" s="74"/>
      <c r="B326" s="74"/>
      <c r="C326" s="74"/>
      <c r="D326" s="75"/>
      <c r="E326" s="75"/>
      <c r="F326" s="74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>
      <c r="A327" s="74"/>
      <c r="B327" s="74"/>
      <c r="C327" s="74"/>
      <c r="D327" s="75"/>
      <c r="E327" s="75"/>
      <c r="F327" s="74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>
      <c r="A328" s="74"/>
      <c r="B328" s="74"/>
      <c r="C328" s="74"/>
      <c r="D328" s="75"/>
      <c r="E328" s="75"/>
      <c r="F328" s="74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>
      <c r="A329" s="74"/>
      <c r="B329" s="74"/>
      <c r="C329" s="74"/>
      <c r="D329" s="75"/>
      <c r="E329" s="75"/>
      <c r="F329" s="74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>
      <c r="A330" s="74"/>
      <c r="B330" s="74"/>
      <c r="C330" s="74"/>
      <c r="D330" s="75"/>
      <c r="E330" s="75"/>
      <c r="F330" s="74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>
      <c r="A331" s="74"/>
      <c r="B331" s="74"/>
      <c r="C331" s="74"/>
      <c r="D331" s="75"/>
      <c r="E331" s="75"/>
      <c r="F331" s="74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>
      <c r="A332" s="74"/>
      <c r="B332" s="74"/>
      <c r="C332" s="74"/>
      <c r="D332" s="75"/>
      <c r="E332" s="75"/>
      <c r="F332" s="74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>
      <c r="A333" s="74"/>
      <c r="B333" s="74"/>
      <c r="C333" s="74"/>
      <c r="D333" s="75"/>
      <c r="E333" s="75"/>
      <c r="F333" s="74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>
      <c r="A334" s="74"/>
      <c r="B334" s="74"/>
      <c r="C334" s="74"/>
      <c r="D334" s="75"/>
      <c r="E334" s="75"/>
      <c r="F334" s="74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>
      <c r="A335" s="74"/>
      <c r="B335" s="74"/>
      <c r="C335" s="74"/>
      <c r="D335" s="75"/>
      <c r="E335" s="75"/>
      <c r="F335" s="74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>
      <c r="A336" s="74"/>
      <c r="B336" s="74"/>
      <c r="C336" s="74"/>
      <c r="D336" s="75"/>
      <c r="E336" s="75"/>
      <c r="F336" s="74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>
      <c r="A337" s="74"/>
      <c r="B337" s="74"/>
      <c r="C337" s="74"/>
      <c r="D337" s="75"/>
      <c r="E337" s="75"/>
      <c r="F337" s="74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>
      <c r="A338" s="74"/>
      <c r="B338" s="74"/>
      <c r="C338" s="74"/>
      <c r="D338" s="75"/>
      <c r="E338" s="75"/>
      <c r="F338" s="74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>
      <c r="A339" s="74"/>
      <c r="B339" s="74"/>
      <c r="C339" s="74"/>
      <c r="D339" s="75"/>
      <c r="E339" s="75"/>
      <c r="F339" s="74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>
      <c r="A340" s="74"/>
      <c r="B340" s="74"/>
      <c r="C340" s="74"/>
      <c r="D340" s="75"/>
      <c r="E340" s="75"/>
      <c r="F340" s="74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>
      <c r="A341" s="74"/>
      <c r="B341" s="74"/>
      <c r="C341" s="74"/>
      <c r="D341" s="75"/>
      <c r="E341" s="75"/>
      <c r="F341" s="74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>
      <c r="A342" s="74"/>
      <c r="B342" s="74"/>
      <c r="C342" s="74"/>
      <c r="D342" s="75"/>
      <c r="E342" s="75"/>
      <c r="F342" s="74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>
      <c r="A343" s="74"/>
      <c r="B343" s="74"/>
      <c r="C343" s="74"/>
      <c r="D343" s="75"/>
      <c r="E343" s="75"/>
      <c r="F343" s="74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>
      <c r="A344" s="74"/>
      <c r="B344" s="74"/>
      <c r="C344" s="74"/>
      <c r="D344" s="75"/>
      <c r="E344" s="75"/>
      <c r="F344" s="74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>
      <c r="A345" s="74"/>
      <c r="B345" s="74"/>
      <c r="C345" s="74"/>
      <c r="D345" s="75"/>
      <c r="E345" s="75"/>
      <c r="F345" s="74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>
      <c r="A346" s="74"/>
      <c r="B346" s="74"/>
      <c r="C346" s="74"/>
      <c r="D346" s="75"/>
      <c r="E346" s="75"/>
      <c r="F346" s="74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>
      <c r="A347" s="74"/>
      <c r="B347" s="74"/>
      <c r="C347" s="74"/>
      <c r="D347" s="75"/>
      <c r="E347" s="75"/>
      <c r="F347" s="74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>
      <c r="A348" s="74"/>
      <c r="B348" s="74"/>
      <c r="C348" s="74"/>
      <c r="D348" s="75"/>
      <c r="E348" s="75"/>
      <c r="F348" s="74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>
      <c r="A349" s="74"/>
      <c r="B349" s="74"/>
      <c r="C349" s="74"/>
      <c r="D349" s="75"/>
      <c r="E349" s="75"/>
      <c r="F349" s="74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>
      <c r="A350" s="74"/>
      <c r="B350" s="74"/>
      <c r="C350" s="74"/>
      <c r="D350" s="75"/>
      <c r="E350" s="75"/>
      <c r="F350" s="74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>
      <c r="A351" s="74"/>
      <c r="B351" s="74"/>
      <c r="C351" s="74"/>
      <c r="D351" s="75"/>
      <c r="E351" s="75"/>
      <c r="F351" s="74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>
      <c r="A352" s="74"/>
      <c r="B352" s="74"/>
      <c r="C352" s="74"/>
      <c r="D352" s="75"/>
      <c r="E352" s="75"/>
      <c r="F352" s="74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>
      <c r="A353" s="74"/>
      <c r="B353" s="74"/>
      <c r="C353" s="74"/>
      <c r="D353" s="75"/>
      <c r="E353" s="75"/>
      <c r="F353" s="74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>
      <c r="A354" s="74"/>
      <c r="B354" s="74"/>
      <c r="C354" s="74"/>
      <c r="D354" s="75"/>
      <c r="E354" s="75"/>
      <c r="F354" s="74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>
      <c r="A355" s="74"/>
      <c r="B355" s="74"/>
      <c r="C355" s="74"/>
      <c r="D355" s="75"/>
      <c r="E355" s="75"/>
      <c r="F355" s="74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>
      <c r="A356" s="74"/>
      <c r="B356" s="74"/>
      <c r="C356" s="74"/>
      <c r="D356" s="75"/>
      <c r="E356" s="75"/>
      <c r="F356" s="74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>
      <c r="A357" s="74"/>
      <c r="B357" s="74"/>
      <c r="C357" s="74"/>
      <c r="D357" s="75"/>
      <c r="E357" s="75"/>
      <c r="F357" s="74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>
      <c r="A358" s="74"/>
      <c r="B358" s="74"/>
      <c r="C358" s="74"/>
      <c r="D358" s="75"/>
      <c r="E358" s="75"/>
      <c r="F358" s="74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>
      <c r="A359" s="74"/>
      <c r="B359" s="74"/>
      <c r="C359" s="74"/>
      <c r="D359" s="75"/>
      <c r="E359" s="75"/>
      <c r="F359" s="74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>
      <c r="A360" s="74"/>
      <c r="B360" s="74"/>
      <c r="C360" s="74"/>
      <c r="D360" s="75"/>
      <c r="E360" s="75"/>
      <c r="F360" s="74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>
      <c r="A361" s="74"/>
      <c r="B361" s="74"/>
      <c r="C361" s="74"/>
      <c r="D361" s="75"/>
      <c r="E361" s="75"/>
      <c r="F361" s="74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>
      <c r="A362" s="74"/>
      <c r="B362" s="74"/>
      <c r="C362" s="74"/>
      <c r="D362" s="75"/>
      <c r="E362" s="75"/>
      <c r="F362" s="74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>
      <c r="A363" s="74"/>
      <c r="B363" s="74"/>
      <c r="C363" s="74"/>
      <c r="D363" s="75"/>
      <c r="E363" s="75"/>
      <c r="F363" s="74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>
      <c r="A364" s="74"/>
      <c r="B364" s="74"/>
      <c r="C364" s="74"/>
      <c r="D364" s="75"/>
      <c r="E364" s="75"/>
      <c r="F364" s="74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>
      <c r="A365" s="74"/>
      <c r="B365" s="74"/>
      <c r="C365" s="74"/>
      <c r="D365" s="75"/>
      <c r="E365" s="75"/>
      <c r="F365" s="74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>
      <c r="A366" s="74"/>
      <c r="B366" s="74"/>
      <c r="C366" s="74"/>
      <c r="D366" s="75"/>
      <c r="E366" s="75"/>
      <c r="F366" s="74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>
      <c r="A367" s="74"/>
      <c r="B367" s="74"/>
      <c r="C367" s="74"/>
      <c r="D367" s="75"/>
      <c r="E367" s="75"/>
      <c r="F367" s="74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>
      <c r="A368" s="74"/>
      <c r="B368" s="74"/>
      <c r="C368" s="74"/>
      <c r="D368" s="75"/>
      <c r="E368" s="75"/>
      <c r="F368" s="74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>
      <c r="A369" s="74"/>
      <c r="B369" s="74"/>
      <c r="C369" s="74"/>
      <c r="D369" s="75"/>
      <c r="E369" s="75"/>
      <c r="F369" s="74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>
      <c r="A370" s="74"/>
      <c r="B370" s="74"/>
      <c r="C370" s="74"/>
      <c r="D370" s="75"/>
      <c r="E370" s="75"/>
      <c r="F370" s="74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>
      <c r="A371" s="74"/>
      <c r="B371" s="74"/>
      <c r="C371" s="74"/>
      <c r="D371" s="75"/>
      <c r="E371" s="75"/>
      <c r="F371" s="74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>
      <c r="A372" s="74"/>
      <c r="B372" s="74"/>
      <c r="C372" s="74"/>
      <c r="D372" s="75"/>
      <c r="E372" s="75"/>
      <c r="F372" s="74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>
      <c r="A373" s="74"/>
      <c r="B373" s="74"/>
      <c r="C373" s="74"/>
      <c r="D373" s="75"/>
      <c r="E373" s="75"/>
      <c r="F373" s="74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>
      <c r="A374" s="74"/>
      <c r="B374" s="74"/>
      <c r="C374" s="74"/>
      <c r="D374" s="75"/>
      <c r="E374" s="75"/>
      <c r="F374" s="74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>
      <c r="A375" s="74"/>
      <c r="B375" s="74"/>
      <c r="C375" s="74"/>
      <c r="D375" s="75"/>
      <c r="E375" s="75"/>
      <c r="F375" s="74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>
      <c r="A376" s="74"/>
      <c r="B376" s="74"/>
      <c r="C376" s="74"/>
      <c r="D376" s="75"/>
      <c r="E376" s="75"/>
      <c r="F376" s="74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>
      <c r="A377" s="74"/>
      <c r="B377" s="74"/>
      <c r="C377" s="74"/>
      <c r="D377" s="75"/>
      <c r="E377" s="75"/>
      <c r="F377" s="74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>
      <c r="A378" s="74"/>
      <c r="B378" s="74"/>
      <c r="C378" s="74"/>
      <c r="D378" s="75"/>
      <c r="E378" s="75"/>
      <c r="F378" s="74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>
      <c r="A379" s="74"/>
      <c r="B379" s="74"/>
      <c r="C379" s="74"/>
      <c r="D379" s="75"/>
      <c r="E379" s="75"/>
      <c r="F379" s="74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>
      <c r="A380" s="74"/>
      <c r="B380" s="74"/>
      <c r="C380" s="74"/>
      <c r="D380" s="75"/>
      <c r="E380" s="75"/>
      <c r="F380" s="74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>
      <c r="A381" s="74"/>
      <c r="B381" s="74"/>
      <c r="C381" s="74"/>
      <c r="D381" s="75"/>
      <c r="E381" s="75"/>
      <c r="F381" s="74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>
      <c r="A382" s="74"/>
      <c r="B382" s="74"/>
      <c r="C382" s="74"/>
      <c r="D382" s="75"/>
      <c r="E382" s="75"/>
      <c r="F382" s="74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>
      <c r="A383" s="74"/>
      <c r="B383" s="74"/>
      <c r="C383" s="74"/>
      <c r="D383" s="75"/>
      <c r="E383" s="75"/>
      <c r="F383" s="74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>
      <c r="A384" s="74"/>
      <c r="B384" s="74"/>
      <c r="C384" s="74"/>
      <c r="D384" s="75"/>
      <c r="E384" s="75"/>
      <c r="F384" s="74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>
      <c r="A385" s="74"/>
      <c r="B385" s="74"/>
      <c r="C385" s="74"/>
      <c r="D385" s="75"/>
      <c r="E385" s="75"/>
      <c r="F385" s="74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>
      <c r="A386" s="74"/>
      <c r="B386" s="74"/>
      <c r="C386" s="74"/>
      <c r="D386" s="75"/>
      <c r="E386" s="75"/>
      <c r="F386" s="74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>
      <c r="A387" s="74"/>
      <c r="B387" s="74"/>
      <c r="C387" s="74"/>
      <c r="D387" s="75"/>
      <c r="E387" s="75"/>
      <c r="F387" s="74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>
      <c r="A388" s="74"/>
      <c r="B388" s="74"/>
      <c r="C388" s="74"/>
      <c r="D388" s="75"/>
      <c r="E388" s="75"/>
      <c r="F388" s="74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>
      <c r="A389" s="74"/>
      <c r="B389" s="74"/>
      <c r="C389" s="74"/>
      <c r="D389" s="75"/>
      <c r="E389" s="75"/>
      <c r="F389" s="74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>
      <c r="A390" s="74"/>
      <c r="B390" s="74"/>
      <c r="C390" s="74"/>
      <c r="D390" s="75"/>
      <c r="E390" s="75"/>
      <c r="F390" s="74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>
      <c r="A391" s="74"/>
      <c r="B391" s="74"/>
      <c r="C391" s="74"/>
      <c r="D391" s="75"/>
      <c r="E391" s="75"/>
      <c r="F391" s="74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>
      <c r="A392" s="74"/>
      <c r="B392" s="74"/>
      <c r="C392" s="74"/>
      <c r="D392" s="75"/>
      <c r="E392" s="75"/>
      <c r="F392" s="74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>
      <c r="A393" s="74"/>
      <c r="B393" s="74"/>
      <c r="C393" s="74"/>
      <c r="D393" s="75"/>
      <c r="E393" s="75"/>
      <c r="F393" s="74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>
      <c r="A394" s="74"/>
      <c r="B394" s="74"/>
      <c r="C394" s="74"/>
      <c r="D394" s="75"/>
      <c r="E394" s="75"/>
      <c r="F394" s="74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>
      <c r="A395" s="74"/>
      <c r="B395" s="74"/>
      <c r="C395" s="74"/>
      <c r="D395" s="75"/>
      <c r="E395" s="75"/>
      <c r="F395" s="74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>
      <c r="A396" s="74"/>
      <c r="B396" s="74"/>
      <c r="C396" s="74"/>
      <c r="D396" s="75"/>
      <c r="E396" s="75"/>
      <c r="F396" s="74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>
      <c r="A397" s="74"/>
      <c r="B397" s="74"/>
      <c r="C397" s="74"/>
      <c r="D397" s="75"/>
      <c r="E397" s="75"/>
      <c r="F397" s="74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>
      <c r="A398" s="74"/>
      <c r="B398" s="74"/>
      <c r="C398" s="74"/>
      <c r="D398" s="75"/>
      <c r="E398" s="75"/>
      <c r="F398" s="74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>
      <c r="A399" s="74"/>
      <c r="B399" s="74"/>
      <c r="C399" s="74"/>
      <c r="D399" s="75"/>
      <c r="E399" s="75"/>
      <c r="F399" s="74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>
      <c r="A400" s="74"/>
      <c r="B400" s="74"/>
      <c r="C400" s="74"/>
      <c r="D400" s="75"/>
      <c r="E400" s="75"/>
      <c r="F400" s="74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>
      <c r="A401" s="74"/>
      <c r="B401" s="74"/>
      <c r="C401" s="74"/>
      <c r="D401" s="75"/>
      <c r="E401" s="75"/>
      <c r="F401" s="74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>
      <c r="A402" s="74"/>
      <c r="B402" s="74"/>
      <c r="C402" s="74"/>
      <c r="D402" s="75"/>
      <c r="E402" s="75"/>
      <c r="F402" s="74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>
      <c r="A403" s="74"/>
      <c r="B403" s="74"/>
      <c r="C403" s="74"/>
      <c r="D403" s="75"/>
      <c r="E403" s="75"/>
      <c r="F403" s="74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>
      <c r="A404" s="74"/>
      <c r="B404" s="74"/>
      <c r="C404" s="74"/>
      <c r="D404" s="75"/>
      <c r="E404" s="75"/>
      <c r="F404" s="74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>
      <c r="A405" s="74"/>
      <c r="B405" s="74"/>
      <c r="C405" s="74"/>
      <c r="D405" s="75"/>
      <c r="E405" s="75"/>
      <c r="F405" s="74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>
      <c r="A406" s="74"/>
      <c r="B406" s="74"/>
      <c r="C406" s="74"/>
      <c r="D406" s="75"/>
      <c r="E406" s="75"/>
      <c r="F406" s="74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>
      <c r="A407" s="74"/>
      <c r="B407" s="74"/>
      <c r="C407" s="74"/>
      <c r="D407" s="75"/>
      <c r="E407" s="75"/>
      <c r="F407" s="74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>
      <c r="A408" s="74"/>
      <c r="B408" s="74"/>
      <c r="C408" s="74"/>
      <c r="D408" s="75"/>
      <c r="E408" s="75"/>
      <c r="F408" s="74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>
      <c r="A409" s="74"/>
      <c r="B409" s="74"/>
      <c r="C409" s="74"/>
      <c r="D409" s="75"/>
      <c r="E409" s="75"/>
      <c r="F409" s="74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>
      <c r="A410" s="74"/>
      <c r="B410" s="74"/>
      <c r="C410" s="74"/>
      <c r="D410" s="75"/>
      <c r="E410" s="75"/>
      <c r="F410" s="74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>
      <c r="A411" s="74"/>
      <c r="B411" s="74"/>
      <c r="C411" s="74"/>
      <c r="D411" s="75"/>
      <c r="E411" s="75"/>
      <c r="F411" s="74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>
      <c r="A412" s="74"/>
      <c r="B412" s="74"/>
      <c r="C412" s="74"/>
      <c r="D412" s="75"/>
      <c r="E412" s="75"/>
      <c r="F412" s="74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>
      <c r="A413" s="74"/>
      <c r="B413" s="74"/>
      <c r="C413" s="74"/>
      <c r="D413" s="75"/>
      <c r="E413" s="75"/>
      <c r="F413" s="74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>
      <c r="A414" s="74"/>
      <c r="B414" s="74"/>
      <c r="C414" s="74"/>
      <c r="D414" s="75"/>
      <c r="E414" s="75"/>
      <c r="F414" s="74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>
      <c r="A415" s="74"/>
      <c r="B415" s="74"/>
      <c r="C415" s="74"/>
      <c r="D415" s="75"/>
      <c r="E415" s="75"/>
      <c r="F415" s="74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>
      <c r="A416" s="74"/>
      <c r="B416" s="74"/>
      <c r="C416" s="74"/>
      <c r="D416" s="75"/>
      <c r="E416" s="75"/>
      <c r="F416" s="74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>
      <c r="A417" s="74"/>
      <c r="B417" s="74"/>
      <c r="C417" s="74"/>
      <c r="D417" s="75"/>
      <c r="E417" s="75"/>
      <c r="F417" s="74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>
      <c r="A418" s="74"/>
      <c r="B418" s="74"/>
      <c r="C418" s="74"/>
      <c r="D418" s="75"/>
      <c r="E418" s="75"/>
      <c r="F418" s="74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>
      <c r="A419" s="74"/>
      <c r="B419" s="74"/>
      <c r="C419" s="74"/>
      <c r="D419" s="75"/>
      <c r="E419" s="75"/>
      <c r="F419" s="74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>
      <c r="A420" s="74"/>
      <c r="B420" s="74"/>
      <c r="C420" s="74"/>
      <c r="D420" s="75"/>
      <c r="E420" s="75"/>
      <c r="F420" s="74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>
      <c r="A421" s="74"/>
      <c r="B421" s="74"/>
      <c r="C421" s="74"/>
      <c r="D421" s="75"/>
      <c r="E421" s="75"/>
      <c r="F421" s="74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>
      <c r="A422" s="74"/>
      <c r="B422" s="74"/>
      <c r="C422" s="74"/>
      <c r="D422" s="75"/>
      <c r="E422" s="75"/>
      <c r="F422" s="74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>
      <c r="A423" s="74"/>
      <c r="B423" s="74"/>
      <c r="C423" s="74"/>
      <c r="D423" s="75"/>
      <c r="E423" s="75"/>
      <c r="F423" s="74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>
      <c r="A424" s="74"/>
      <c r="B424" s="74"/>
      <c r="C424" s="74"/>
      <c r="D424" s="75"/>
      <c r="E424" s="75"/>
      <c r="F424" s="74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>
      <c r="A425" s="74"/>
      <c r="B425" s="74"/>
      <c r="C425" s="74"/>
      <c r="D425" s="75"/>
      <c r="E425" s="75"/>
      <c r="F425" s="74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>
      <c r="A426" s="74"/>
      <c r="B426" s="74"/>
      <c r="C426" s="74"/>
      <c r="D426" s="75"/>
      <c r="E426" s="75"/>
      <c r="F426" s="74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>
      <c r="A427" s="74"/>
      <c r="B427" s="74"/>
      <c r="C427" s="74"/>
      <c r="D427" s="75"/>
      <c r="E427" s="75"/>
      <c r="F427" s="74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>
      <c r="A428" s="74"/>
      <c r="B428" s="74"/>
      <c r="C428" s="74"/>
      <c r="D428" s="75"/>
      <c r="E428" s="75"/>
      <c r="F428" s="74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>
      <c r="A429" s="74"/>
      <c r="B429" s="74"/>
      <c r="C429" s="74"/>
      <c r="D429" s="75"/>
      <c r="E429" s="75"/>
      <c r="F429" s="74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>
      <c r="A430" s="74"/>
      <c r="B430" s="74"/>
      <c r="C430" s="74"/>
      <c r="D430" s="75"/>
      <c r="E430" s="75"/>
      <c r="F430" s="74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>
      <c r="A431" s="74"/>
      <c r="B431" s="74"/>
      <c r="C431" s="74"/>
      <c r="D431" s="75"/>
      <c r="E431" s="75"/>
      <c r="F431" s="74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>
      <c r="A432" s="74"/>
      <c r="B432" s="74"/>
      <c r="C432" s="74"/>
      <c r="D432" s="75"/>
      <c r="E432" s="75"/>
      <c r="F432" s="74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>
      <c r="A433" s="74"/>
      <c r="B433" s="74"/>
      <c r="C433" s="74"/>
      <c r="D433" s="75"/>
      <c r="E433" s="75"/>
      <c r="F433" s="74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>
      <c r="A434" s="74"/>
      <c r="B434" s="74"/>
      <c r="C434" s="74"/>
      <c r="D434" s="75"/>
      <c r="E434" s="75"/>
      <c r="F434" s="74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>
      <c r="A435" s="74"/>
      <c r="B435" s="74"/>
      <c r="C435" s="74"/>
      <c r="D435" s="75"/>
      <c r="E435" s="75"/>
      <c r="F435" s="74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>
      <c r="A436" s="74"/>
      <c r="B436" s="74"/>
      <c r="C436" s="74"/>
      <c r="D436" s="75"/>
      <c r="E436" s="75"/>
      <c r="F436" s="74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>
      <c r="A437" s="74"/>
      <c r="B437" s="74"/>
      <c r="C437" s="74"/>
      <c r="D437" s="75"/>
      <c r="E437" s="75"/>
      <c r="F437" s="74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>
      <c r="A438" s="74"/>
      <c r="B438" s="74"/>
      <c r="C438" s="74"/>
      <c r="D438" s="75"/>
      <c r="E438" s="75"/>
      <c r="F438" s="74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>
      <c r="A439" s="74"/>
      <c r="B439" s="74"/>
      <c r="C439" s="74"/>
      <c r="D439" s="75"/>
      <c r="E439" s="75"/>
      <c r="F439" s="74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>
      <c r="A440" s="74"/>
      <c r="B440" s="74"/>
      <c r="C440" s="74"/>
      <c r="D440" s="75"/>
      <c r="E440" s="75"/>
      <c r="F440" s="74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>
      <c r="A441" s="74"/>
      <c r="B441" s="74"/>
      <c r="C441" s="74"/>
      <c r="D441" s="75"/>
      <c r="E441" s="75"/>
      <c r="F441" s="74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>
      <c r="A442" s="74"/>
      <c r="B442" s="74"/>
      <c r="C442" s="74"/>
      <c r="D442" s="75"/>
      <c r="E442" s="75"/>
      <c r="F442" s="74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>
      <c r="A443" s="74"/>
      <c r="B443" s="74"/>
      <c r="C443" s="74"/>
      <c r="D443" s="75"/>
      <c r="E443" s="75"/>
      <c r="F443" s="74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>
      <c r="A444" s="74"/>
      <c r="B444" s="74"/>
      <c r="C444" s="74"/>
      <c r="D444" s="75"/>
      <c r="E444" s="75"/>
      <c r="F444" s="74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>
      <c r="A445" s="74"/>
      <c r="B445" s="74"/>
      <c r="C445" s="74"/>
      <c r="D445" s="75"/>
      <c r="E445" s="75"/>
      <c r="F445" s="74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>
      <c r="A446" s="74"/>
      <c r="B446" s="74"/>
      <c r="C446" s="74"/>
      <c r="D446" s="75"/>
      <c r="E446" s="75"/>
      <c r="F446" s="74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>
      <c r="A447" s="74"/>
      <c r="B447" s="74"/>
      <c r="C447" s="74"/>
      <c r="D447" s="75"/>
      <c r="E447" s="75"/>
      <c r="F447" s="74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>
      <c r="A448" s="74"/>
      <c r="B448" s="74"/>
      <c r="C448" s="74"/>
      <c r="D448" s="75"/>
      <c r="E448" s="75"/>
      <c r="F448" s="74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>
      <c r="A449" s="74"/>
      <c r="B449" s="74"/>
      <c r="C449" s="74"/>
      <c r="D449" s="75"/>
      <c r="E449" s="75"/>
      <c r="F449" s="74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>
      <c r="A450" s="74"/>
      <c r="B450" s="74"/>
      <c r="C450" s="74"/>
      <c r="D450" s="75"/>
      <c r="E450" s="75"/>
      <c r="F450" s="74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>
      <c r="A451" s="74"/>
      <c r="B451" s="74"/>
      <c r="C451" s="74"/>
      <c r="D451" s="75"/>
      <c r="E451" s="75"/>
      <c r="F451" s="74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>
      <c r="A452" s="74"/>
      <c r="B452" s="74"/>
      <c r="C452" s="74"/>
      <c r="D452" s="75"/>
      <c r="E452" s="75"/>
      <c r="F452" s="74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>
      <c r="A453" s="74"/>
      <c r="B453" s="74"/>
      <c r="C453" s="74"/>
      <c r="D453" s="75"/>
      <c r="E453" s="75"/>
      <c r="F453" s="74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>
      <c r="A454" s="74"/>
      <c r="B454" s="74"/>
      <c r="C454" s="74"/>
      <c r="D454" s="75"/>
      <c r="E454" s="75"/>
      <c r="F454" s="74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>
      <c r="A455" s="74"/>
      <c r="B455" s="74"/>
      <c r="C455" s="74"/>
      <c r="D455" s="75"/>
      <c r="E455" s="75"/>
      <c r="F455" s="74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>
      <c r="A456" s="74"/>
      <c r="B456" s="74"/>
      <c r="C456" s="74"/>
      <c r="D456" s="75"/>
      <c r="E456" s="75"/>
      <c r="F456" s="74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>
      <c r="A457" s="74"/>
      <c r="B457" s="74"/>
      <c r="C457" s="74"/>
      <c r="D457" s="75"/>
      <c r="E457" s="75"/>
      <c r="F457" s="74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>
      <c r="A458" s="74"/>
      <c r="B458" s="74"/>
      <c r="C458" s="74"/>
      <c r="D458" s="75"/>
      <c r="E458" s="75"/>
      <c r="F458" s="74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>
      <c r="A459" s="74"/>
      <c r="B459" s="74"/>
      <c r="C459" s="74"/>
      <c r="D459" s="75"/>
      <c r="E459" s="75"/>
      <c r="F459" s="74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>
      <c r="A460" s="74"/>
      <c r="B460" s="74"/>
      <c r="C460" s="74"/>
      <c r="D460" s="75"/>
      <c r="E460" s="75"/>
      <c r="F460" s="74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>
      <c r="A461" s="74"/>
      <c r="B461" s="74"/>
      <c r="C461" s="74"/>
      <c r="D461" s="75"/>
      <c r="E461" s="75"/>
      <c r="F461" s="74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>
      <c r="A462" s="74"/>
      <c r="B462" s="74"/>
      <c r="C462" s="74"/>
      <c r="D462" s="75"/>
      <c r="E462" s="75"/>
      <c r="F462" s="74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>
      <c r="A463" s="74"/>
      <c r="B463" s="74"/>
      <c r="C463" s="74"/>
      <c r="D463" s="75"/>
      <c r="E463" s="75"/>
      <c r="F463" s="74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>
      <c r="A464" s="74"/>
      <c r="B464" s="74"/>
      <c r="C464" s="74"/>
      <c r="D464" s="75"/>
      <c r="E464" s="75"/>
      <c r="F464" s="74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>
      <c r="A465" s="74"/>
      <c r="B465" s="74"/>
      <c r="C465" s="74"/>
      <c r="D465" s="75"/>
      <c r="E465" s="75"/>
      <c r="F465" s="74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>
      <c r="A466" s="74"/>
      <c r="B466" s="74"/>
      <c r="C466" s="74"/>
      <c r="D466" s="75"/>
      <c r="E466" s="75"/>
      <c r="F466" s="74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>
      <c r="A467" s="74"/>
      <c r="B467" s="74"/>
      <c r="C467" s="74"/>
      <c r="D467" s="75"/>
      <c r="E467" s="75"/>
      <c r="F467" s="74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>
      <c r="A468" s="74"/>
      <c r="B468" s="74"/>
      <c r="C468" s="74"/>
      <c r="D468" s="75"/>
      <c r="E468" s="75"/>
      <c r="F468" s="74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>
      <c r="A469" s="74"/>
      <c r="B469" s="74"/>
      <c r="C469" s="74"/>
      <c r="D469" s="75"/>
      <c r="E469" s="75"/>
      <c r="F469" s="74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>
      <c r="A470" s="74"/>
      <c r="B470" s="74"/>
      <c r="C470" s="74"/>
      <c r="D470" s="75"/>
      <c r="E470" s="75"/>
      <c r="F470" s="74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>
      <c r="A471" s="74"/>
      <c r="B471" s="74"/>
      <c r="C471" s="74"/>
      <c r="D471" s="75"/>
      <c r="E471" s="75"/>
      <c r="F471" s="74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>
      <c r="A472" s="74"/>
      <c r="B472" s="74"/>
      <c r="C472" s="74"/>
      <c r="D472" s="75"/>
      <c r="E472" s="75"/>
      <c r="F472" s="74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>
      <c r="A473" s="74"/>
      <c r="B473" s="74"/>
      <c r="C473" s="74"/>
      <c r="D473" s="75"/>
      <c r="E473" s="75"/>
      <c r="F473" s="74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>
      <c r="A474" s="74"/>
      <c r="B474" s="74"/>
      <c r="C474" s="74"/>
      <c r="D474" s="75"/>
      <c r="E474" s="75"/>
      <c r="F474" s="74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>
      <c r="A475" s="74"/>
      <c r="B475" s="74"/>
      <c r="C475" s="74"/>
      <c r="D475" s="75"/>
      <c r="E475" s="75"/>
      <c r="F475" s="74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>
      <c r="A476" s="74"/>
      <c r="B476" s="74"/>
      <c r="C476" s="74"/>
      <c r="D476" s="75"/>
      <c r="E476" s="75"/>
      <c r="F476" s="74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>
      <c r="A477" s="74"/>
      <c r="B477" s="74"/>
      <c r="C477" s="74"/>
      <c r="D477" s="75"/>
      <c r="E477" s="75"/>
      <c r="F477" s="74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>
      <c r="A478" s="74"/>
      <c r="B478" s="74"/>
      <c r="C478" s="74"/>
      <c r="D478" s="75"/>
      <c r="E478" s="75"/>
      <c r="F478" s="74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>
      <c r="A479" s="74"/>
      <c r="B479" s="74"/>
      <c r="C479" s="74"/>
      <c r="D479" s="75"/>
      <c r="E479" s="75"/>
      <c r="F479" s="74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>
      <c r="A480" s="74"/>
      <c r="B480" s="74"/>
      <c r="C480" s="74"/>
      <c r="D480" s="75"/>
      <c r="E480" s="75"/>
      <c r="F480" s="74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>
      <c r="A481" s="74"/>
      <c r="B481" s="74"/>
      <c r="C481" s="74"/>
      <c r="D481" s="75"/>
      <c r="E481" s="75"/>
      <c r="F481" s="74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>
      <c r="A482" s="74"/>
      <c r="B482" s="74"/>
      <c r="C482" s="74"/>
      <c r="D482" s="75"/>
      <c r="E482" s="75"/>
      <c r="F482" s="74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>
      <c r="A483" s="74"/>
      <c r="B483" s="74"/>
      <c r="C483" s="74"/>
      <c r="D483" s="75"/>
      <c r="E483" s="75"/>
      <c r="F483" s="74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>
      <c r="A484" s="74"/>
      <c r="B484" s="74"/>
      <c r="C484" s="74"/>
      <c r="D484" s="75"/>
      <c r="E484" s="75"/>
      <c r="F484" s="74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>
      <c r="A485" s="74"/>
      <c r="B485" s="74"/>
      <c r="C485" s="74"/>
      <c r="D485" s="75"/>
      <c r="E485" s="75"/>
      <c r="F485" s="74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>
      <c r="A486" s="74"/>
      <c r="B486" s="74"/>
      <c r="C486" s="74"/>
      <c r="D486" s="75"/>
      <c r="E486" s="75"/>
      <c r="F486" s="74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>
      <c r="A487" s="74"/>
      <c r="B487" s="74"/>
      <c r="C487" s="74"/>
      <c r="D487" s="75"/>
      <c r="E487" s="75"/>
      <c r="F487" s="74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>
      <c r="A488" s="74"/>
      <c r="B488" s="74"/>
      <c r="C488" s="74"/>
      <c r="D488" s="75"/>
      <c r="E488" s="75"/>
      <c r="F488" s="74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>
      <c r="A489" s="74"/>
      <c r="B489" s="74"/>
      <c r="C489" s="74"/>
      <c r="D489" s="75"/>
      <c r="E489" s="75"/>
      <c r="F489" s="74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>
      <c r="A490" s="74"/>
      <c r="B490" s="74"/>
      <c r="C490" s="74"/>
      <c r="D490" s="75"/>
      <c r="E490" s="75"/>
      <c r="F490" s="74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>
      <c r="A491" s="74"/>
      <c r="B491" s="74"/>
      <c r="C491" s="74"/>
      <c r="D491" s="75"/>
      <c r="E491" s="75"/>
      <c r="F491" s="74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>
      <c r="A492" s="74"/>
      <c r="B492" s="74"/>
      <c r="C492" s="74"/>
      <c r="D492" s="75"/>
      <c r="E492" s="75"/>
      <c r="F492" s="74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>
      <c r="A493" s="74"/>
      <c r="B493" s="74"/>
      <c r="C493" s="74"/>
      <c r="D493" s="75"/>
      <c r="E493" s="75"/>
      <c r="F493" s="74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>
      <c r="A494" s="74"/>
      <c r="B494" s="74"/>
      <c r="C494" s="74"/>
      <c r="D494" s="75"/>
      <c r="E494" s="75"/>
      <c r="F494" s="74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>
      <c r="A495" s="74"/>
      <c r="B495" s="74"/>
      <c r="C495" s="74"/>
      <c r="D495" s="75"/>
      <c r="E495" s="75"/>
      <c r="F495" s="74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>
      <c r="A496" s="74"/>
      <c r="B496" s="74"/>
      <c r="C496" s="74"/>
      <c r="D496" s="75"/>
      <c r="E496" s="75"/>
      <c r="F496" s="74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>
      <c r="A497" s="74"/>
      <c r="B497" s="74"/>
      <c r="C497" s="74"/>
      <c r="D497" s="75"/>
      <c r="E497" s="75"/>
      <c r="F497" s="74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>
      <c r="A498" s="74"/>
      <c r="B498" s="74"/>
      <c r="C498" s="74"/>
      <c r="D498" s="75"/>
      <c r="E498" s="75"/>
      <c r="F498" s="74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>
      <c r="A499" s="74"/>
      <c r="B499" s="74"/>
      <c r="C499" s="74"/>
      <c r="D499" s="75"/>
      <c r="E499" s="75"/>
      <c r="F499" s="74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>
      <c r="A500" s="74"/>
      <c r="B500" s="74"/>
      <c r="C500" s="74"/>
      <c r="D500" s="75"/>
      <c r="E500" s="75"/>
      <c r="F500" s="74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>
      <c r="A501" s="74"/>
      <c r="B501" s="74"/>
      <c r="C501" s="74"/>
      <c r="D501" s="75"/>
      <c r="E501" s="75"/>
      <c r="F501" s="74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>
      <c r="A502" s="74"/>
      <c r="B502" s="74"/>
      <c r="C502" s="74"/>
      <c r="D502" s="75"/>
      <c r="E502" s="75"/>
      <c r="F502" s="74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>
      <c r="A503" s="74"/>
      <c r="B503" s="74"/>
      <c r="C503" s="74"/>
      <c r="D503" s="75"/>
      <c r="E503" s="75"/>
      <c r="F503" s="74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>
      <c r="A504" s="74"/>
      <c r="B504" s="74"/>
      <c r="C504" s="74"/>
      <c r="D504" s="75"/>
      <c r="E504" s="75"/>
      <c r="F504" s="74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>
      <c r="A505" s="74"/>
      <c r="B505" s="74"/>
      <c r="C505" s="74"/>
      <c r="D505" s="75"/>
      <c r="E505" s="75"/>
      <c r="F505" s="74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>
      <c r="A506" s="74"/>
      <c r="B506" s="74"/>
      <c r="C506" s="74"/>
      <c r="D506" s="75"/>
      <c r="E506" s="75"/>
      <c r="F506" s="74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>
      <c r="A507" s="74"/>
      <c r="B507" s="74"/>
      <c r="C507" s="74"/>
      <c r="D507" s="75"/>
      <c r="E507" s="75"/>
      <c r="F507" s="74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>
      <c r="A508" s="74"/>
      <c r="B508" s="74"/>
      <c r="C508" s="74"/>
      <c r="D508" s="75"/>
      <c r="E508" s="75"/>
      <c r="F508" s="74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>
      <c r="A509" s="74"/>
      <c r="B509" s="74"/>
      <c r="C509" s="74"/>
      <c r="D509" s="75"/>
      <c r="E509" s="75"/>
      <c r="F509" s="74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>
      <c r="A510" s="74"/>
      <c r="B510" s="74"/>
      <c r="C510" s="74"/>
      <c r="D510" s="75"/>
      <c r="E510" s="75"/>
      <c r="F510" s="74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>
      <c r="A511" s="74"/>
      <c r="B511" s="74"/>
      <c r="C511" s="74"/>
      <c r="D511" s="75"/>
      <c r="E511" s="75"/>
      <c r="F511" s="74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>
      <c r="A512" s="74"/>
      <c r="B512" s="74"/>
      <c r="C512" s="74"/>
      <c r="D512" s="75"/>
      <c r="E512" s="75"/>
      <c r="F512" s="74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>
      <c r="A513" s="74"/>
      <c r="B513" s="74"/>
      <c r="C513" s="74"/>
      <c r="D513" s="75"/>
      <c r="E513" s="75"/>
      <c r="F513" s="74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>
      <c r="A514" s="74"/>
      <c r="B514" s="74"/>
      <c r="C514" s="74"/>
      <c r="D514" s="75"/>
      <c r="E514" s="75"/>
      <c r="F514" s="74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>
      <c r="A515" s="74"/>
      <c r="B515" s="74"/>
      <c r="C515" s="74"/>
      <c r="D515" s="75"/>
      <c r="E515" s="75"/>
      <c r="F515" s="74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>
      <c r="A516" s="74"/>
      <c r="B516" s="74"/>
      <c r="C516" s="74"/>
      <c r="D516" s="75"/>
      <c r="E516" s="75"/>
      <c r="F516" s="74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>
      <c r="A517" s="74"/>
      <c r="B517" s="74"/>
      <c r="C517" s="74"/>
      <c r="D517" s="75"/>
      <c r="E517" s="75"/>
      <c r="F517" s="74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>
      <c r="A518" s="74"/>
      <c r="B518" s="74"/>
      <c r="C518" s="74"/>
      <c r="D518" s="75"/>
      <c r="E518" s="75"/>
      <c r="F518" s="74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>
      <c r="A519" s="74"/>
      <c r="B519" s="74"/>
      <c r="C519" s="74"/>
      <c r="D519" s="75"/>
      <c r="E519" s="75"/>
      <c r="F519" s="74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>
      <c r="A520" s="74"/>
      <c r="B520" s="74"/>
      <c r="C520" s="74"/>
      <c r="D520" s="75"/>
      <c r="E520" s="75"/>
      <c r="F520" s="74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>
      <c r="A521" s="74"/>
      <c r="B521" s="74"/>
      <c r="C521" s="74"/>
      <c r="D521" s="75"/>
      <c r="E521" s="75"/>
      <c r="F521" s="74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>
      <c r="A522" s="74"/>
      <c r="B522" s="74"/>
      <c r="C522" s="74"/>
      <c r="D522" s="75"/>
      <c r="E522" s="75"/>
      <c r="F522" s="74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>
      <c r="A523" s="74"/>
      <c r="B523" s="74"/>
      <c r="C523" s="74"/>
      <c r="D523" s="75"/>
      <c r="E523" s="75"/>
      <c r="F523" s="74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>
      <c r="A524" s="74"/>
      <c r="B524" s="74"/>
      <c r="C524" s="74"/>
      <c r="D524" s="75"/>
      <c r="E524" s="75"/>
      <c r="F524" s="74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>
      <c r="A525" s="74"/>
      <c r="B525" s="74"/>
      <c r="C525" s="74"/>
      <c r="D525" s="75"/>
      <c r="E525" s="75"/>
      <c r="F525" s="74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>
      <c r="A526" s="74"/>
      <c r="B526" s="74"/>
      <c r="C526" s="74"/>
      <c r="D526" s="75"/>
      <c r="E526" s="75"/>
      <c r="F526" s="74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>
      <c r="A527" s="74"/>
      <c r="B527" s="74"/>
      <c r="C527" s="74"/>
      <c r="D527" s="75"/>
      <c r="E527" s="75"/>
      <c r="F527" s="74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>
      <c r="A528" s="74"/>
      <c r="B528" s="74"/>
      <c r="C528" s="74"/>
      <c r="D528" s="75"/>
      <c r="E528" s="75"/>
      <c r="F528" s="74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>
      <c r="A529" s="74"/>
      <c r="B529" s="74"/>
      <c r="C529" s="74"/>
      <c r="D529" s="75"/>
      <c r="E529" s="75"/>
      <c r="F529" s="74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>
      <c r="A530" s="74"/>
      <c r="B530" s="74"/>
      <c r="C530" s="74"/>
      <c r="D530" s="75"/>
      <c r="E530" s="75"/>
      <c r="F530" s="74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>
      <c r="A531" s="74"/>
      <c r="B531" s="74"/>
      <c r="C531" s="74"/>
      <c r="D531" s="75"/>
      <c r="E531" s="75"/>
      <c r="F531" s="74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>
      <c r="A532" s="74"/>
      <c r="B532" s="74"/>
      <c r="C532" s="74"/>
      <c r="D532" s="75"/>
      <c r="E532" s="75"/>
      <c r="F532" s="74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>
      <c r="A533" s="74"/>
      <c r="B533" s="74"/>
      <c r="C533" s="74"/>
      <c r="D533" s="75"/>
      <c r="E533" s="75"/>
      <c r="F533" s="74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>
      <c r="A534" s="74"/>
      <c r="B534" s="74"/>
      <c r="C534" s="74"/>
      <c r="D534" s="75"/>
      <c r="E534" s="75"/>
      <c r="F534" s="74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>
      <c r="A535" s="74"/>
      <c r="B535" s="74"/>
      <c r="C535" s="74"/>
      <c r="D535" s="75"/>
      <c r="E535" s="75"/>
      <c r="F535" s="74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>
      <c r="A536" s="74"/>
      <c r="B536" s="74"/>
      <c r="C536" s="74"/>
      <c r="D536" s="75"/>
      <c r="E536" s="75"/>
      <c r="F536" s="74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>
      <c r="A537" s="74"/>
      <c r="B537" s="74"/>
      <c r="C537" s="74"/>
      <c r="D537" s="75"/>
      <c r="E537" s="75"/>
      <c r="F537" s="74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>
      <c r="A538" s="74"/>
      <c r="B538" s="74"/>
      <c r="C538" s="74"/>
      <c r="D538" s="75"/>
      <c r="E538" s="75"/>
      <c r="F538" s="74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>
      <c r="A539" s="74"/>
      <c r="B539" s="74"/>
      <c r="C539" s="74"/>
      <c r="D539" s="75"/>
      <c r="E539" s="75"/>
      <c r="F539" s="74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>
      <c r="A540" s="74"/>
      <c r="B540" s="74"/>
      <c r="C540" s="74"/>
      <c r="D540" s="75"/>
      <c r="E540" s="75"/>
      <c r="F540" s="74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>
      <c r="A541" s="74"/>
      <c r="B541" s="74"/>
      <c r="C541" s="74"/>
      <c r="D541" s="75"/>
      <c r="E541" s="75"/>
      <c r="F541" s="74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>
      <c r="A542" s="74"/>
      <c r="B542" s="74"/>
      <c r="C542" s="74"/>
      <c r="D542" s="75"/>
      <c r="E542" s="75"/>
      <c r="F542" s="74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>
      <c r="A543" s="74"/>
      <c r="B543" s="74"/>
      <c r="C543" s="74"/>
      <c r="D543" s="75"/>
      <c r="E543" s="75"/>
      <c r="F543" s="74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>
      <c r="A544" s="74"/>
      <c r="B544" s="74"/>
      <c r="C544" s="74"/>
      <c r="D544" s="75"/>
      <c r="E544" s="75"/>
      <c r="F544" s="74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>
      <c r="A545" s="74"/>
      <c r="B545" s="74"/>
      <c r="C545" s="74"/>
      <c r="D545" s="75"/>
      <c r="E545" s="75"/>
      <c r="F545" s="74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>
      <c r="A546" s="74"/>
      <c r="B546" s="74"/>
      <c r="C546" s="74"/>
      <c r="D546" s="75"/>
      <c r="E546" s="75"/>
      <c r="F546" s="74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>
      <c r="A547" s="74"/>
      <c r="B547" s="74"/>
      <c r="C547" s="74"/>
      <c r="D547" s="75"/>
      <c r="E547" s="75"/>
      <c r="F547" s="74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>
      <c r="A548" s="74"/>
      <c r="B548" s="74"/>
      <c r="C548" s="74"/>
      <c r="D548" s="75"/>
      <c r="E548" s="75"/>
      <c r="F548" s="74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>
      <c r="A549" s="74"/>
      <c r="B549" s="74"/>
      <c r="C549" s="74"/>
      <c r="D549" s="75"/>
      <c r="E549" s="75"/>
      <c r="F549" s="74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>
      <c r="A550" s="74"/>
      <c r="B550" s="74"/>
      <c r="C550" s="74"/>
      <c r="D550" s="75"/>
      <c r="E550" s="75"/>
      <c r="F550" s="74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>
      <c r="A551" s="74"/>
      <c r="B551" s="74"/>
      <c r="C551" s="74"/>
      <c r="D551" s="75"/>
      <c r="E551" s="75"/>
      <c r="F551" s="74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>
      <c r="A552" s="74"/>
      <c r="B552" s="74"/>
      <c r="C552" s="74"/>
      <c r="D552" s="75"/>
      <c r="E552" s="75"/>
      <c r="F552" s="74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>
      <c r="A553" s="74"/>
      <c r="B553" s="74"/>
      <c r="C553" s="74"/>
      <c r="D553" s="75"/>
      <c r="E553" s="75"/>
      <c r="F553" s="74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>
      <c r="A554" s="74"/>
      <c r="B554" s="74"/>
      <c r="C554" s="74"/>
      <c r="D554" s="75"/>
      <c r="E554" s="75"/>
      <c r="F554" s="74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>
      <c r="A555" s="74"/>
      <c r="B555" s="74"/>
      <c r="C555" s="74"/>
      <c r="D555" s="75"/>
      <c r="E555" s="75"/>
      <c r="F555" s="74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>
      <c r="A556" s="74"/>
      <c r="B556" s="74"/>
      <c r="C556" s="74"/>
      <c r="D556" s="75"/>
      <c r="E556" s="75"/>
      <c r="F556" s="74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>
      <c r="A557" s="74"/>
      <c r="B557" s="74"/>
      <c r="C557" s="74"/>
      <c r="D557" s="75"/>
      <c r="E557" s="75"/>
      <c r="F557" s="74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>
      <c r="A558" s="74"/>
      <c r="B558" s="74"/>
      <c r="C558" s="74"/>
      <c r="D558" s="75"/>
      <c r="E558" s="75"/>
      <c r="F558" s="74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>
      <c r="A559" s="74"/>
      <c r="B559" s="74"/>
      <c r="C559" s="74"/>
      <c r="D559" s="75"/>
      <c r="E559" s="75"/>
      <c r="F559" s="74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>
      <c r="A560" s="74"/>
      <c r="B560" s="74"/>
      <c r="C560" s="74"/>
      <c r="D560" s="75"/>
      <c r="E560" s="75"/>
      <c r="F560" s="74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>
      <c r="A561" s="74"/>
      <c r="B561" s="74"/>
      <c r="C561" s="74"/>
      <c r="D561" s="75"/>
      <c r="E561" s="75"/>
      <c r="F561" s="74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>
      <c r="A562" s="74"/>
      <c r="B562" s="74"/>
      <c r="C562" s="74"/>
      <c r="D562" s="75"/>
      <c r="E562" s="75"/>
      <c r="F562" s="74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>
      <c r="A563" s="74"/>
      <c r="B563" s="74"/>
      <c r="C563" s="74"/>
      <c r="D563" s="75"/>
      <c r="E563" s="75"/>
      <c r="F563" s="74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>
      <c r="A564" s="74"/>
      <c r="B564" s="74"/>
      <c r="C564" s="74"/>
      <c r="D564" s="75"/>
      <c r="E564" s="75"/>
      <c r="F564" s="74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>
      <c r="A565" s="74"/>
      <c r="B565" s="74"/>
      <c r="C565" s="74"/>
      <c r="D565" s="75"/>
      <c r="E565" s="75"/>
      <c r="F565" s="74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>
      <c r="A566" s="74"/>
      <c r="B566" s="74"/>
      <c r="C566" s="74"/>
      <c r="D566" s="75"/>
      <c r="E566" s="75"/>
      <c r="F566" s="74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>
      <c r="A567" s="74"/>
      <c r="B567" s="74"/>
      <c r="C567" s="74"/>
      <c r="D567" s="75"/>
      <c r="E567" s="75"/>
      <c r="F567" s="74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>
      <c r="A568" s="74"/>
      <c r="B568" s="74"/>
      <c r="C568" s="74"/>
      <c r="D568" s="75"/>
      <c r="E568" s="75"/>
      <c r="F568" s="74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>
      <c r="A569" s="74"/>
      <c r="B569" s="74"/>
      <c r="C569" s="74"/>
      <c r="D569" s="75"/>
      <c r="E569" s="75"/>
      <c r="F569" s="74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>
      <c r="A570" s="74"/>
      <c r="B570" s="74"/>
      <c r="C570" s="74"/>
      <c r="D570" s="75"/>
      <c r="E570" s="75"/>
      <c r="F570" s="74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>
      <c r="A571" s="74"/>
      <c r="B571" s="74"/>
      <c r="C571" s="74"/>
      <c r="D571" s="75"/>
      <c r="E571" s="75"/>
      <c r="F571" s="74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>
      <c r="A572" s="74"/>
      <c r="B572" s="74"/>
      <c r="C572" s="74"/>
      <c r="D572" s="75"/>
      <c r="E572" s="75"/>
      <c r="F572" s="74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>
      <c r="A573" s="74"/>
      <c r="B573" s="74"/>
      <c r="C573" s="74"/>
      <c r="D573" s="75"/>
      <c r="E573" s="75"/>
      <c r="F573" s="74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>
      <c r="A574" s="74"/>
      <c r="B574" s="74"/>
      <c r="C574" s="74"/>
      <c r="D574" s="75"/>
      <c r="E574" s="75"/>
      <c r="F574" s="74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>
      <c r="A575" s="74"/>
      <c r="B575" s="74"/>
      <c r="C575" s="74"/>
      <c r="D575" s="75"/>
      <c r="E575" s="75"/>
      <c r="F575" s="74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>
      <c r="A576" s="74"/>
      <c r="B576" s="74"/>
      <c r="C576" s="74"/>
      <c r="D576" s="75"/>
      <c r="E576" s="75"/>
      <c r="F576" s="74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>
      <c r="A577" s="74"/>
      <c r="B577" s="74"/>
      <c r="C577" s="74"/>
      <c r="D577" s="75"/>
      <c r="E577" s="75"/>
      <c r="F577" s="74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>
      <c r="A578" s="74"/>
      <c r="B578" s="74"/>
      <c r="C578" s="74"/>
      <c r="D578" s="75"/>
      <c r="E578" s="75"/>
      <c r="F578" s="74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>
      <c r="A579" s="74"/>
      <c r="B579" s="74"/>
      <c r="C579" s="74"/>
      <c r="D579" s="75"/>
      <c r="E579" s="75"/>
      <c r="F579" s="74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>
      <c r="A580" s="74"/>
      <c r="B580" s="74"/>
      <c r="C580" s="74"/>
      <c r="D580" s="75"/>
      <c r="E580" s="75"/>
      <c r="F580" s="74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>
      <c r="A581" s="74"/>
      <c r="B581" s="74"/>
      <c r="C581" s="74"/>
      <c r="D581" s="75"/>
      <c r="E581" s="75"/>
      <c r="F581" s="74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>
      <c r="A582" s="74"/>
      <c r="B582" s="74"/>
      <c r="C582" s="74"/>
      <c r="D582" s="75"/>
      <c r="E582" s="75"/>
      <c r="F582" s="74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>
      <c r="A583" s="74"/>
      <c r="B583" s="74"/>
      <c r="C583" s="74"/>
      <c r="D583" s="75"/>
      <c r="E583" s="75"/>
      <c r="F583" s="74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>
      <c r="A584" s="74"/>
      <c r="B584" s="74"/>
      <c r="C584" s="74"/>
      <c r="D584" s="75"/>
      <c r="E584" s="75"/>
      <c r="F584" s="74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>
      <c r="A585" s="74"/>
      <c r="B585" s="74"/>
      <c r="C585" s="74"/>
      <c r="D585" s="75"/>
      <c r="E585" s="75"/>
      <c r="F585" s="74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>
      <c r="A586" s="74"/>
      <c r="B586" s="74"/>
      <c r="C586" s="74"/>
      <c r="D586" s="75"/>
      <c r="E586" s="75"/>
      <c r="F586" s="74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>
      <c r="A587" s="74"/>
      <c r="B587" s="74"/>
      <c r="C587" s="74"/>
      <c r="D587" s="75"/>
      <c r="E587" s="75"/>
      <c r="F587" s="74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>
      <c r="A588" s="74"/>
      <c r="B588" s="74"/>
      <c r="C588" s="74"/>
      <c r="D588" s="75"/>
      <c r="E588" s="75"/>
      <c r="F588" s="74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>
      <c r="A589" s="74"/>
      <c r="B589" s="74"/>
      <c r="C589" s="74"/>
      <c r="D589" s="75"/>
      <c r="E589" s="75"/>
      <c r="F589" s="74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>
      <c r="A590" s="74"/>
      <c r="B590" s="74"/>
      <c r="C590" s="74"/>
      <c r="D590" s="75"/>
      <c r="E590" s="75"/>
      <c r="F590" s="74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>
      <c r="A591" s="74"/>
      <c r="B591" s="74"/>
      <c r="C591" s="74"/>
      <c r="D591" s="75"/>
      <c r="E591" s="75"/>
      <c r="F591" s="74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>
      <c r="A592" s="74"/>
      <c r="B592" s="74"/>
      <c r="C592" s="74"/>
      <c r="D592" s="75"/>
      <c r="E592" s="75"/>
      <c r="F592" s="74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>
      <c r="A593" s="74"/>
      <c r="B593" s="74"/>
      <c r="C593" s="74"/>
      <c r="D593" s="75"/>
      <c r="E593" s="75"/>
      <c r="F593" s="74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>
      <c r="A594" s="74"/>
      <c r="B594" s="74"/>
      <c r="C594" s="74"/>
      <c r="D594" s="75"/>
      <c r="E594" s="75"/>
      <c r="F594" s="74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>
      <c r="A595" s="74"/>
      <c r="B595" s="74"/>
      <c r="C595" s="74"/>
      <c r="D595" s="75"/>
      <c r="E595" s="75"/>
      <c r="F595" s="74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>
      <c r="A596" s="74"/>
      <c r="B596" s="74"/>
      <c r="C596" s="74"/>
      <c r="D596" s="75"/>
      <c r="E596" s="75"/>
      <c r="F596" s="74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>
      <c r="A597" s="74"/>
      <c r="B597" s="74"/>
      <c r="C597" s="74"/>
      <c r="D597" s="75"/>
      <c r="E597" s="75"/>
      <c r="F597" s="74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>
      <c r="A598" s="74"/>
      <c r="B598" s="74"/>
      <c r="C598" s="74"/>
      <c r="D598" s="75"/>
      <c r="E598" s="75"/>
      <c r="F598" s="74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>
      <c r="A599" s="74"/>
      <c r="B599" s="74"/>
      <c r="C599" s="74"/>
      <c r="D599" s="75"/>
      <c r="E599" s="75"/>
      <c r="F599" s="74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>
      <c r="A600" s="74"/>
      <c r="B600" s="74"/>
      <c r="C600" s="74"/>
      <c r="D600" s="75"/>
      <c r="E600" s="75"/>
      <c r="F600" s="74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>
      <c r="A601" s="74"/>
      <c r="B601" s="74"/>
      <c r="C601" s="74"/>
      <c r="D601" s="75"/>
      <c r="E601" s="75"/>
      <c r="F601" s="74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>
      <c r="A602" s="74"/>
      <c r="B602" s="74"/>
      <c r="C602" s="74"/>
      <c r="D602" s="75"/>
      <c r="E602" s="75"/>
      <c r="F602" s="74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>
      <c r="A603" s="74"/>
      <c r="B603" s="74"/>
      <c r="C603" s="74"/>
      <c r="D603" s="75"/>
      <c r="E603" s="75"/>
      <c r="F603" s="74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>
      <c r="A604" s="74"/>
      <c r="B604" s="74"/>
      <c r="C604" s="74"/>
      <c r="D604" s="75"/>
      <c r="E604" s="75"/>
      <c r="F604" s="74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>
      <c r="A605" s="74"/>
      <c r="B605" s="74"/>
      <c r="C605" s="74"/>
      <c r="D605" s="75"/>
      <c r="E605" s="75"/>
      <c r="F605" s="74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>
      <c r="A606" s="74"/>
      <c r="B606" s="74"/>
      <c r="C606" s="74"/>
      <c r="D606" s="75"/>
      <c r="E606" s="75"/>
      <c r="F606" s="74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>
      <c r="A607" s="74"/>
      <c r="B607" s="74"/>
      <c r="C607" s="74"/>
      <c r="D607" s="75"/>
      <c r="E607" s="75"/>
      <c r="F607" s="74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>
      <c r="A608" s="74"/>
      <c r="B608" s="74"/>
      <c r="C608" s="74"/>
      <c r="D608" s="75"/>
      <c r="E608" s="75"/>
      <c r="F608" s="74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>
      <c r="A609" s="74"/>
      <c r="B609" s="74"/>
      <c r="C609" s="74"/>
      <c r="D609" s="75"/>
      <c r="E609" s="75"/>
      <c r="F609" s="74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>
      <c r="A610" s="74"/>
      <c r="B610" s="74"/>
      <c r="C610" s="74"/>
      <c r="D610" s="75"/>
      <c r="E610" s="75"/>
      <c r="F610" s="74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>
      <c r="A611" s="74"/>
      <c r="B611" s="74"/>
      <c r="C611" s="74"/>
      <c r="D611" s="75"/>
      <c r="E611" s="75"/>
      <c r="F611" s="74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>
      <c r="A612" s="74"/>
      <c r="B612" s="74"/>
      <c r="C612" s="74"/>
      <c r="D612" s="75"/>
      <c r="E612" s="75"/>
      <c r="F612" s="74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>
      <c r="A613" s="74"/>
      <c r="B613" s="74"/>
      <c r="C613" s="74"/>
      <c r="D613" s="75"/>
      <c r="E613" s="75"/>
      <c r="F613" s="74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>
      <c r="A614" s="74"/>
      <c r="B614" s="74"/>
      <c r="C614" s="74"/>
      <c r="D614" s="75"/>
      <c r="E614" s="75"/>
      <c r="F614" s="74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>
      <c r="A615" s="74"/>
      <c r="B615" s="74"/>
      <c r="C615" s="74"/>
      <c r="D615" s="75"/>
      <c r="E615" s="75"/>
      <c r="F615" s="74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>
      <c r="A616" s="74"/>
      <c r="B616" s="74"/>
      <c r="C616" s="74"/>
      <c r="D616" s="75"/>
      <c r="E616" s="75"/>
      <c r="F616" s="74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>
      <c r="A617" s="74"/>
      <c r="B617" s="74"/>
      <c r="C617" s="74"/>
      <c r="D617" s="75"/>
      <c r="E617" s="75"/>
      <c r="F617" s="74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>
      <c r="A618" s="74"/>
      <c r="B618" s="74"/>
      <c r="C618" s="74"/>
      <c r="D618" s="75"/>
      <c r="E618" s="75"/>
      <c r="F618" s="74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>
      <c r="A619" s="74"/>
      <c r="B619" s="74"/>
      <c r="C619" s="74"/>
      <c r="D619" s="75"/>
      <c r="E619" s="75"/>
      <c r="F619" s="74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>
      <c r="A620" s="74"/>
      <c r="B620" s="74"/>
      <c r="C620" s="74"/>
      <c r="D620" s="75"/>
      <c r="E620" s="75"/>
      <c r="F620" s="74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>
      <c r="A621" s="74"/>
      <c r="B621" s="74"/>
      <c r="C621" s="74"/>
      <c r="D621" s="75"/>
      <c r="E621" s="75"/>
      <c r="F621" s="74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>
      <c r="A622" s="74"/>
      <c r="B622" s="74"/>
      <c r="C622" s="74"/>
      <c r="D622" s="75"/>
      <c r="E622" s="75"/>
      <c r="F622" s="74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>
      <c r="A623" s="74"/>
      <c r="B623" s="74"/>
      <c r="C623" s="74"/>
      <c r="D623" s="75"/>
      <c r="E623" s="75"/>
      <c r="F623" s="74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>
      <c r="A624" s="74"/>
      <c r="B624" s="74"/>
      <c r="C624" s="74"/>
      <c r="D624" s="75"/>
      <c r="E624" s="75"/>
      <c r="F624" s="74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>
      <c r="A625" s="74"/>
      <c r="B625" s="74"/>
      <c r="C625" s="74"/>
      <c r="D625" s="75"/>
      <c r="E625" s="75"/>
      <c r="F625" s="74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>
      <c r="A626" s="74"/>
      <c r="B626" s="74"/>
      <c r="C626" s="74"/>
      <c r="D626" s="75"/>
      <c r="E626" s="75"/>
      <c r="F626" s="74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>
      <c r="A627" s="74"/>
      <c r="B627" s="74"/>
      <c r="C627" s="74"/>
      <c r="D627" s="75"/>
      <c r="E627" s="75"/>
      <c r="F627" s="74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>
      <c r="A628" s="74"/>
      <c r="B628" s="74"/>
      <c r="C628" s="74"/>
      <c r="D628" s="75"/>
      <c r="E628" s="75"/>
      <c r="F628" s="74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>
      <c r="A629" s="74"/>
      <c r="B629" s="74"/>
      <c r="C629" s="74"/>
      <c r="D629" s="75"/>
      <c r="E629" s="75"/>
      <c r="F629" s="74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>
      <c r="A630" s="74"/>
      <c r="B630" s="74"/>
      <c r="C630" s="74"/>
      <c r="D630" s="75"/>
      <c r="E630" s="75"/>
      <c r="F630" s="74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>
      <c r="A631" s="74"/>
      <c r="B631" s="74"/>
      <c r="C631" s="74"/>
      <c r="D631" s="75"/>
      <c r="E631" s="75"/>
      <c r="F631" s="74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>
      <c r="A632" s="74"/>
      <c r="B632" s="74"/>
      <c r="C632" s="74"/>
      <c r="D632" s="75"/>
      <c r="E632" s="75"/>
      <c r="F632" s="74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>
      <c r="A633" s="74"/>
      <c r="B633" s="74"/>
      <c r="C633" s="74"/>
      <c r="D633" s="75"/>
      <c r="E633" s="75"/>
      <c r="F633" s="74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>
      <c r="A634" s="74"/>
      <c r="B634" s="74"/>
      <c r="C634" s="74"/>
      <c r="D634" s="75"/>
      <c r="E634" s="75"/>
      <c r="F634" s="74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>
      <c r="A635" s="74"/>
      <c r="B635" s="74"/>
      <c r="C635" s="74"/>
      <c r="D635" s="75"/>
      <c r="E635" s="75"/>
      <c r="F635" s="74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>
      <c r="A636" s="74"/>
      <c r="B636" s="74"/>
      <c r="C636" s="74"/>
      <c r="D636" s="75"/>
      <c r="E636" s="75"/>
      <c r="F636" s="74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>
      <c r="A637" s="74"/>
      <c r="B637" s="74"/>
      <c r="C637" s="74"/>
      <c r="D637" s="75"/>
      <c r="E637" s="75"/>
      <c r="F637" s="74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>
      <c r="A638" s="74"/>
      <c r="B638" s="74"/>
      <c r="C638" s="74"/>
      <c r="D638" s="75"/>
      <c r="E638" s="75"/>
      <c r="F638" s="74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>
      <c r="A639" s="74"/>
      <c r="B639" s="74"/>
      <c r="C639" s="74"/>
      <c r="D639" s="75"/>
      <c r="E639" s="75"/>
      <c r="F639" s="74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>
      <c r="A640" s="74"/>
      <c r="B640" s="74"/>
      <c r="C640" s="74"/>
      <c r="D640" s="75"/>
      <c r="E640" s="75"/>
      <c r="F640" s="74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>
      <c r="A641" s="74"/>
      <c r="B641" s="74"/>
      <c r="C641" s="74"/>
      <c r="D641" s="75"/>
      <c r="E641" s="75"/>
      <c r="F641" s="74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>
      <c r="A642" s="74"/>
      <c r="B642" s="74"/>
      <c r="C642" s="74"/>
      <c r="D642" s="75"/>
      <c r="E642" s="75"/>
      <c r="F642" s="74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>
      <c r="A643" s="74"/>
      <c r="B643" s="74"/>
      <c r="C643" s="74"/>
      <c r="D643" s="75"/>
      <c r="E643" s="75"/>
      <c r="F643" s="74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>
      <c r="A644" s="74"/>
      <c r="B644" s="74"/>
      <c r="C644" s="74"/>
      <c r="D644" s="75"/>
      <c r="E644" s="75"/>
      <c r="F644" s="74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>
      <c r="A645" s="74"/>
      <c r="B645" s="74"/>
      <c r="C645" s="74"/>
      <c r="D645" s="75"/>
      <c r="E645" s="75"/>
      <c r="F645" s="74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>
      <c r="A646" s="74"/>
      <c r="B646" s="74"/>
      <c r="C646" s="74"/>
      <c r="D646" s="75"/>
      <c r="E646" s="75"/>
      <c r="F646" s="74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>
      <c r="A647" s="74"/>
      <c r="B647" s="74"/>
      <c r="C647" s="74"/>
      <c r="D647" s="75"/>
      <c r="E647" s="75"/>
      <c r="F647" s="74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>
      <c r="A648" s="74"/>
      <c r="B648" s="74"/>
      <c r="C648" s="74"/>
      <c r="D648" s="75"/>
      <c r="E648" s="75"/>
      <c r="F648" s="74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>
      <c r="A649" s="74"/>
      <c r="B649" s="74"/>
      <c r="C649" s="74"/>
      <c r="D649" s="75"/>
      <c r="E649" s="75"/>
      <c r="F649" s="74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>
      <c r="A650" s="74"/>
      <c r="B650" s="74"/>
      <c r="C650" s="74"/>
      <c r="D650" s="75"/>
      <c r="E650" s="75"/>
      <c r="F650" s="74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>
      <c r="A651" s="74"/>
      <c r="B651" s="74"/>
      <c r="C651" s="74"/>
      <c r="D651" s="75"/>
      <c r="E651" s="75"/>
      <c r="F651" s="74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>
      <c r="A652" s="74"/>
      <c r="B652" s="74"/>
      <c r="C652" s="74"/>
      <c r="D652" s="75"/>
      <c r="E652" s="75"/>
      <c r="F652" s="74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>
      <c r="A653" s="74"/>
      <c r="B653" s="74"/>
      <c r="C653" s="74"/>
      <c r="D653" s="75"/>
      <c r="E653" s="75"/>
      <c r="F653" s="74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>
      <c r="A654" s="74"/>
      <c r="B654" s="74"/>
      <c r="C654" s="74"/>
      <c r="D654" s="75"/>
      <c r="E654" s="75"/>
      <c r="F654" s="74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>
      <c r="A655" s="74"/>
      <c r="B655" s="74"/>
      <c r="C655" s="74"/>
      <c r="D655" s="75"/>
      <c r="E655" s="75"/>
      <c r="F655" s="74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>
      <c r="A656" s="74"/>
      <c r="B656" s="74"/>
      <c r="C656" s="74"/>
      <c r="D656" s="75"/>
      <c r="E656" s="75"/>
      <c r="F656" s="74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>
      <c r="A657" s="74"/>
      <c r="B657" s="74"/>
      <c r="C657" s="74"/>
      <c r="D657" s="75"/>
      <c r="E657" s="75"/>
      <c r="F657" s="74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>
      <c r="A658" s="74"/>
      <c r="B658" s="74"/>
      <c r="C658" s="74"/>
      <c r="D658" s="75"/>
      <c r="E658" s="75"/>
      <c r="F658" s="74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>
      <c r="A659" s="74"/>
      <c r="B659" s="74"/>
      <c r="C659" s="74"/>
      <c r="D659" s="75"/>
      <c r="E659" s="75"/>
      <c r="F659" s="74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>
      <c r="A660" s="74"/>
      <c r="B660" s="74"/>
      <c r="C660" s="74"/>
      <c r="D660" s="75"/>
      <c r="E660" s="75"/>
      <c r="F660" s="74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>
      <c r="A661" s="74"/>
      <c r="B661" s="74"/>
      <c r="C661" s="74"/>
      <c r="D661" s="75"/>
      <c r="E661" s="75"/>
      <c r="F661" s="74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>
      <c r="A662" s="74"/>
      <c r="B662" s="74"/>
      <c r="C662" s="74"/>
      <c r="D662" s="75"/>
      <c r="E662" s="75"/>
      <c r="F662" s="74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>
      <c r="A663" s="74"/>
      <c r="B663" s="74"/>
      <c r="C663" s="74"/>
      <c r="D663" s="75"/>
      <c r="E663" s="75"/>
      <c r="F663" s="74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>
      <c r="A664" s="74"/>
      <c r="B664" s="74"/>
      <c r="C664" s="74"/>
      <c r="D664" s="75"/>
      <c r="E664" s="75"/>
      <c r="F664" s="74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>
      <c r="A665" s="74"/>
      <c r="B665" s="74"/>
      <c r="C665" s="74"/>
      <c r="D665" s="75"/>
      <c r="E665" s="75"/>
      <c r="F665" s="74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>
      <c r="A666" s="74"/>
      <c r="B666" s="74"/>
      <c r="C666" s="74"/>
      <c r="D666" s="75"/>
      <c r="E666" s="75"/>
      <c r="F666" s="74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>
      <c r="A667" s="74"/>
      <c r="B667" s="74"/>
      <c r="C667" s="74"/>
      <c r="D667" s="75"/>
      <c r="E667" s="75"/>
      <c r="F667" s="74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>
      <c r="A668" s="74"/>
      <c r="B668" s="74"/>
      <c r="C668" s="74"/>
      <c r="D668" s="75"/>
      <c r="E668" s="75"/>
      <c r="F668" s="74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>
      <c r="A669" s="74"/>
      <c r="B669" s="74"/>
      <c r="C669" s="74"/>
      <c r="D669" s="75"/>
      <c r="E669" s="75"/>
      <c r="F669" s="74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>
      <c r="A670" s="74"/>
      <c r="B670" s="74"/>
      <c r="C670" s="74"/>
      <c r="D670" s="75"/>
      <c r="E670" s="75"/>
      <c r="F670" s="74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>
      <c r="A671" s="74"/>
      <c r="B671" s="74"/>
      <c r="C671" s="74"/>
      <c r="D671" s="75"/>
      <c r="E671" s="75"/>
      <c r="F671" s="74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>
      <c r="A672" s="74"/>
      <c r="B672" s="74"/>
      <c r="C672" s="74"/>
      <c r="D672" s="75"/>
      <c r="E672" s="75"/>
      <c r="F672" s="74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>
      <c r="A673" s="74"/>
      <c r="B673" s="74"/>
      <c r="C673" s="74"/>
      <c r="D673" s="75"/>
      <c r="E673" s="75"/>
      <c r="F673" s="74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>
      <c r="A674" s="74"/>
      <c r="B674" s="74"/>
      <c r="C674" s="74"/>
      <c r="D674" s="75"/>
      <c r="E674" s="75"/>
      <c r="F674" s="74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>
      <c r="A675" s="74"/>
      <c r="B675" s="74"/>
      <c r="C675" s="74"/>
      <c r="D675" s="75"/>
      <c r="E675" s="75"/>
      <c r="F675" s="74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>
      <c r="A676" s="74"/>
      <c r="B676" s="74"/>
      <c r="C676" s="74"/>
      <c r="D676" s="75"/>
      <c r="E676" s="75"/>
      <c r="F676" s="74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>
      <c r="A677" s="74"/>
      <c r="B677" s="74"/>
      <c r="C677" s="74"/>
      <c r="D677" s="75"/>
      <c r="E677" s="75"/>
      <c r="F677" s="74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>
      <c r="A678" s="74"/>
      <c r="B678" s="74"/>
      <c r="C678" s="74"/>
      <c r="D678" s="75"/>
      <c r="E678" s="75"/>
      <c r="F678" s="74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>
      <c r="A679" s="74"/>
      <c r="B679" s="74"/>
      <c r="C679" s="74"/>
      <c r="D679" s="75"/>
      <c r="E679" s="75"/>
      <c r="F679" s="74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>
      <c r="A680" s="74"/>
      <c r="B680" s="74"/>
      <c r="C680" s="74"/>
      <c r="D680" s="75"/>
      <c r="E680" s="75"/>
      <c r="F680" s="74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>
      <c r="A681" s="74"/>
      <c r="B681" s="74"/>
      <c r="C681" s="74"/>
      <c r="D681" s="75"/>
      <c r="E681" s="75"/>
      <c r="F681" s="74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>
      <c r="A682" s="74"/>
      <c r="B682" s="74"/>
      <c r="C682" s="74"/>
      <c r="D682" s="75"/>
      <c r="E682" s="75"/>
      <c r="F682" s="74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>
      <c r="A683" s="74"/>
      <c r="B683" s="74"/>
      <c r="C683" s="74"/>
      <c r="D683" s="75"/>
      <c r="E683" s="75"/>
      <c r="F683" s="74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>
      <c r="A684" s="74"/>
      <c r="B684" s="74"/>
      <c r="C684" s="74"/>
      <c r="D684" s="75"/>
      <c r="E684" s="75"/>
      <c r="F684" s="74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>
      <c r="A685" s="74"/>
      <c r="B685" s="74"/>
      <c r="C685" s="74"/>
      <c r="D685" s="75"/>
      <c r="E685" s="75"/>
      <c r="F685" s="74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>
      <c r="A686" s="74"/>
      <c r="B686" s="74"/>
      <c r="C686" s="74"/>
      <c r="D686" s="75"/>
      <c r="E686" s="75"/>
      <c r="F686" s="74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>
      <c r="A687" s="74"/>
      <c r="B687" s="74"/>
      <c r="C687" s="74"/>
      <c r="D687" s="75"/>
      <c r="E687" s="75"/>
      <c r="F687" s="74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>
      <c r="A688" s="74"/>
      <c r="B688" s="74"/>
      <c r="C688" s="74"/>
      <c r="D688" s="75"/>
      <c r="E688" s="75"/>
      <c r="F688" s="74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>
      <c r="A689" s="74"/>
      <c r="B689" s="74"/>
      <c r="C689" s="74"/>
      <c r="D689" s="75"/>
      <c r="E689" s="75"/>
      <c r="F689" s="74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>
      <c r="A690" s="74"/>
      <c r="B690" s="74"/>
      <c r="C690" s="74"/>
      <c r="D690" s="75"/>
      <c r="E690" s="75"/>
      <c r="F690" s="74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>
      <c r="A691" s="74"/>
      <c r="B691" s="74"/>
      <c r="C691" s="74"/>
      <c r="D691" s="75"/>
      <c r="E691" s="75"/>
      <c r="F691" s="74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>
      <c r="A692" s="74"/>
      <c r="B692" s="74"/>
      <c r="C692" s="74"/>
      <c r="D692" s="75"/>
      <c r="E692" s="75"/>
      <c r="F692" s="74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>
      <c r="A693" s="74"/>
      <c r="B693" s="74"/>
      <c r="C693" s="74"/>
      <c r="D693" s="75"/>
      <c r="E693" s="75"/>
      <c r="F693" s="74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>
      <c r="A694" s="74"/>
      <c r="B694" s="74"/>
      <c r="C694" s="74"/>
      <c r="D694" s="75"/>
      <c r="E694" s="75"/>
      <c r="F694" s="74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>
      <c r="A695" s="74"/>
      <c r="B695" s="74"/>
      <c r="C695" s="74"/>
      <c r="D695" s="75"/>
      <c r="E695" s="75"/>
      <c r="F695" s="74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>
      <c r="A696" s="74"/>
      <c r="B696" s="74"/>
      <c r="C696" s="74"/>
      <c r="D696" s="75"/>
      <c r="E696" s="75"/>
      <c r="F696" s="74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>
      <c r="A697" s="74"/>
      <c r="B697" s="74"/>
      <c r="C697" s="74"/>
      <c r="D697" s="75"/>
      <c r="E697" s="75"/>
      <c r="F697" s="74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>
      <c r="A698" s="74"/>
      <c r="B698" s="74"/>
      <c r="C698" s="74"/>
      <c r="D698" s="75"/>
      <c r="E698" s="75"/>
      <c r="F698" s="74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>
      <c r="A699" s="74"/>
      <c r="B699" s="74"/>
      <c r="C699" s="74"/>
      <c r="D699" s="75"/>
      <c r="E699" s="75"/>
      <c r="F699" s="74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>
      <c r="A700" s="74"/>
      <c r="B700" s="74"/>
      <c r="C700" s="74"/>
      <c r="D700" s="75"/>
      <c r="E700" s="75"/>
      <c r="F700" s="74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>
      <c r="A701" s="74"/>
      <c r="B701" s="74"/>
      <c r="C701" s="74"/>
      <c r="D701" s="75"/>
      <c r="E701" s="75"/>
      <c r="F701" s="74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>
      <c r="A702" s="74"/>
      <c r="B702" s="74"/>
      <c r="C702" s="74"/>
      <c r="D702" s="75"/>
      <c r="E702" s="75"/>
      <c r="F702" s="74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>
      <c r="A703" s="74"/>
      <c r="B703" s="74"/>
      <c r="C703" s="74"/>
      <c r="D703" s="75"/>
      <c r="E703" s="75"/>
      <c r="F703" s="74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>
      <c r="A704" s="74"/>
      <c r="B704" s="74"/>
      <c r="C704" s="74"/>
      <c r="D704" s="75"/>
      <c r="E704" s="75"/>
      <c r="F704" s="74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>
      <c r="A705" s="74"/>
      <c r="B705" s="74"/>
      <c r="C705" s="74"/>
      <c r="D705" s="75"/>
      <c r="E705" s="75"/>
      <c r="F705" s="74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>
      <c r="A706" s="74"/>
      <c r="B706" s="74"/>
      <c r="C706" s="74"/>
      <c r="D706" s="75"/>
      <c r="E706" s="75"/>
      <c r="F706" s="74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>
      <c r="A707" s="74"/>
      <c r="B707" s="74"/>
      <c r="C707" s="74"/>
      <c r="D707" s="75"/>
      <c r="E707" s="75"/>
      <c r="F707" s="74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>
      <c r="A708" s="74"/>
      <c r="B708" s="74"/>
      <c r="C708" s="74"/>
      <c r="D708" s="75"/>
      <c r="E708" s="75"/>
      <c r="F708" s="74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>
      <c r="A709" s="74"/>
      <c r="B709" s="74"/>
      <c r="C709" s="74"/>
      <c r="D709" s="75"/>
      <c r="E709" s="75"/>
      <c r="F709" s="74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>
      <c r="A710" s="74"/>
      <c r="B710" s="74"/>
      <c r="C710" s="74"/>
      <c r="D710" s="75"/>
      <c r="E710" s="75"/>
      <c r="F710" s="74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>
      <c r="A711" s="74"/>
      <c r="B711" s="74"/>
      <c r="C711" s="74"/>
      <c r="D711" s="75"/>
      <c r="E711" s="75"/>
      <c r="F711" s="74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>
      <c r="A712" s="74"/>
      <c r="B712" s="74"/>
      <c r="C712" s="74"/>
      <c r="D712" s="75"/>
      <c r="E712" s="75"/>
      <c r="F712" s="74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>
      <c r="A713" s="74"/>
      <c r="B713" s="74"/>
      <c r="C713" s="74"/>
      <c r="D713" s="75"/>
      <c r="E713" s="75"/>
      <c r="F713" s="74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>
      <c r="A714" s="74"/>
      <c r="B714" s="74"/>
      <c r="C714" s="74"/>
      <c r="D714" s="75"/>
      <c r="E714" s="75"/>
      <c r="F714" s="74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>
      <c r="A715" s="74"/>
      <c r="B715" s="74"/>
      <c r="C715" s="74"/>
      <c r="D715" s="75"/>
      <c r="E715" s="75"/>
      <c r="F715" s="74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>
      <c r="A716" s="74"/>
      <c r="B716" s="74"/>
      <c r="C716" s="74"/>
      <c r="D716" s="75"/>
      <c r="E716" s="75"/>
      <c r="F716" s="74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>
      <c r="A717" s="74"/>
      <c r="B717" s="74"/>
      <c r="C717" s="74"/>
      <c r="D717" s="75"/>
      <c r="E717" s="75"/>
      <c r="F717" s="74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>
      <c r="A718" s="74"/>
      <c r="B718" s="74"/>
      <c r="C718" s="74"/>
      <c r="D718" s="75"/>
      <c r="E718" s="75"/>
      <c r="F718" s="74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>
      <c r="A719" s="74"/>
      <c r="B719" s="74"/>
      <c r="C719" s="74"/>
      <c r="D719" s="75"/>
      <c r="E719" s="75"/>
      <c r="F719" s="74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>
      <c r="A720" s="74"/>
      <c r="B720" s="74"/>
      <c r="C720" s="74"/>
      <c r="D720" s="75"/>
      <c r="E720" s="75"/>
      <c r="F720" s="74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>
      <c r="A721" s="74"/>
      <c r="B721" s="74"/>
      <c r="C721" s="74"/>
      <c r="D721" s="75"/>
      <c r="E721" s="75"/>
      <c r="F721" s="74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>
      <c r="A722" s="74"/>
      <c r="B722" s="74"/>
      <c r="C722" s="74"/>
      <c r="D722" s="75"/>
      <c r="E722" s="75"/>
      <c r="F722" s="74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>
      <c r="A723" s="74"/>
      <c r="B723" s="74"/>
      <c r="C723" s="74"/>
      <c r="D723" s="75"/>
      <c r="E723" s="75"/>
      <c r="F723" s="74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>
      <c r="A724" s="74"/>
      <c r="B724" s="74"/>
      <c r="C724" s="74"/>
      <c r="D724" s="75"/>
      <c r="E724" s="75"/>
      <c r="F724" s="74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>
      <c r="A725" s="74"/>
      <c r="B725" s="74"/>
      <c r="C725" s="74"/>
      <c r="D725" s="75"/>
      <c r="E725" s="75"/>
      <c r="F725" s="74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>
      <c r="A726" s="74"/>
      <c r="B726" s="74"/>
      <c r="C726" s="74"/>
      <c r="D726" s="75"/>
      <c r="E726" s="75"/>
      <c r="F726" s="74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>
      <c r="A727" s="74"/>
      <c r="B727" s="74"/>
      <c r="C727" s="74"/>
      <c r="D727" s="75"/>
      <c r="E727" s="75"/>
      <c r="F727" s="74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>
      <c r="A728" s="74"/>
      <c r="B728" s="74"/>
      <c r="C728" s="74"/>
      <c r="D728" s="75"/>
      <c r="E728" s="75"/>
      <c r="F728" s="74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>
      <c r="A729" s="74"/>
      <c r="B729" s="74"/>
      <c r="C729" s="74"/>
      <c r="D729" s="75"/>
      <c r="E729" s="75"/>
      <c r="F729" s="74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>
      <c r="A730" s="74"/>
      <c r="B730" s="74"/>
      <c r="C730" s="74"/>
      <c r="D730" s="75"/>
      <c r="E730" s="75"/>
      <c r="F730" s="74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>
      <c r="A731" s="74"/>
      <c r="B731" s="74"/>
      <c r="C731" s="74"/>
      <c r="D731" s="75"/>
      <c r="E731" s="75"/>
      <c r="F731" s="74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>
      <c r="A732" s="74"/>
      <c r="B732" s="74"/>
      <c r="C732" s="74"/>
      <c r="D732" s="75"/>
      <c r="E732" s="75"/>
      <c r="F732" s="74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>
      <c r="A733" s="74"/>
      <c r="B733" s="74"/>
      <c r="C733" s="74"/>
      <c r="D733" s="75"/>
      <c r="E733" s="75"/>
      <c r="F733" s="74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>
      <c r="A734" s="74"/>
      <c r="B734" s="74"/>
      <c r="C734" s="74"/>
      <c r="D734" s="75"/>
      <c r="E734" s="75"/>
      <c r="F734" s="74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>
      <c r="A735" s="74"/>
      <c r="B735" s="74"/>
      <c r="C735" s="74"/>
      <c r="D735" s="75"/>
      <c r="E735" s="75"/>
      <c r="F735" s="74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>
      <c r="A736" s="74"/>
      <c r="B736" s="74"/>
      <c r="C736" s="74"/>
      <c r="D736" s="75"/>
      <c r="E736" s="75"/>
      <c r="F736" s="74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>
      <c r="A737" s="74"/>
      <c r="B737" s="74"/>
      <c r="C737" s="74"/>
      <c r="D737" s="75"/>
      <c r="E737" s="75"/>
      <c r="F737" s="74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>
      <c r="A738" s="74"/>
      <c r="B738" s="74"/>
      <c r="C738" s="74"/>
      <c r="D738" s="75"/>
      <c r="E738" s="75"/>
      <c r="F738" s="74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>
      <c r="A739" s="74"/>
      <c r="B739" s="74"/>
      <c r="C739" s="74"/>
      <c r="D739" s="75"/>
      <c r="E739" s="75"/>
      <c r="F739" s="74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>
      <c r="A740" s="74"/>
      <c r="B740" s="74"/>
      <c r="C740" s="74"/>
      <c r="D740" s="75"/>
      <c r="E740" s="75"/>
      <c r="F740" s="74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>
      <c r="A741" s="74"/>
      <c r="B741" s="74"/>
      <c r="C741" s="74"/>
      <c r="D741" s="75"/>
      <c r="E741" s="75"/>
      <c r="F741" s="74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>
      <c r="A742" s="74"/>
      <c r="B742" s="74"/>
      <c r="C742" s="74"/>
      <c r="D742" s="75"/>
      <c r="E742" s="75"/>
      <c r="F742" s="74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>
      <c r="A743" s="74"/>
      <c r="B743" s="74"/>
      <c r="C743" s="74"/>
      <c r="D743" s="75"/>
      <c r="E743" s="75"/>
      <c r="F743" s="74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>
      <c r="A744" s="74"/>
      <c r="B744" s="74"/>
      <c r="C744" s="74"/>
      <c r="D744" s="75"/>
      <c r="E744" s="75"/>
      <c r="F744" s="74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>
      <c r="A745" s="74"/>
      <c r="B745" s="74"/>
      <c r="C745" s="74"/>
      <c r="D745" s="75"/>
      <c r="E745" s="75"/>
      <c r="F745" s="74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>
      <c r="A746" s="74"/>
      <c r="B746" s="74"/>
      <c r="C746" s="74"/>
      <c r="D746" s="75"/>
      <c r="E746" s="75"/>
      <c r="F746" s="74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>
      <c r="A747" s="74"/>
      <c r="B747" s="74"/>
      <c r="C747" s="74"/>
      <c r="D747" s="75"/>
      <c r="E747" s="75"/>
      <c r="F747" s="74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>
      <c r="A748" s="74"/>
      <c r="B748" s="74"/>
      <c r="C748" s="74"/>
      <c r="D748" s="75"/>
      <c r="E748" s="75"/>
      <c r="F748" s="74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>
      <c r="A749" s="74"/>
      <c r="B749" s="74"/>
      <c r="C749" s="74"/>
      <c r="D749" s="75"/>
      <c r="E749" s="75"/>
      <c r="F749" s="74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>
      <c r="A750" s="74"/>
      <c r="B750" s="74"/>
      <c r="C750" s="74"/>
      <c r="D750" s="75"/>
      <c r="E750" s="75"/>
      <c r="F750" s="74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>
      <c r="A751" s="74"/>
      <c r="B751" s="74"/>
      <c r="C751" s="74"/>
      <c r="D751" s="75"/>
      <c r="E751" s="75"/>
      <c r="F751" s="74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>
      <c r="A752" s="74"/>
      <c r="B752" s="74"/>
      <c r="C752" s="74"/>
      <c r="D752" s="75"/>
      <c r="E752" s="75"/>
      <c r="F752" s="74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>
      <c r="A753" s="74"/>
      <c r="B753" s="74"/>
      <c r="C753" s="74"/>
      <c r="D753" s="75"/>
      <c r="E753" s="75"/>
      <c r="F753" s="74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>
      <c r="A754" s="74"/>
      <c r="B754" s="74"/>
      <c r="C754" s="74"/>
      <c r="D754" s="75"/>
      <c r="E754" s="75"/>
      <c r="F754" s="74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>
      <c r="A755" s="74"/>
      <c r="B755" s="74"/>
      <c r="C755" s="74"/>
      <c r="D755" s="75"/>
      <c r="E755" s="75"/>
      <c r="F755" s="74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>
      <c r="A756" s="74"/>
      <c r="B756" s="74"/>
      <c r="C756" s="74"/>
      <c r="D756" s="75"/>
      <c r="E756" s="75"/>
      <c r="F756" s="74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>
      <c r="A757" s="74"/>
      <c r="B757" s="74"/>
      <c r="C757" s="74"/>
      <c r="D757" s="75"/>
      <c r="E757" s="75"/>
      <c r="F757" s="74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>
      <c r="A758" s="74"/>
      <c r="B758" s="74"/>
      <c r="C758" s="74"/>
      <c r="D758" s="75"/>
      <c r="E758" s="75"/>
      <c r="F758" s="74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>
      <c r="A759" s="74"/>
      <c r="B759" s="74"/>
      <c r="C759" s="74"/>
      <c r="D759" s="75"/>
      <c r="E759" s="75"/>
      <c r="F759" s="74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>
      <c r="A760" s="74"/>
      <c r="B760" s="74"/>
      <c r="C760" s="74"/>
      <c r="D760" s="75"/>
      <c r="E760" s="75"/>
      <c r="F760" s="74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>
      <c r="A761" s="74"/>
      <c r="B761" s="74"/>
      <c r="C761" s="74"/>
      <c r="D761" s="75"/>
      <c r="E761" s="75"/>
      <c r="F761" s="74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>
      <c r="A762" s="74"/>
      <c r="B762" s="74"/>
      <c r="C762" s="74"/>
      <c r="D762" s="75"/>
      <c r="E762" s="75"/>
      <c r="F762" s="74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>
      <c r="A763" s="74"/>
      <c r="B763" s="74"/>
      <c r="C763" s="74"/>
      <c r="D763" s="75"/>
      <c r="E763" s="75"/>
      <c r="F763" s="74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>
      <c r="A764" s="74"/>
      <c r="B764" s="74"/>
      <c r="C764" s="74"/>
      <c r="D764" s="75"/>
      <c r="E764" s="75"/>
      <c r="F764" s="74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>
      <c r="A765" s="74"/>
      <c r="B765" s="74"/>
      <c r="C765" s="74"/>
      <c r="D765" s="75"/>
      <c r="E765" s="75"/>
      <c r="F765" s="74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>
      <c r="A766" s="74"/>
      <c r="B766" s="74"/>
      <c r="C766" s="74"/>
      <c r="D766" s="75"/>
      <c r="E766" s="75"/>
      <c r="F766" s="74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>
      <c r="A767" s="74"/>
      <c r="B767" s="74"/>
      <c r="C767" s="74"/>
      <c r="D767" s="75"/>
      <c r="E767" s="75"/>
      <c r="F767" s="74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>
      <c r="A768" s="74"/>
      <c r="B768" s="74"/>
      <c r="C768" s="74"/>
      <c r="D768" s="75"/>
      <c r="E768" s="75"/>
      <c r="F768" s="74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>
      <c r="A769" s="74"/>
      <c r="B769" s="74"/>
      <c r="C769" s="74"/>
      <c r="D769" s="75"/>
      <c r="E769" s="75"/>
      <c r="F769" s="74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>
      <c r="A770" s="74"/>
      <c r="B770" s="74"/>
      <c r="C770" s="74"/>
      <c r="D770" s="75"/>
      <c r="E770" s="75"/>
      <c r="F770" s="74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>
      <c r="A771" s="74"/>
      <c r="B771" s="74"/>
      <c r="C771" s="74"/>
      <c r="D771" s="75"/>
      <c r="E771" s="75"/>
      <c r="F771" s="74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>
      <c r="A772" s="74"/>
      <c r="B772" s="74"/>
      <c r="C772" s="74"/>
      <c r="D772" s="75"/>
      <c r="E772" s="75"/>
      <c r="F772" s="74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>
      <c r="A773" s="74"/>
      <c r="B773" s="74"/>
      <c r="C773" s="74"/>
      <c r="D773" s="75"/>
      <c r="E773" s="75"/>
      <c r="F773" s="74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>
      <c r="A774" s="74"/>
      <c r="B774" s="74"/>
      <c r="C774" s="74"/>
      <c r="D774" s="75"/>
      <c r="E774" s="75"/>
      <c r="F774" s="74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>
      <c r="A775" s="74"/>
      <c r="B775" s="74"/>
      <c r="C775" s="74"/>
      <c r="D775" s="75"/>
      <c r="E775" s="75"/>
      <c r="F775" s="74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>
      <c r="A776" s="74"/>
      <c r="B776" s="74"/>
      <c r="C776" s="74"/>
      <c r="D776" s="75"/>
      <c r="E776" s="75"/>
      <c r="F776" s="74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>
      <c r="A777" s="74"/>
      <c r="B777" s="74"/>
      <c r="C777" s="74"/>
      <c r="D777" s="75"/>
      <c r="E777" s="75"/>
      <c r="F777" s="74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>
      <c r="A778" s="74"/>
      <c r="B778" s="74"/>
      <c r="C778" s="74"/>
      <c r="D778" s="75"/>
      <c r="E778" s="75"/>
      <c r="F778" s="74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>
      <c r="A779" s="74"/>
      <c r="B779" s="74"/>
      <c r="C779" s="74"/>
      <c r="D779" s="75"/>
      <c r="E779" s="75"/>
      <c r="F779" s="74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>
      <c r="A780" s="74"/>
      <c r="B780" s="74"/>
      <c r="C780" s="74"/>
      <c r="D780" s="75"/>
      <c r="E780" s="75"/>
      <c r="F780" s="74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>
      <c r="A781" s="74"/>
      <c r="B781" s="74"/>
      <c r="C781" s="74"/>
      <c r="D781" s="75"/>
      <c r="E781" s="75"/>
      <c r="F781" s="74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>
      <c r="A782" s="74"/>
      <c r="B782" s="74"/>
      <c r="C782" s="74"/>
      <c r="D782" s="75"/>
      <c r="E782" s="75"/>
      <c r="F782" s="74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>
      <c r="A783" s="74"/>
      <c r="B783" s="74"/>
      <c r="C783" s="74"/>
      <c r="D783" s="75"/>
      <c r="E783" s="75"/>
      <c r="F783" s="74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>
      <c r="A784" s="74"/>
      <c r="B784" s="74"/>
      <c r="C784" s="74"/>
      <c r="D784" s="75"/>
      <c r="E784" s="75"/>
      <c r="F784" s="74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>
      <c r="A785" s="74"/>
      <c r="B785" s="74"/>
      <c r="C785" s="74"/>
      <c r="D785" s="75"/>
      <c r="E785" s="75"/>
      <c r="F785" s="74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>
      <c r="A786" s="74"/>
      <c r="B786" s="74"/>
      <c r="C786" s="74"/>
      <c r="D786" s="75"/>
      <c r="E786" s="75"/>
      <c r="F786" s="74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>
      <c r="A787" s="74"/>
      <c r="B787" s="74"/>
      <c r="C787" s="74"/>
      <c r="D787" s="75"/>
      <c r="E787" s="75"/>
      <c r="F787" s="74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>
      <c r="A788" s="74"/>
      <c r="B788" s="74"/>
      <c r="C788" s="74"/>
      <c r="D788" s="75"/>
      <c r="E788" s="75"/>
      <c r="F788" s="74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>
      <c r="A789" s="74"/>
      <c r="B789" s="74"/>
      <c r="C789" s="74"/>
      <c r="D789" s="75"/>
      <c r="E789" s="75"/>
      <c r="F789" s="74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>
      <c r="A790" s="74"/>
      <c r="B790" s="74"/>
      <c r="C790" s="74"/>
      <c r="D790" s="75"/>
      <c r="E790" s="75"/>
      <c r="F790" s="74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>
      <c r="A791" s="74"/>
      <c r="B791" s="74"/>
      <c r="C791" s="74"/>
      <c r="D791" s="75"/>
      <c r="E791" s="75"/>
      <c r="F791" s="74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>
      <c r="A792" s="74"/>
      <c r="B792" s="74"/>
      <c r="C792" s="74"/>
      <c r="D792" s="75"/>
      <c r="E792" s="75"/>
      <c r="F792" s="74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>
      <c r="A793" s="74"/>
      <c r="B793" s="74"/>
      <c r="C793" s="74"/>
      <c r="D793" s="75"/>
      <c r="E793" s="75"/>
      <c r="F793" s="74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>
      <c r="A794" s="74"/>
      <c r="B794" s="74"/>
      <c r="C794" s="74"/>
      <c r="D794" s="75"/>
      <c r="E794" s="75"/>
      <c r="F794" s="74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>
      <c r="A795" s="74"/>
      <c r="B795" s="74"/>
      <c r="C795" s="74"/>
      <c r="D795" s="75"/>
      <c r="E795" s="75"/>
      <c r="F795" s="74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>
      <c r="A796" s="74"/>
      <c r="B796" s="74"/>
      <c r="C796" s="74"/>
      <c r="D796" s="75"/>
      <c r="E796" s="75"/>
      <c r="F796" s="74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>
      <c r="A797" s="74"/>
      <c r="B797" s="74"/>
      <c r="C797" s="74"/>
      <c r="D797" s="75"/>
      <c r="E797" s="75"/>
      <c r="F797" s="74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>
      <c r="A798" s="74"/>
      <c r="B798" s="74"/>
      <c r="C798" s="74"/>
      <c r="D798" s="75"/>
      <c r="E798" s="75"/>
      <c r="F798" s="74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>
      <c r="A799" s="74"/>
      <c r="B799" s="74"/>
      <c r="C799" s="74"/>
      <c r="D799" s="75"/>
      <c r="E799" s="75"/>
      <c r="F799" s="74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>
      <c r="A800" s="74"/>
      <c r="B800" s="74"/>
      <c r="C800" s="74"/>
      <c r="D800" s="75"/>
      <c r="E800" s="75"/>
      <c r="F800" s="74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>
      <c r="A801" s="74"/>
      <c r="B801" s="74"/>
      <c r="C801" s="74"/>
      <c r="D801" s="75"/>
      <c r="E801" s="75"/>
      <c r="F801" s="74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>
      <c r="A802" s="74"/>
      <c r="B802" s="74"/>
      <c r="C802" s="74"/>
      <c r="D802" s="75"/>
      <c r="E802" s="75"/>
      <c r="F802" s="74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>
      <c r="A803" s="74"/>
      <c r="B803" s="74"/>
      <c r="C803" s="74"/>
      <c r="D803" s="75"/>
      <c r="E803" s="75"/>
      <c r="F803" s="74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>
      <c r="A804" s="74"/>
      <c r="B804" s="74"/>
      <c r="C804" s="74"/>
      <c r="D804" s="75"/>
      <c r="E804" s="75"/>
      <c r="F804" s="74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>
      <c r="A805" s="74"/>
      <c r="B805" s="74"/>
      <c r="C805" s="74"/>
      <c r="D805" s="75"/>
      <c r="E805" s="75"/>
      <c r="F805" s="74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>
      <c r="A806" s="74"/>
      <c r="B806" s="74"/>
      <c r="C806" s="74"/>
      <c r="D806" s="75"/>
      <c r="E806" s="75"/>
      <c r="F806" s="74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>
      <c r="A807" s="74"/>
      <c r="B807" s="74"/>
      <c r="C807" s="74"/>
      <c r="D807" s="75"/>
      <c r="E807" s="75"/>
      <c r="F807" s="74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>
      <c r="A808" s="74"/>
      <c r="B808" s="74"/>
      <c r="C808" s="74"/>
      <c r="D808" s="75"/>
      <c r="E808" s="75"/>
      <c r="F808" s="74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>
      <c r="A809" s="74"/>
      <c r="B809" s="74"/>
      <c r="C809" s="74"/>
      <c r="D809" s="75"/>
      <c r="E809" s="75"/>
      <c r="F809" s="74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>
      <c r="A810" s="74"/>
      <c r="B810" s="74"/>
      <c r="C810" s="74"/>
      <c r="D810" s="75"/>
      <c r="E810" s="75"/>
      <c r="F810" s="74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>
      <c r="A811" s="74"/>
      <c r="B811" s="74"/>
      <c r="C811" s="74"/>
      <c r="D811" s="75"/>
      <c r="E811" s="75"/>
      <c r="F811" s="74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>
      <c r="A812" s="74"/>
      <c r="B812" s="74"/>
      <c r="C812" s="74"/>
      <c r="D812" s="75"/>
      <c r="E812" s="75"/>
      <c r="F812" s="74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>
      <c r="A813" s="74"/>
      <c r="B813" s="74"/>
      <c r="C813" s="74"/>
      <c r="D813" s="75"/>
      <c r="E813" s="75"/>
      <c r="F813" s="74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>
      <c r="A814" s="74"/>
      <c r="B814" s="74"/>
      <c r="C814" s="74"/>
      <c r="D814" s="75"/>
      <c r="E814" s="75"/>
      <c r="F814" s="74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>
      <c r="A815" s="74"/>
      <c r="B815" s="74"/>
      <c r="C815" s="74"/>
      <c r="D815" s="75"/>
      <c r="E815" s="75"/>
      <c r="F815" s="74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>
      <c r="A816" s="74"/>
      <c r="B816" s="74"/>
      <c r="C816" s="74"/>
      <c r="D816" s="75"/>
      <c r="E816" s="75"/>
      <c r="F816" s="74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>
      <c r="A817" s="74"/>
      <c r="B817" s="74"/>
      <c r="C817" s="74"/>
      <c r="D817" s="75"/>
      <c r="E817" s="75"/>
      <c r="F817" s="74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>
      <c r="A818" s="74"/>
      <c r="B818" s="74"/>
      <c r="C818" s="74"/>
      <c r="D818" s="75"/>
      <c r="E818" s="75"/>
      <c r="F818" s="74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>
      <c r="A819" s="74"/>
      <c r="B819" s="74"/>
      <c r="C819" s="74"/>
      <c r="D819" s="75"/>
      <c r="E819" s="75"/>
      <c r="F819" s="74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>
      <c r="A820" s="74"/>
      <c r="B820" s="74"/>
      <c r="C820" s="74"/>
      <c r="D820" s="75"/>
      <c r="E820" s="75"/>
      <c r="F820" s="74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>
      <c r="A821" s="74"/>
      <c r="B821" s="74"/>
      <c r="C821" s="74"/>
      <c r="D821" s="75"/>
      <c r="E821" s="75"/>
      <c r="F821" s="74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>
      <c r="A822" s="74"/>
      <c r="B822" s="74"/>
      <c r="C822" s="74"/>
      <c r="D822" s="75"/>
      <c r="E822" s="75"/>
      <c r="F822" s="74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>
      <c r="A823" s="74"/>
      <c r="B823" s="74"/>
      <c r="C823" s="74"/>
      <c r="D823" s="75"/>
      <c r="E823" s="75"/>
      <c r="F823" s="74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>
      <c r="A824" s="74"/>
      <c r="B824" s="74"/>
      <c r="C824" s="74"/>
      <c r="D824" s="75"/>
      <c r="E824" s="75"/>
      <c r="F824" s="74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>
      <c r="A825" s="74"/>
      <c r="B825" s="74"/>
      <c r="C825" s="74"/>
      <c r="D825" s="75"/>
      <c r="E825" s="75"/>
      <c r="F825" s="74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>
      <c r="A826" s="74"/>
      <c r="B826" s="74"/>
      <c r="C826" s="74"/>
      <c r="D826" s="75"/>
      <c r="E826" s="75"/>
      <c r="F826" s="74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>
      <c r="A827" s="74"/>
      <c r="B827" s="74"/>
      <c r="C827" s="74"/>
      <c r="D827" s="75"/>
      <c r="E827" s="75"/>
      <c r="F827" s="74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>
      <c r="A828" s="74"/>
      <c r="B828" s="74"/>
      <c r="C828" s="74"/>
      <c r="D828" s="75"/>
      <c r="E828" s="75"/>
      <c r="F828" s="74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>
      <c r="A829" s="74"/>
      <c r="B829" s="74"/>
      <c r="C829" s="74"/>
      <c r="D829" s="75"/>
      <c r="E829" s="75"/>
      <c r="F829" s="74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>
      <c r="A830" s="74"/>
      <c r="B830" s="74"/>
      <c r="C830" s="74"/>
      <c r="D830" s="75"/>
      <c r="E830" s="75"/>
      <c r="F830" s="74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>
      <c r="A831" s="74"/>
      <c r="B831" s="74"/>
      <c r="C831" s="74"/>
      <c r="D831" s="75"/>
      <c r="E831" s="75"/>
      <c r="F831" s="74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>
      <c r="A832" s="74"/>
      <c r="B832" s="74"/>
      <c r="C832" s="74"/>
      <c r="D832" s="75"/>
      <c r="E832" s="75"/>
      <c r="F832" s="74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>
      <c r="A833" s="74"/>
      <c r="B833" s="74"/>
      <c r="C833" s="74"/>
      <c r="D833" s="75"/>
      <c r="E833" s="75"/>
      <c r="F833" s="74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>
      <c r="A834" s="74"/>
      <c r="B834" s="74"/>
      <c r="C834" s="74"/>
      <c r="D834" s="75"/>
      <c r="E834" s="75"/>
      <c r="F834" s="74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>
      <c r="A835" s="74"/>
      <c r="B835" s="74"/>
      <c r="C835" s="74"/>
      <c r="D835" s="75"/>
      <c r="E835" s="75"/>
      <c r="F835" s="74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>
      <c r="A836" s="74"/>
      <c r="B836" s="74"/>
      <c r="C836" s="74"/>
      <c r="D836" s="75"/>
      <c r="E836" s="75"/>
      <c r="F836" s="74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>
      <c r="A837" s="74"/>
      <c r="B837" s="74"/>
      <c r="C837" s="74"/>
      <c r="D837" s="75"/>
      <c r="E837" s="75"/>
      <c r="F837" s="74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>
      <c r="A838" s="74"/>
      <c r="B838" s="74"/>
      <c r="C838" s="74"/>
      <c r="D838" s="75"/>
      <c r="E838" s="75"/>
      <c r="F838" s="74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>
      <c r="A839" s="74"/>
      <c r="B839" s="74"/>
      <c r="C839" s="74"/>
      <c r="D839" s="75"/>
      <c r="E839" s="75"/>
      <c r="F839" s="74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>
      <c r="A840" s="74"/>
      <c r="B840" s="74"/>
      <c r="C840" s="74"/>
      <c r="D840" s="75"/>
      <c r="E840" s="75"/>
      <c r="F840" s="74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>
      <c r="A841" s="74"/>
      <c r="B841" s="74"/>
      <c r="C841" s="74"/>
      <c r="D841" s="75"/>
      <c r="E841" s="75"/>
      <c r="F841" s="74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>
      <c r="A842" s="74"/>
      <c r="B842" s="74"/>
      <c r="C842" s="74"/>
      <c r="D842" s="75"/>
      <c r="E842" s="75"/>
      <c r="F842" s="74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>
      <c r="A843" s="74"/>
      <c r="B843" s="74"/>
      <c r="C843" s="74"/>
      <c r="D843" s="75"/>
      <c r="E843" s="75"/>
      <c r="F843" s="74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>
      <c r="A844" s="74"/>
      <c r="B844" s="74"/>
      <c r="C844" s="74"/>
      <c r="D844" s="75"/>
      <c r="E844" s="75"/>
      <c r="F844" s="74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>
      <c r="A845" s="74"/>
      <c r="B845" s="74"/>
      <c r="C845" s="74"/>
      <c r="D845" s="75"/>
      <c r="E845" s="75"/>
      <c r="F845" s="74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>
      <c r="A846" s="74"/>
      <c r="B846" s="74"/>
      <c r="C846" s="74"/>
      <c r="D846" s="75"/>
      <c r="E846" s="75"/>
      <c r="F846" s="74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>
      <c r="A847" s="74"/>
      <c r="B847" s="74"/>
      <c r="C847" s="74"/>
      <c r="D847" s="75"/>
      <c r="E847" s="75"/>
      <c r="F847" s="74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>
      <c r="A848" s="74"/>
      <c r="B848" s="74"/>
      <c r="C848" s="74"/>
      <c r="D848" s="75"/>
      <c r="E848" s="75"/>
      <c r="F848" s="74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>
      <c r="A849" s="74"/>
      <c r="B849" s="74"/>
      <c r="C849" s="74"/>
      <c r="D849" s="75"/>
      <c r="E849" s="75"/>
      <c r="F849" s="74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>
      <c r="A850" s="74"/>
      <c r="B850" s="74"/>
      <c r="C850" s="74"/>
      <c r="D850" s="75"/>
      <c r="E850" s="75"/>
      <c r="F850" s="74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>
      <c r="A851" s="74"/>
      <c r="B851" s="74"/>
      <c r="C851" s="74"/>
      <c r="D851" s="75"/>
      <c r="E851" s="75"/>
      <c r="F851" s="74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>
      <c r="A852" s="74"/>
      <c r="B852" s="74"/>
      <c r="C852" s="74"/>
      <c r="D852" s="75"/>
      <c r="E852" s="75"/>
      <c r="F852" s="74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>
      <c r="A853" s="74"/>
      <c r="B853" s="74"/>
      <c r="C853" s="74"/>
      <c r="D853" s="75"/>
      <c r="E853" s="75"/>
      <c r="F853" s="74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>
      <c r="A854" s="74"/>
      <c r="B854" s="74"/>
      <c r="C854" s="74"/>
      <c r="D854" s="75"/>
      <c r="E854" s="75"/>
      <c r="F854" s="74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>
      <c r="A855" s="74"/>
      <c r="B855" s="74"/>
      <c r="C855" s="74"/>
      <c r="D855" s="75"/>
      <c r="E855" s="75"/>
      <c r="F855" s="74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>
      <c r="A856" s="74"/>
      <c r="B856" s="74"/>
      <c r="C856" s="74"/>
      <c r="D856" s="75"/>
      <c r="E856" s="75"/>
      <c r="F856" s="74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>
      <c r="A857" s="74"/>
      <c r="B857" s="74"/>
      <c r="C857" s="74"/>
      <c r="D857" s="75"/>
      <c r="E857" s="75"/>
      <c r="F857" s="74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>
      <c r="A858" s="74"/>
      <c r="B858" s="74"/>
      <c r="C858" s="74"/>
      <c r="D858" s="75"/>
      <c r="E858" s="75"/>
      <c r="F858" s="74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>
      <c r="A859" s="74"/>
      <c r="B859" s="74"/>
      <c r="C859" s="74"/>
      <c r="D859" s="75"/>
      <c r="E859" s="75"/>
      <c r="F859" s="74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>
      <c r="A860" s="74"/>
      <c r="B860" s="74"/>
      <c r="C860" s="74"/>
      <c r="D860" s="75"/>
      <c r="E860" s="75"/>
      <c r="F860" s="74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>
      <c r="A861" s="74"/>
      <c r="B861" s="74"/>
      <c r="C861" s="74"/>
      <c r="D861" s="75"/>
      <c r="E861" s="75"/>
      <c r="F861" s="74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>
      <c r="A862" s="74"/>
      <c r="B862" s="74"/>
      <c r="C862" s="74"/>
      <c r="D862" s="75"/>
      <c r="E862" s="75"/>
      <c r="F862" s="74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>
      <c r="A863" s="74"/>
      <c r="B863" s="74"/>
      <c r="C863" s="74"/>
      <c r="D863" s="75"/>
      <c r="E863" s="75"/>
      <c r="F863" s="74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>
      <c r="A864" s="74"/>
      <c r="B864" s="74"/>
      <c r="C864" s="74"/>
      <c r="D864" s="75"/>
      <c r="E864" s="75"/>
      <c r="F864" s="74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>
      <c r="A865" s="74"/>
      <c r="B865" s="74"/>
      <c r="C865" s="74"/>
      <c r="D865" s="75"/>
      <c r="E865" s="75"/>
      <c r="F865" s="74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>
      <c r="A866" s="74"/>
      <c r="B866" s="74"/>
      <c r="C866" s="74"/>
      <c r="D866" s="75"/>
      <c r="E866" s="75"/>
      <c r="F866" s="74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>
      <c r="A867" s="74"/>
      <c r="B867" s="74"/>
      <c r="C867" s="74"/>
      <c r="D867" s="75"/>
      <c r="E867" s="75"/>
      <c r="F867" s="74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>
      <c r="A868" s="74"/>
      <c r="B868" s="74"/>
      <c r="C868" s="74"/>
      <c r="D868" s="75"/>
      <c r="E868" s="75"/>
      <c r="F868" s="74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>
      <c r="A869" s="74"/>
      <c r="B869" s="74"/>
      <c r="C869" s="74"/>
      <c r="D869" s="75"/>
      <c r="E869" s="75"/>
      <c r="F869" s="74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>
      <c r="A870" s="74"/>
      <c r="B870" s="74"/>
      <c r="C870" s="74"/>
      <c r="D870" s="75"/>
      <c r="E870" s="75"/>
      <c r="F870" s="74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>
      <c r="A871" s="74"/>
      <c r="B871" s="74"/>
      <c r="C871" s="74"/>
      <c r="D871" s="75"/>
      <c r="E871" s="75"/>
      <c r="F871" s="74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>
      <c r="A872" s="74"/>
      <c r="B872" s="74"/>
      <c r="C872" s="74"/>
      <c r="D872" s="75"/>
      <c r="E872" s="75"/>
      <c r="F872" s="74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>
      <c r="A873" s="74"/>
      <c r="B873" s="74"/>
      <c r="C873" s="74"/>
      <c r="D873" s="75"/>
      <c r="E873" s="75"/>
      <c r="F873" s="74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>
      <c r="A874" s="74"/>
      <c r="B874" s="74"/>
      <c r="C874" s="74"/>
      <c r="D874" s="75"/>
      <c r="E874" s="75"/>
      <c r="F874" s="74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>
      <c r="A875" s="74"/>
      <c r="B875" s="74"/>
      <c r="C875" s="74"/>
      <c r="D875" s="75"/>
      <c r="E875" s="75"/>
      <c r="F875" s="74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>
      <c r="A876" s="74"/>
      <c r="B876" s="74"/>
      <c r="C876" s="74"/>
      <c r="D876" s="75"/>
      <c r="E876" s="75"/>
      <c r="F876" s="74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>
      <c r="A877" s="74"/>
      <c r="B877" s="74"/>
      <c r="C877" s="74"/>
      <c r="D877" s="75"/>
      <c r="E877" s="75"/>
      <c r="F877" s="74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>
      <c r="A878" s="74"/>
      <c r="B878" s="74"/>
      <c r="C878" s="74"/>
      <c r="D878" s="75"/>
      <c r="E878" s="75"/>
      <c r="F878" s="74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>
      <c r="A879" s="74"/>
      <c r="B879" s="74"/>
      <c r="C879" s="74"/>
      <c r="D879" s="75"/>
      <c r="E879" s="75"/>
      <c r="F879" s="74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>
      <c r="A880" s="74"/>
      <c r="B880" s="74"/>
      <c r="C880" s="74"/>
      <c r="D880" s="75"/>
      <c r="E880" s="75"/>
      <c r="F880" s="74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>
      <c r="A881" s="74"/>
      <c r="B881" s="74"/>
      <c r="C881" s="74"/>
      <c r="D881" s="75"/>
      <c r="E881" s="75"/>
      <c r="F881" s="74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>
      <c r="A882" s="74"/>
      <c r="B882" s="74"/>
      <c r="C882" s="74"/>
      <c r="D882" s="75"/>
      <c r="E882" s="75"/>
      <c r="F882" s="74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>
      <c r="A883" s="74"/>
      <c r="B883" s="74"/>
      <c r="C883" s="74"/>
      <c r="D883" s="75"/>
      <c r="E883" s="75"/>
      <c r="F883" s="74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>
      <c r="A884" s="74"/>
      <c r="B884" s="74"/>
      <c r="C884" s="74"/>
      <c r="D884" s="75"/>
      <c r="E884" s="75"/>
      <c r="F884" s="74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>
      <c r="A885" s="74"/>
      <c r="B885" s="74"/>
      <c r="C885" s="74"/>
      <c r="D885" s="75"/>
      <c r="E885" s="75"/>
      <c r="F885" s="74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>
      <c r="A886" s="74"/>
      <c r="B886" s="74"/>
      <c r="C886" s="74"/>
      <c r="D886" s="75"/>
      <c r="E886" s="75"/>
      <c r="F886" s="74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>
      <c r="A887" s="74"/>
      <c r="B887" s="74"/>
      <c r="C887" s="74"/>
      <c r="D887" s="75"/>
      <c r="E887" s="75"/>
      <c r="F887" s="74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>
      <c r="A888" s="74"/>
      <c r="B888" s="74"/>
      <c r="C888" s="74"/>
      <c r="D888" s="75"/>
      <c r="E888" s="75"/>
      <c r="F888" s="74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>
      <c r="A889" s="74"/>
      <c r="B889" s="74"/>
      <c r="C889" s="74"/>
      <c r="D889" s="75"/>
      <c r="E889" s="75"/>
      <c r="F889" s="74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>
      <c r="A890" s="74"/>
      <c r="B890" s="74"/>
      <c r="C890" s="74"/>
      <c r="D890" s="75"/>
      <c r="E890" s="75"/>
      <c r="F890" s="74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>
      <c r="A891" s="74"/>
      <c r="B891" s="74"/>
      <c r="C891" s="74"/>
      <c r="D891" s="75"/>
      <c r="E891" s="75"/>
      <c r="F891" s="74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>
      <c r="A892" s="74"/>
      <c r="B892" s="74"/>
      <c r="C892" s="74"/>
      <c r="D892" s="75"/>
      <c r="E892" s="75"/>
      <c r="F892" s="74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>
      <c r="A893" s="74"/>
      <c r="B893" s="74"/>
      <c r="C893" s="74"/>
      <c r="D893" s="75"/>
      <c r="E893" s="75"/>
      <c r="F893" s="74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>
      <c r="A894" s="74"/>
      <c r="B894" s="74"/>
      <c r="C894" s="74"/>
      <c r="D894" s="75"/>
      <c r="E894" s="75"/>
      <c r="F894" s="74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>
      <c r="A895" s="74"/>
      <c r="B895" s="74"/>
      <c r="C895" s="74"/>
      <c r="D895" s="75"/>
      <c r="E895" s="75"/>
      <c r="F895" s="74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>
      <c r="A896" s="74"/>
      <c r="B896" s="74"/>
      <c r="C896" s="74"/>
      <c r="D896" s="75"/>
      <c r="E896" s="75"/>
      <c r="F896" s="74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>
      <c r="A897" s="74"/>
      <c r="B897" s="74"/>
      <c r="C897" s="74"/>
      <c r="D897" s="75"/>
      <c r="E897" s="75"/>
      <c r="F897" s="74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>
      <c r="A898" s="74"/>
      <c r="B898" s="74"/>
      <c r="C898" s="74"/>
      <c r="D898" s="75"/>
      <c r="E898" s="75"/>
      <c r="F898" s="74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>
      <c r="A899" s="74"/>
      <c r="B899" s="74"/>
      <c r="C899" s="74"/>
      <c r="D899" s="75"/>
      <c r="E899" s="75"/>
      <c r="F899" s="74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>
      <c r="A900" s="74"/>
      <c r="B900" s="74"/>
      <c r="C900" s="74"/>
      <c r="D900" s="75"/>
      <c r="E900" s="75"/>
      <c r="F900" s="74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>
      <c r="A901" s="74"/>
      <c r="B901" s="74"/>
      <c r="C901" s="74"/>
      <c r="D901" s="75"/>
      <c r="E901" s="75"/>
      <c r="F901" s="74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>
      <c r="A902" s="74"/>
      <c r="B902" s="74"/>
      <c r="C902" s="74"/>
      <c r="D902" s="75"/>
      <c r="E902" s="75"/>
      <c r="F902" s="74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>
      <c r="A903" s="74"/>
      <c r="B903" s="74"/>
      <c r="C903" s="74"/>
      <c r="D903" s="75"/>
      <c r="E903" s="75"/>
      <c r="F903" s="74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>
      <c r="A904" s="74"/>
      <c r="B904" s="74"/>
      <c r="C904" s="74"/>
      <c r="D904" s="75"/>
      <c r="E904" s="75"/>
      <c r="F904" s="74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>
      <c r="A905" s="74"/>
      <c r="B905" s="74"/>
      <c r="C905" s="74"/>
      <c r="D905" s="75"/>
      <c r="E905" s="75"/>
      <c r="F905" s="74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>
      <c r="A906" s="74"/>
      <c r="B906" s="74"/>
      <c r="C906" s="74"/>
      <c r="D906" s="75"/>
      <c r="E906" s="75"/>
      <c r="F906" s="74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>
      <c r="A907" s="74"/>
      <c r="B907" s="74"/>
      <c r="C907" s="74"/>
      <c r="D907" s="75"/>
      <c r="E907" s="75"/>
      <c r="F907" s="74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>
      <c r="A908" s="74"/>
      <c r="B908" s="74"/>
      <c r="C908" s="74"/>
      <c r="D908" s="75"/>
      <c r="E908" s="75"/>
      <c r="F908" s="74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>
      <c r="A909" s="74"/>
      <c r="B909" s="74"/>
      <c r="C909" s="74"/>
      <c r="D909" s="75"/>
      <c r="E909" s="75"/>
      <c r="F909" s="74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>
      <c r="A910" s="74"/>
      <c r="B910" s="74"/>
      <c r="C910" s="74"/>
      <c r="D910" s="75"/>
      <c r="E910" s="75"/>
      <c r="F910" s="74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>
      <c r="A911" s="74"/>
      <c r="B911" s="74"/>
      <c r="C911" s="74"/>
      <c r="D911" s="75"/>
      <c r="E911" s="75"/>
      <c r="F911" s="74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>
      <c r="A912" s="74"/>
      <c r="B912" s="74"/>
      <c r="C912" s="74"/>
      <c r="D912" s="75"/>
      <c r="E912" s="75"/>
      <c r="F912" s="74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>
      <c r="A913" s="74"/>
      <c r="B913" s="74"/>
      <c r="C913" s="74"/>
      <c r="D913" s="75"/>
      <c r="E913" s="75"/>
      <c r="F913" s="74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>
      <c r="A914" s="74"/>
      <c r="B914" s="74"/>
      <c r="C914" s="74"/>
      <c r="D914" s="75"/>
      <c r="E914" s="75"/>
      <c r="F914" s="74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>
      <c r="A915" s="74"/>
      <c r="B915" s="74"/>
      <c r="C915" s="74"/>
      <c r="D915" s="75"/>
      <c r="E915" s="75"/>
      <c r="F915" s="74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>
      <c r="A916" s="74"/>
      <c r="B916" s="74"/>
      <c r="C916" s="74"/>
      <c r="D916" s="75"/>
      <c r="E916" s="75"/>
      <c r="F916" s="74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>
      <c r="A917" s="74"/>
      <c r="B917" s="74"/>
      <c r="C917" s="74"/>
      <c r="D917" s="75"/>
      <c r="E917" s="75"/>
      <c r="F917" s="74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>
      <c r="A918" s="74"/>
      <c r="B918" s="74"/>
      <c r="C918" s="74"/>
      <c r="D918" s="75"/>
      <c r="E918" s="75"/>
      <c r="F918" s="74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>
      <c r="A919" s="74"/>
      <c r="B919" s="74"/>
      <c r="C919" s="74"/>
      <c r="D919" s="75"/>
      <c r="E919" s="75"/>
      <c r="F919" s="74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>
      <c r="A920" s="74"/>
      <c r="B920" s="74"/>
      <c r="C920" s="74"/>
      <c r="D920" s="75"/>
      <c r="E920" s="75"/>
      <c r="F920" s="74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>
      <c r="A921" s="74"/>
      <c r="B921" s="74"/>
      <c r="C921" s="74"/>
      <c r="D921" s="75"/>
      <c r="E921" s="75"/>
      <c r="F921" s="74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>
      <c r="A922" s="74"/>
      <c r="B922" s="74"/>
      <c r="C922" s="74"/>
      <c r="D922" s="75"/>
      <c r="E922" s="75"/>
      <c r="F922" s="74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>
      <c r="A923" s="74"/>
      <c r="B923" s="74"/>
      <c r="C923" s="74"/>
      <c r="D923" s="75"/>
      <c r="E923" s="75"/>
      <c r="F923" s="74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>
      <c r="A924" s="74"/>
      <c r="B924" s="74"/>
      <c r="C924" s="74"/>
      <c r="D924" s="75"/>
      <c r="E924" s="75"/>
      <c r="F924" s="74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>
      <c r="A925" s="74"/>
      <c r="B925" s="74"/>
      <c r="C925" s="74"/>
      <c r="D925" s="75"/>
      <c r="E925" s="75"/>
      <c r="F925" s="74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>
      <c r="A926" s="74"/>
      <c r="B926" s="74"/>
      <c r="C926" s="74"/>
      <c r="D926" s="75"/>
      <c r="E926" s="75"/>
      <c r="F926" s="74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>
      <c r="A927" s="74"/>
      <c r="B927" s="74"/>
      <c r="C927" s="74"/>
      <c r="D927" s="75"/>
      <c r="E927" s="75"/>
      <c r="F927" s="74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>
      <c r="A928" s="74"/>
      <c r="B928" s="74"/>
      <c r="C928" s="74"/>
      <c r="D928" s="75"/>
      <c r="E928" s="75"/>
      <c r="F928" s="74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>
      <c r="A929" s="74"/>
      <c r="B929" s="74"/>
      <c r="C929" s="74"/>
      <c r="D929" s="75"/>
      <c r="E929" s="75"/>
      <c r="F929" s="74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>
      <c r="A930" s="74"/>
      <c r="B930" s="74"/>
      <c r="C930" s="74"/>
      <c r="D930" s="75"/>
      <c r="E930" s="75"/>
      <c r="F930" s="74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>
      <c r="A931" s="74"/>
      <c r="B931" s="74"/>
      <c r="C931" s="74"/>
      <c r="D931" s="75"/>
      <c r="E931" s="75"/>
      <c r="F931" s="74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>
      <c r="A932" s="74"/>
      <c r="B932" s="74"/>
      <c r="C932" s="74"/>
      <c r="D932" s="75"/>
      <c r="E932" s="75"/>
      <c r="F932" s="74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>
      <c r="A933" s="74"/>
      <c r="B933" s="74"/>
      <c r="C933" s="74"/>
      <c r="D933" s="75"/>
      <c r="E933" s="75"/>
      <c r="F933" s="74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>
      <c r="A934" s="74"/>
      <c r="B934" s="74"/>
      <c r="C934" s="74"/>
      <c r="D934" s="75"/>
      <c r="E934" s="75"/>
      <c r="F934" s="74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>
      <c r="A935" s="74"/>
      <c r="B935" s="74"/>
      <c r="C935" s="74"/>
      <c r="D935" s="75"/>
      <c r="E935" s="75"/>
      <c r="F935" s="74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>
      <c r="A936" s="74"/>
      <c r="B936" s="74"/>
      <c r="C936" s="74"/>
      <c r="D936" s="75"/>
      <c r="E936" s="75"/>
      <c r="F936" s="74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>
      <c r="A937" s="74"/>
      <c r="B937" s="74"/>
      <c r="C937" s="74"/>
      <c r="D937" s="75"/>
      <c r="E937" s="75"/>
      <c r="F937" s="74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>
      <c r="A938" s="74"/>
      <c r="B938" s="74"/>
      <c r="C938" s="74"/>
      <c r="D938" s="75"/>
      <c r="E938" s="75"/>
      <c r="F938" s="74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>
      <c r="A939" s="74"/>
      <c r="B939" s="74"/>
      <c r="C939" s="74"/>
      <c r="D939" s="75"/>
      <c r="E939" s="75"/>
      <c r="F939" s="74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>
      <c r="A940" s="74"/>
      <c r="B940" s="74"/>
      <c r="C940" s="74"/>
      <c r="D940" s="75"/>
      <c r="E940" s="75"/>
      <c r="F940" s="74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>
      <c r="A941" s="74"/>
      <c r="B941" s="74"/>
      <c r="C941" s="74"/>
      <c r="D941" s="75"/>
      <c r="E941" s="75"/>
      <c r="F941" s="74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>
      <c r="A942" s="74"/>
      <c r="B942" s="74"/>
      <c r="C942" s="74"/>
      <c r="D942" s="75"/>
      <c r="E942" s="75"/>
      <c r="F942" s="74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>
      <c r="A943" s="74"/>
      <c r="B943" s="74"/>
      <c r="C943" s="74"/>
      <c r="D943" s="75"/>
      <c r="E943" s="75"/>
      <c r="F943" s="74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>
      <c r="A944" s="74"/>
      <c r="B944" s="74"/>
      <c r="C944" s="74"/>
      <c r="D944" s="75"/>
      <c r="E944" s="75"/>
      <c r="F944" s="74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>
      <c r="A945" s="74"/>
      <c r="B945" s="74"/>
      <c r="C945" s="74"/>
      <c r="D945" s="75"/>
      <c r="E945" s="75"/>
      <c r="F945" s="74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>
      <c r="A946" s="74"/>
      <c r="B946" s="74"/>
      <c r="C946" s="74"/>
      <c r="D946" s="75"/>
      <c r="E946" s="75"/>
      <c r="F946" s="74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>
      <c r="A947" s="74"/>
      <c r="B947" s="74"/>
      <c r="C947" s="74"/>
      <c r="D947" s="75"/>
      <c r="E947" s="75"/>
      <c r="F947" s="74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>
      <c r="A948" s="74"/>
      <c r="B948" s="74"/>
      <c r="C948" s="74"/>
      <c r="D948" s="75"/>
      <c r="E948" s="75"/>
      <c r="F948" s="74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>
      <c r="A949" s="74"/>
      <c r="B949" s="74"/>
      <c r="C949" s="74"/>
      <c r="D949" s="75"/>
      <c r="E949" s="75"/>
      <c r="F949" s="74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>
      <c r="A950" s="74"/>
      <c r="B950" s="74"/>
      <c r="C950" s="74"/>
      <c r="D950" s="75"/>
      <c r="E950" s="75"/>
      <c r="F950" s="74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>
      <c r="A951" s="74"/>
      <c r="B951" s="74"/>
      <c r="C951" s="74"/>
      <c r="D951" s="75"/>
      <c r="E951" s="75"/>
      <c r="F951" s="74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>
      <c r="A952" s="74"/>
      <c r="B952" s="74"/>
      <c r="C952" s="74"/>
      <c r="D952" s="75"/>
      <c r="E952" s="75"/>
      <c r="F952" s="74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>
      <c r="A953" s="74"/>
      <c r="B953" s="74"/>
      <c r="C953" s="74"/>
      <c r="D953" s="75"/>
      <c r="E953" s="75"/>
      <c r="F953" s="74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>
      <c r="A954" s="74"/>
      <c r="B954" s="74"/>
      <c r="C954" s="74"/>
      <c r="D954" s="75"/>
      <c r="E954" s="75"/>
      <c r="F954" s="74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>
      <c r="A955" s="74"/>
      <c r="B955" s="74"/>
      <c r="C955" s="74"/>
      <c r="D955" s="75"/>
      <c r="E955" s="75"/>
      <c r="F955" s="74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>
      <c r="A956" s="74"/>
      <c r="B956" s="74"/>
      <c r="C956" s="74"/>
      <c r="D956" s="75"/>
      <c r="E956" s="75"/>
      <c r="F956" s="74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>
      <c r="A957" s="74"/>
      <c r="B957" s="74"/>
      <c r="C957" s="74"/>
      <c r="D957" s="75"/>
      <c r="E957" s="75"/>
      <c r="F957" s="74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>
      <c r="A958" s="74"/>
      <c r="B958" s="74"/>
      <c r="C958" s="74"/>
      <c r="D958" s="75"/>
      <c r="E958" s="75"/>
      <c r="F958" s="74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>
      <c r="A959" s="74"/>
      <c r="B959" s="74"/>
      <c r="C959" s="74"/>
      <c r="D959" s="75"/>
      <c r="E959" s="75"/>
      <c r="F959" s="74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>
      <c r="A960" s="74"/>
      <c r="B960" s="74"/>
      <c r="C960" s="74"/>
      <c r="D960" s="75"/>
      <c r="E960" s="75"/>
      <c r="F960" s="74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>
      <c r="A961" s="74"/>
      <c r="B961" s="74"/>
      <c r="C961" s="74"/>
      <c r="D961" s="75"/>
      <c r="E961" s="75"/>
      <c r="F961" s="74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>
      <c r="A962" s="74"/>
      <c r="B962" s="74"/>
      <c r="C962" s="74"/>
      <c r="D962" s="75"/>
      <c r="E962" s="75"/>
      <c r="F962" s="74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>
      <c r="A963" s="74"/>
      <c r="B963" s="74"/>
      <c r="C963" s="74"/>
      <c r="D963" s="75"/>
      <c r="E963" s="75"/>
      <c r="F963" s="74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>
      <c r="A964" s="74"/>
      <c r="B964" s="74"/>
      <c r="C964" s="74"/>
      <c r="D964" s="75"/>
      <c r="E964" s="75"/>
      <c r="F964" s="74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>
      <c r="A965" s="74"/>
      <c r="B965" s="74"/>
      <c r="C965" s="74"/>
      <c r="D965" s="75"/>
      <c r="E965" s="75"/>
      <c r="F965" s="74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>
      <c r="A966" s="74"/>
      <c r="B966" s="74"/>
      <c r="C966" s="74"/>
      <c r="D966" s="75"/>
      <c r="E966" s="75"/>
      <c r="F966" s="74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>
      <c r="A967" s="74"/>
      <c r="B967" s="74"/>
      <c r="C967" s="74"/>
      <c r="D967" s="75"/>
      <c r="E967" s="75"/>
      <c r="F967" s="74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>
      <c r="A968" s="74"/>
      <c r="B968" s="74"/>
      <c r="C968" s="74"/>
      <c r="D968" s="75"/>
      <c r="E968" s="75"/>
      <c r="F968" s="74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>
      <c r="A969" s="74"/>
      <c r="B969" s="74"/>
      <c r="C969" s="74"/>
      <c r="D969" s="75"/>
      <c r="E969" s="75"/>
      <c r="F969" s="74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>
      <c r="A970" s="74"/>
      <c r="B970" s="74"/>
      <c r="C970" s="74"/>
      <c r="D970" s="75"/>
      <c r="E970" s="75"/>
      <c r="F970" s="74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>
      <c r="A971" s="74"/>
      <c r="B971" s="74"/>
      <c r="C971" s="74"/>
      <c r="D971" s="75"/>
      <c r="E971" s="75"/>
      <c r="F971" s="74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>
      <c r="A972" s="74"/>
      <c r="B972" s="74"/>
      <c r="C972" s="74"/>
      <c r="D972" s="75"/>
      <c r="E972" s="75"/>
      <c r="F972" s="74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>
      <c r="A973" s="74"/>
      <c r="B973" s="74"/>
      <c r="C973" s="74"/>
      <c r="D973" s="75"/>
      <c r="E973" s="75"/>
      <c r="F973" s="74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>
      <c r="A974" s="74"/>
      <c r="B974" s="74"/>
      <c r="C974" s="74"/>
      <c r="D974" s="75"/>
      <c r="E974" s="75"/>
      <c r="F974" s="74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>
      <c r="A975" s="74"/>
      <c r="B975" s="74"/>
      <c r="C975" s="74"/>
      <c r="D975" s="75"/>
      <c r="E975" s="75"/>
      <c r="F975" s="74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>
      <c r="A976" s="74"/>
      <c r="B976" s="74"/>
      <c r="C976" s="74"/>
      <c r="D976" s="75"/>
      <c r="E976" s="75"/>
      <c r="F976" s="74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>
      <c r="A977" s="74"/>
      <c r="B977" s="74"/>
      <c r="C977" s="74"/>
      <c r="D977" s="75"/>
      <c r="E977" s="75"/>
      <c r="F977" s="74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>
      <c r="A978" s="74"/>
      <c r="B978" s="74"/>
      <c r="C978" s="74"/>
      <c r="D978" s="75"/>
      <c r="E978" s="75"/>
      <c r="F978" s="74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>
      <c r="A979" s="74"/>
      <c r="B979" s="74"/>
      <c r="C979" s="74"/>
      <c r="D979" s="75"/>
      <c r="E979" s="75"/>
      <c r="F979" s="74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>
      <c r="A980" s="74"/>
      <c r="B980" s="74"/>
      <c r="C980" s="74"/>
      <c r="D980" s="75"/>
      <c r="E980" s="75"/>
      <c r="F980" s="74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>
      <c r="A981" s="74"/>
      <c r="B981" s="74"/>
      <c r="C981" s="74"/>
      <c r="D981" s="75"/>
      <c r="E981" s="75"/>
      <c r="F981" s="74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>
      <c r="A982" s="74"/>
      <c r="B982" s="74"/>
      <c r="C982" s="74"/>
      <c r="D982" s="75"/>
      <c r="E982" s="75"/>
      <c r="F982" s="74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>
      <c r="A983" s="74"/>
      <c r="B983" s="74"/>
      <c r="C983" s="74"/>
      <c r="D983" s="75"/>
      <c r="E983" s="75"/>
      <c r="F983" s="74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>
      <c r="A984" s="74"/>
      <c r="B984" s="74"/>
      <c r="C984" s="74"/>
      <c r="D984" s="75"/>
      <c r="E984" s="75"/>
      <c r="F984" s="74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>
      <c r="A985" s="74"/>
      <c r="B985" s="74"/>
      <c r="C985" s="74"/>
      <c r="D985" s="75"/>
      <c r="E985" s="75"/>
      <c r="F985" s="74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>
      <c r="A986" s="74"/>
      <c r="B986" s="74"/>
      <c r="C986" s="74"/>
      <c r="D986" s="75"/>
      <c r="E986" s="75"/>
      <c r="F986" s="74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>
      <c r="A987" s="74"/>
      <c r="B987" s="74"/>
      <c r="C987" s="74"/>
      <c r="D987" s="75"/>
      <c r="E987" s="75"/>
      <c r="F987" s="74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>
      <c r="A988" s="74"/>
      <c r="B988" s="74"/>
      <c r="C988" s="74"/>
      <c r="D988" s="75"/>
      <c r="E988" s="75"/>
      <c r="F988" s="74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>
      <c r="A989" s="74"/>
      <c r="B989" s="74"/>
      <c r="C989" s="74"/>
      <c r="D989" s="75"/>
      <c r="E989" s="75"/>
      <c r="F989" s="74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>
      <c r="A990" s="74"/>
      <c r="B990" s="74"/>
      <c r="C990" s="74"/>
      <c r="D990" s="75"/>
      <c r="E990" s="75"/>
      <c r="F990" s="74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>
      <c r="A991" s="74"/>
      <c r="B991" s="74"/>
      <c r="C991" s="74"/>
      <c r="D991" s="75"/>
      <c r="E991" s="75"/>
      <c r="F991" s="74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>
      <c r="A992" s="74"/>
      <c r="B992" s="74"/>
      <c r="C992" s="74"/>
      <c r="D992" s="75"/>
      <c r="E992" s="75"/>
      <c r="F992" s="74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>
      <c r="A993" s="74"/>
      <c r="B993" s="74"/>
      <c r="C993" s="74"/>
      <c r="D993" s="75"/>
      <c r="E993" s="75"/>
      <c r="F993" s="74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>
      <c r="A994" s="74"/>
      <c r="B994" s="74"/>
      <c r="C994" s="74"/>
      <c r="D994" s="75"/>
      <c r="E994" s="75"/>
      <c r="F994" s="74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>
      <c r="A995" s="74"/>
      <c r="B995" s="74"/>
      <c r="C995" s="74"/>
      <c r="D995" s="75"/>
      <c r="E995" s="75"/>
      <c r="F995" s="74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>
      <c r="A996" s="74"/>
      <c r="B996" s="74"/>
      <c r="C996" s="74"/>
      <c r="D996" s="75"/>
      <c r="E996" s="75"/>
      <c r="F996" s="74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>
      <c r="A997" s="74"/>
      <c r="B997" s="74"/>
      <c r="C997" s="74"/>
      <c r="D997" s="75"/>
      <c r="E997" s="75"/>
      <c r="F997" s="74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>
      <c r="A998" s="74"/>
      <c r="B998" s="74"/>
      <c r="C998" s="74"/>
      <c r="D998" s="75"/>
      <c r="E998" s="75"/>
      <c r="F998" s="74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>
      <c r="A999" s="74"/>
      <c r="B999" s="74"/>
      <c r="C999" s="74"/>
      <c r="D999" s="75"/>
      <c r="E999" s="75"/>
      <c r="F999" s="74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>
      <c r="A1000" s="74"/>
      <c r="B1000" s="74"/>
      <c r="C1000" s="74"/>
      <c r="D1000" s="75"/>
      <c r="E1000" s="75"/>
      <c r="F1000" s="74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autoFilter ref="$A$1:$Z$1000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25"/>
    <col customWidth="1" min="2" max="2" width="26.5"/>
    <col customWidth="1" min="3" max="3" width="30.88"/>
    <col customWidth="1" min="4" max="4" width="94.88"/>
    <col customWidth="1" min="5" max="5" width="32.25"/>
    <col customWidth="1" min="6" max="6" width="32.63"/>
    <col customWidth="1" min="9" max="9" width="14.75"/>
  </cols>
  <sheetData>
    <row r="1">
      <c r="A1" s="77" t="s">
        <v>114</v>
      </c>
      <c r="B1" s="78" t="s">
        <v>115</v>
      </c>
      <c r="C1" s="79" t="s">
        <v>6</v>
      </c>
      <c r="D1" s="80" t="s">
        <v>116</v>
      </c>
      <c r="E1" s="81" t="s">
        <v>6</v>
      </c>
      <c r="F1" s="82" t="s">
        <v>6</v>
      </c>
      <c r="G1" s="83"/>
      <c r="H1" s="83"/>
      <c r="I1" s="83"/>
      <c r="J1" s="83"/>
      <c r="K1" s="83"/>
      <c r="L1" s="83"/>
      <c r="M1" s="84"/>
      <c r="N1" s="84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>
      <c r="A2" s="85" t="s">
        <v>117</v>
      </c>
      <c r="B2" s="86">
        <v>2409.0</v>
      </c>
      <c r="C2" s="87">
        <f>SUM(B:B)</f>
        <v>18082</v>
      </c>
      <c r="D2" s="88" t="s">
        <v>8</v>
      </c>
      <c r="E2" s="89">
        <v>220.0</v>
      </c>
      <c r="F2" s="90">
        <f>SUM(E:E)</f>
        <v>21314</v>
      </c>
      <c r="G2" s="91"/>
      <c r="H2" s="83"/>
      <c r="I2" s="83"/>
      <c r="J2" s="83"/>
      <c r="K2" s="83"/>
      <c r="L2" s="83"/>
      <c r="M2" s="84"/>
      <c r="N2" s="84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>
      <c r="A3" s="85" t="s">
        <v>118</v>
      </c>
      <c r="B3" s="92">
        <v>7790.0</v>
      </c>
      <c r="C3" s="93"/>
      <c r="D3" s="88" t="s">
        <v>9</v>
      </c>
      <c r="E3" s="89">
        <v>0.0</v>
      </c>
      <c r="F3" s="94">
        <f>SUM(B:B)</f>
        <v>18082</v>
      </c>
      <c r="G3" s="91"/>
      <c r="H3" s="91"/>
      <c r="I3" s="83"/>
      <c r="J3" s="83"/>
      <c r="K3" s="83"/>
      <c r="L3" s="83"/>
      <c r="M3" s="84"/>
      <c r="N3" s="84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>
      <c r="A4" s="85" t="s">
        <v>119</v>
      </c>
      <c r="B4" s="86">
        <v>0.0</v>
      </c>
      <c r="C4" s="95"/>
      <c r="D4" s="96" t="s">
        <v>120</v>
      </c>
      <c r="E4" s="89">
        <v>2736.0</v>
      </c>
      <c r="F4" s="97"/>
      <c r="G4" s="91"/>
      <c r="H4" s="91"/>
      <c r="I4" s="91"/>
      <c r="J4" s="83"/>
      <c r="K4" s="91"/>
      <c r="L4" s="83"/>
      <c r="M4" s="84"/>
      <c r="N4" s="84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>
      <c r="A5" s="85" t="s">
        <v>121</v>
      </c>
      <c r="B5" s="86"/>
      <c r="C5" s="95"/>
      <c r="D5" s="96" t="s">
        <v>122</v>
      </c>
      <c r="E5" s="89">
        <v>0.0</v>
      </c>
      <c r="F5" s="98">
        <f>F2-F3</f>
        <v>3232</v>
      </c>
      <c r="G5" s="91"/>
      <c r="H5" s="91"/>
      <c r="I5" s="83"/>
      <c r="J5" s="83"/>
      <c r="K5" s="91"/>
      <c r="L5" s="83"/>
      <c r="M5" s="84"/>
      <c r="N5" s="84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>
      <c r="A6" s="85"/>
      <c r="B6" s="99">
        <v>0.0</v>
      </c>
      <c r="C6" s="95"/>
      <c r="D6" s="96" t="s">
        <v>11</v>
      </c>
      <c r="E6" s="89">
        <v>15.0</v>
      </c>
      <c r="F6" s="100"/>
      <c r="G6" s="91"/>
      <c r="H6" s="83"/>
      <c r="I6" s="91"/>
      <c r="J6" s="83"/>
      <c r="K6" s="91"/>
      <c r="L6" s="83"/>
      <c r="M6" s="84"/>
      <c r="N6" s="84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>
      <c r="A7" s="85" t="s">
        <v>123</v>
      </c>
      <c r="B7" s="101">
        <v>0.0</v>
      </c>
      <c r="C7" s="102"/>
      <c r="D7" s="96" t="s">
        <v>124</v>
      </c>
      <c r="E7" s="89">
        <v>0.0</v>
      </c>
      <c r="F7" s="100"/>
      <c r="G7" s="91"/>
      <c r="H7" s="83"/>
      <c r="I7" s="83"/>
      <c r="J7" s="83"/>
      <c r="K7" s="83"/>
      <c r="L7" s="83"/>
      <c r="M7" s="103"/>
      <c r="N7" s="10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>
      <c r="A8" s="85"/>
      <c r="B8" s="104">
        <v>0.0</v>
      </c>
      <c r="C8" s="95"/>
      <c r="D8" s="96" t="s">
        <v>125</v>
      </c>
      <c r="E8" s="89">
        <v>0.0</v>
      </c>
      <c r="F8" s="105"/>
      <c r="G8" s="91"/>
      <c r="H8" s="91"/>
      <c r="I8" s="83"/>
      <c r="J8" s="91"/>
      <c r="K8" s="83"/>
      <c r="L8" s="83"/>
      <c r="M8" s="103"/>
      <c r="N8" s="10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>
      <c r="A9" s="106" t="s">
        <v>126</v>
      </c>
      <c r="B9" s="107">
        <v>0.0</v>
      </c>
      <c r="C9" s="108"/>
      <c r="D9" s="96" t="s">
        <v>127</v>
      </c>
      <c r="E9" s="109">
        <v>0.0</v>
      </c>
      <c r="F9" s="105"/>
      <c r="G9" s="91"/>
      <c r="H9" s="91"/>
      <c r="I9" s="83"/>
      <c r="J9" s="83"/>
      <c r="K9" s="83"/>
      <c r="L9" s="83"/>
      <c r="M9" s="103"/>
      <c r="N9" s="10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>
      <c r="A10" s="85"/>
      <c r="B10" s="110">
        <v>0.0</v>
      </c>
      <c r="C10" s="95"/>
      <c r="D10" s="111"/>
      <c r="E10" s="109"/>
      <c r="F10" s="105"/>
      <c r="G10" s="91"/>
      <c r="H10" s="83"/>
      <c r="I10" s="83"/>
      <c r="J10" s="83"/>
      <c r="K10" s="83"/>
      <c r="L10" s="83"/>
      <c r="M10" s="103"/>
      <c r="N10" s="10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>
      <c r="A11" s="85" t="s">
        <v>128</v>
      </c>
      <c r="B11" s="112">
        <v>3653.0</v>
      </c>
      <c r="C11" s="95"/>
      <c r="D11" s="111"/>
      <c r="E11" s="109">
        <v>0.0</v>
      </c>
      <c r="F11" s="105"/>
      <c r="G11" s="91"/>
      <c r="H11" s="83"/>
      <c r="I11" s="83"/>
      <c r="J11" s="83"/>
      <c r="K11" s="83"/>
      <c r="L11" s="83"/>
      <c r="M11" s="84"/>
      <c r="N11" s="84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>
      <c r="A12" s="113"/>
      <c r="B12" s="112">
        <v>0.0</v>
      </c>
      <c r="C12" s="95"/>
      <c r="D12" s="111" t="s">
        <v>129</v>
      </c>
      <c r="E12" s="109">
        <v>7000.0</v>
      </c>
      <c r="F12" s="105"/>
      <c r="G12" s="91"/>
      <c r="H12" s="83"/>
      <c r="I12" s="83"/>
      <c r="J12" s="83"/>
      <c r="K12" s="83"/>
      <c r="L12" s="83"/>
      <c r="M12" s="84"/>
      <c r="N12" s="84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>
      <c r="A13" s="85" t="s">
        <v>130</v>
      </c>
      <c r="B13" s="114">
        <v>0.0</v>
      </c>
      <c r="C13" s="95"/>
      <c r="D13" s="111"/>
      <c r="E13" s="109">
        <v>0.0</v>
      </c>
      <c r="F13" s="105"/>
      <c r="G13" s="91"/>
      <c r="H13" s="83"/>
      <c r="I13" s="83"/>
      <c r="J13" s="83"/>
      <c r="K13" s="83"/>
      <c r="L13" s="83"/>
      <c r="M13" s="84"/>
      <c r="N13" s="84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>
      <c r="A14" s="85" t="s">
        <v>131</v>
      </c>
      <c r="B14" s="115">
        <v>2000.0</v>
      </c>
      <c r="C14" s="95"/>
      <c r="D14" s="111"/>
      <c r="E14" s="109">
        <v>0.0</v>
      </c>
      <c r="F14" s="105"/>
      <c r="G14" s="91"/>
      <c r="H14" s="91"/>
      <c r="I14" s="83"/>
      <c r="J14" s="83"/>
      <c r="K14" s="83"/>
      <c r="L14" s="83"/>
      <c r="M14" s="84"/>
      <c r="N14" s="84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34.5" customHeight="1">
      <c r="A15" s="85"/>
      <c r="B15" s="112">
        <v>0.0</v>
      </c>
      <c r="C15" s="95"/>
      <c r="D15" s="116" t="s">
        <v>132</v>
      </c>
      <c r="E15" s="117">
        <v>5819.0</v>
      </c>
      <c r="F15" s="105"/>
      <c r="G15" s="91"/>
      <c r="H15" s="118"/>
      <c r="I15" s="83"/>
      <c r="J15" s="83"/>
      <c r="K15" s="83"/>
      <c r="L15" s="83"/>
      <c r="M15" s="84"/>
      <c r="N15" s="84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>
      <c r="A16" s="85"/>
      <c r="B16" s="112">
        <v>0.0</v>
      </c>
      <c r="C16" s="95"/>
      <c r="D16" s="111" t="s">
        <v>133</v>
      </c>
      <c r="E16" s="109">
        <v>0.0</v>
      </c>
      <c r="F16" s="105"/>
      <c r="G16" s="91"/>
      <c r="H16" s="91"/>
      <c r="I16" s="83"/>
      <c r="J16" s="83"/>
      <c r="K16" s="83"/>
      <c r="L16" s="83"/>
      <c r="M16" s="84"/>
      <c r="N16" s="84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>
      <c r="A17" s="85" t="s">
        <v>134</v>
      </c>
      <c r="B17" s="114">
        <v>0.0</v>
      </c>
      <c r="C17" s="95"/>
      <c r="D17" s="111" t="s">
        <v>135</v>
      </c>
      <c r="E17" s="119">
        <v>640.0</v>
      </c>
      <c r="F17" s="105"/>
      <c r="G17" s="83"/>
      <c r="I17" s="83"/>
      <c r="J17" s="83"/>
      <c r="K17" s="83"/>
      <c r="L17" s="83"/>
      <c r="M17" s="84"/>
      <c r="N17" s="84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>
      <c r="A18" s="85"/>
      <c r="B18" s="114">
        <v>0.0</v>
      </c>
      <c r="C18" s="95"/>
      <c r="D18" s="111"/>
      <c r="E18" s="109">
        <v>0.0</v>
      </c>
      <c r="F18" s="105"/>
      <c r="G18" s="83"/>
      <c r="H18" s="83"/>
      <c r="I18" s="83"/>
      <c r="J18" s="83"/>
      <c r="K18" s="83"/>
      <c r="L18" s="83"/>
      <c r="M18" s="84"/>
      <c r="N18" s="84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>
      <c r="A19" s="85"/>
      <c r="B19" s="114">
        <v>0.0</v>
      </c>
      <c r="C19" s="95"/>
      <c r="D19" s="111" t="s">
        <v>136</v>
      </c>
      <c r="E19" s="109">
        <v>614.0</v>
      </c>
      <c r="F19" s="105"/>
      <c r="G19" s="91"/>
      <c r="H19" s="83"/>
      <c r="I19" s="83"/>
      <c r="J19" s="83"/>
      <c r="K19" s="83"/>
      <c r="L19" s="83"/>
      <c r="M19" s="84"/>
      <c r="N19" s="84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>
      <c r="A20" s="120"/>
      <c r="B20" s="114">
        <v>0.0</v>
      </c>
      <c r="C20" s="95"/>
      <c r="D20" s="111"/>
      <c r="E20" s="109">
        <v>0.0</v>
      </c>
      <c r="F20" s="105"/>
      <c r="G20" s="83"/>
      <c r="H20" s="83"/>
      <c r="I20" s="83"/>
      <c r="J20" s="91"/>
      <c r="K20" s="83"/>
      <c r="L20" s="83"/>
      <c r="M20" s="84"/>
      <c r="N20" s="84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>
      <c r="A21" s="85" t="s">
        <v>137</v>
      </c>
      <c r="B21" s="114">
        <v>50.0</v>
      </c>
      <c r="C21" s="95"/>
      <c r="D21" s="111"/>
      <c r="E21" s="109">
        <v>0.0</v>
      </c>
      <c r="F21" s="105"/>
      <c r="G21" s="83"/>
      <c r="H21" s="83"/>
      <c r="I21" s="83"/>
      <c r="J21" s="83"/>
      <c r="K21" s="83"/>
      <c r="L21" s="83"/>
      <c r="M21" s="84"/>
      <c r="N21" s="84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>
      <c r="A22" s="85" t="s">
        <v>138</v>
      </c>
      <c r="B22" s="121">
        <v>0.0</v>
      </c>
      <c r="C22" s="122"/>
      <c r="D22" s="111" t="s">
        <v>139</v>
      </c>
      <c r="E22" s="109">
        <v>1070.0</v>
      </c>
      <c r="F22" s="123"/>
      <c r="G22" s="83"/>
      <c r="H22" s="83"/>
      <c r="I22" s="83"/>
      <c r="J22" s="83"/>
      <c r="K22" s="83"/>
      <c r="L22" s="83"/>
      <c r="M22" s="84"/>
      <c r="N22" s="84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>
      <c r="A23" s="124" t="s">
        <v>140</v>
      </c>
      <c r="B23" s="125">
        <v>2180.0</v>
      </c>
      <c r="C23" s="122"/>
      <c r="D23" s="111"/>
      <c r="E23" s="109">
        <v>0.0</v>
      </c>
      <c r="F23" s="105"/>
      <c r="G23" s="83"/>
      <c r="H23" s="83"/>
      <c r="I23" s="83"/>
      <c r="J23" s="83"/>
      <c r="K23" s="83"/>
      <c r="L23" s="83"/>
      <c r="M23" s="84"/>
      <c r="N23" s="84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>
      <c r="A24" s="85"/>
      <c r="B24" s="114">
        <v>0.0</v>
      </c>
      <c r="C24" s="95"/>
      <c r="D24" s="111"/>
      <c r="E24" s="109">
        <v>0.0</v>
      </c>
      <c r="F24" s="123">
        <v>0.0</v>
      </c>
      <c r="G24" s="83"/>
      <c r="H24" s="83"/>
      <c r="I24" s="83"/>
      <c r="J24" s="83"/>
      <c r="K24" s="83"/>
      <c r="L24" s="83"/>
      <c r="M24" s="84"/>
      <c r="N24" s="84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>
      <c r="A25" s="85"/>
      <c r="B25" s="114">
        <v>0.0</v>
      </c>
      <c r="C25" s="95"/>
      <c r="D25" s="111"/>
      <c r="E25" s="109"/>
      <c r="F25" s="105"/>
      <c r="G25" s="83"/>
      <c r="H25" s="83"/>
      <c r="I25" s="83"/>
      <c r="J25" s="83"/>
      <c r="K25" s="83"/>
      <c r="L25" s="83"/>
      <c r="M25" s="84"/>
      <c r="N25" s="84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>
      <c r="A26" s="85"/>
      <c r="B26" s="114">
        <v>0.0</v>
      </c>
      <c r="C26" s="95"/>
      <c r="D26" s="111"/>
      <c r="E26" s="109">
        <v>0.0</v>
      </c>
      <c r="F26" s="105"/>
      <c r="G26" s="83"/>
      <c r="H26" s="83"/>
      <c r="I26" s="83"/>
      <c r="J26" s="83"/>
      <c r="K26" s="83"/>
      <c r="L26" s="83"/>
      <c r="M26" s="84"/>
      <c r="N26" s="84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29.25" customHeight="1">
      <c r="A27" s="85"/>
      <c r="B27" s="114">
        <v>0.0</v>
      </c>
      <c r="C27" s="95"/>
      <c r="D27" s="111"/>
      <c r="E27" s="109">
        <v>0.0</v>
      </c>
      <c r="F27" s="105"/>
      <c r="G27" s="83"/>
      <c r="H27" s="83"/>
      <c r="I27" s="83"/>
      <c r="J27" s="83"/>
      <c r="K27" s="83"/>
      <c r="L27" s="83"/>
      <c r="M27" s="84"/>
      <c r="N27" s="84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29.25" customHeight="1">
      <c r="A28" s="85"/>
      <c r="B28" s="114">
        <v>0.0</v>
      </c>
      <c r="C28" s="95"/>
      <c r="D28" s="111"/>
      <c r="E28" s="109">
        <v>0.0</v>
      </c>
      <c r="F28" s="105"/>
      <c r="G28" s="83"/>
      <c r="H28" s="83"/>
      <c r="I28" s="83"/>
      <c r="J28" s="83"/>
      <c r="K28" s="83"/>
      <c r="L28" s="83"/>
      <c r="M28" s="84"/>
      <c r="N28" s="84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29.25" customHeight="1">
      <c r="A29" s="85"/>
      <c r="B29" s="114">
        <v>0.0</v>
      </c>
      <c r="C29" s="95"/>
      <c r="D29" s="126" t="s">
        <v>141</v>
      </c>
      <c r="E29" s="127">
        <v>50.0</v>
      </c>
      <c r="F29" s="105"/>
      <c r="G29" s="83"/>
      <c r="H29" s="83"/>
      <c r="I29" s="83"/>
      <c r="J29" s="83"/>
      <c r="K29" s="83"/>
      <c r="L29" s="83"/>
      <c r="M29" s="84"/>
      <c r="N29" s="84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29.25" customHeight="1">
      <c r="A30" s="85"/>
      <c r="B30" s="114">
        <v>0.0</v>
      </c>
      <c r="C30" s="95"/>
      <c r="D30" s="126" t="s">
        <v>142</v>
      </c>
      <c r="E30" s="127">
        <v>200.0</v>
      </c>
      <c r="F30" s="105"/>
      <c r="G30" s="83"/>
      <c r="H30" s="83"/>
      <c r="I30" s="83"/>
      <c r="J30" s="83"/>
      <c r="K30" s="83"/>
      <c r="L30" s="83"/>
      <c r="M30" s="84"/>
      <c r="N30" s="84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27.0" customHeight="1">
      <c r="A31" s="85"/>
      <c r="B31" s="114"/>
      <c r="C31" s="95"/>
      <c r="D31" s="128">
        <v>46081.0</v>
      </c>
      <c r="E31" s="127">
        <v>200.0</v>
      </c>
      <c r="F31" s="105"/>
      <c r="G31" s="83"/>
      <c r="H31" s="83"/>
      <c r="I31" s="83"/>
      <c r="J31" s="83"/>
      <c r="K31" s="83"/>
      <c r="L31" s="83"/>
      <c r="M31" s="84"/>
      <c r="N31" s="84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27.0" customHeight="1">
      <c r="A32" s="85"/>
      <c r="B32" s="114">
        <v>0.0</v>
      </c>
      <c r="C32" s="95"/>
      <c r="D32" s="126" t="s">
        <v>143</v>
      </c>
      <c r="E32" s="127">
        <v>0.0</v>
      </c>
      <c r="F32" s="105"/>
      <c r="G32" s="83"/>
      <c r="H32" s="83"/>
      <c r="I32" s="83"/>
      <c r="J32" s="83"/>
      <c r="K32" s="83"/>
      <c r="L32" s="83"/>
      <c r="M32" s="84"/>
      <c r="N32" s="84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>
      <c r="A33" s="85"/>
      <c r="B33" s="114">
        <v>0.0</v>
      </c>
      <c r="C33" s="95"/>
      <c r="D33" s="126" t="s">
        <v>144</v>
      </c>
      <c r="E33" s="127">
        <v>100.0</v>
      </c>
      <c r="F33" s="105"/>
      <c r="G33" s="83"/>
      <c r="H33" s="83"/>
      <c r="I33" s="83"/>
      <c r="J33" s="83"/>
      <c r="K33" s="83"/>
      <c r="L33" s="83"/>
      <c r="M33" s="84"/>
      <c r="N33" s="84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>
      <c r="A34" s="120"/>
      <c r="B34" s="129">
        <v>0.0</v>
      </c>
      <c r="C34" s="95"/>
      <c r="D34" s="126" t="s">
        <v>145</v>
      </c>
      <c r="E34" s="127">
        <v>0.0</v>
      </c>
      <c r="F34" s="105"/>
      <c r="G34" s="83"/>
      <c r="H34" s="83"/>
      <c r="I34" s="83"/>
      <c r="J34" s="83"/>
      <c r="K34" s="83"/>
      <c r="L34" s="83"/>
      <c r="M34" s="84"/>
      <c r="N34" s="84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>
      <c r="A35" s="120"/>
      <c r="B35" s="114">
        <v>0.0</v>
      </c>
      <c r="C35" s="95"/>
      <c r="D35" s="126" t="s">
        <v>146</v>
      </c>
      <c r="E35" s="130"/>
      <c r="F35" s="105"/>
      <c r="G35" s="83"/>
      <c r="H35" s="83"/>
      <c r="I35" s="83"/>
      <c r="J35" s="83"/>
      <c r="K35" s="83"/>
      <c r="L35" s="83"/>
      <c r="M35" s="84"/>
      <c r="N35" s="84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>
      <c r="A36" s="85"/>
      <c r="B36" s="114">
        <v>0.0</v>
      </c>
      <c r="C36" s="95"/>
      <c r="D36" s="126" t="s">
        <v>147</v>
      </c>
      <c r="E36" s="127">
        <v>800.0</v>
      </c>
      <c r="F36" s="105"/>
      <c r="G36" s="83"/>
      <c r="H36" s="83"/>
      <c r="I36" s="83"/>
      <c r="J36" s="83"/>
      <c r="K36" s="83"/>
      <c r="L36" s="83"/>
      <c r="M36" s="84"/>
      <c r="N36" s="84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>
      <c r="A37" s="85"/>
      <c r="B37" s="114"/>
      <c r="C37" s="95"/>
      <c r="D37" s="126" t="s">
        <v>148</v>
      </c>
      <c r="E37" s="127">
        <v>800.0</v>
      </c>
      <c r="F37" s="105"/>
      <c r="G37" s="83"/>
      <c r="H37" s="83"/>
      <c r="I37" s="83"/>
      <c r="J37" s="83"/>
      <c r="K37" s="83"/>
      <c r="L37" s="83"/>
      <c r="M37" s="84"/>
      <c r="N37" s="84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>
      <c r="A38" s="85"/>
      <c r="B38" s="114">
        <v>0.0</v>
      </c>
      <c r="C38" s="95"/>
      <c r="D38" s="126" t="s">
        <v>149</v>
      </c>
      <c r="E38" s="131">
        <v>900.0</v>
      </c>
      <c r="F38" s="105"/>
      <c r="G38" s="83"/>
      <c r="H38" s="83"/>
      <c r="I38" s="83"/>
      <c r="J38" s="83"/>
      <c r="K38" s="83"/>
      <c r="L38" s="83"/>
      <c r="M38" s="84"/>
      <c r="N38" s="84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>
      <c r="A39" s="85"/>
      <c r="B39" s="112">
        <v>0.0</v>
      </c>
      <c r="C39" s="95"/>
      <c r="D39" s="126" t="s">
        <v>150</v>
      </c>
      <c r="E39" s="127">
        <v>150.0</v>
      </c>
      <c r="F39" s="105"/>
      <c r="G39" s="83"/>
      <c r="H39" s="83"/>
      <c r="I39" s="83"/>
      <c r="J39" s="83"/>
      <c r="K39" s="83"/>
      <c r="L39" s="83"/>
      <c r="M39" s="84"/>
      <c r="N39" s="84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>
      <c r="A40" s="83"/>
      <c r="B40" s="132"/>
      <c r="C40" s="133"/>
      <c r="D40" s="134"/>
      <c r="E40" s="135"/>
      <c r="F40" s="83"/>
      <c r="G40" s="83"/>
      <c r="H40" s="83"/>
      <c r="I40" s="83"/>
      <c r="J40" s="83"/>
      <c r="K40" s="83"/>
      <c r="L40" s="83"/>
      <c r="M40" s="84"/>
      <c r="N40" s="84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>
      <c r="A41" s="83"/>
      <c r="B41" s="132"/>
      <c r="C41" s="133"/>
      <c r="D41" s="134"/>
      <c r="E41" s="135"/>
      <c r="F41" s="83"/>
      <c r="G41" s="83"/>
      <c r="H41" s="83"/>
      <c r="I41" s="83"/>
      <c r="J41" s="83"/>
      <c r="K41" s="83"/>
      <c r="L41" s="83"/>
      <c r="M41" s="84"/>
      <c r="N41" s="84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>
      <c r="A42" s="83"/>
      <c r="B42" s="132"/>
      <c r="C42" s="133"/>
      <c r="D42" s="134"/>
      <c r="E42" s="135"/>
      <c r="F42" s="83"/>
      <c r="G42" s="83"/>
      <c r="H42" s="83"/>
      <c r="I42" s="83"/>
      <c r="J42" s="83"/>
      <c r="K42" s="83"/>
      <c r="L42" s="83"/>
      <c r="M42" s="84"/>
      <c r="N42" s="84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>
      <c r="A43" s="83"/>
      <c r="B43" s="133"/>
      <c r="C43" s="133"/>
      <c r="D43" s="134"/>
      <c r="E43" s="135"/>
      <c r="F43" s="83"/>
      <c r="G43" s="83"/>
      <c r="H43" s="83"/>
      <c r="I43" s="83"/>
      <c r="J43" s="83"/>
      <c r="K43" s="83"/>
      <c r="L43" s="83"/>
      <c r="M43" s="84"/>
      <c r="N43" s="84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>
      <c r="A44" s="83"/>
      <c r="B44" s="133"/>
      <c r="C44" s="133"/>
      <c r="D44" s="134"/>
      <c r="E44" s="135"/>
      <c r="F44" s="83"/>
      <c r="G44" s="83"/>
      <c r="H44" s="83"/>
      <c r="I44" s="83"/>
      <c r="J44" s="83"/>
      <c r="K44" s="83"/>
      <c r="L44" s="83"/>
      <c r="M44" s="84"/>
      <c r="N44" s="84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>
      <c r="A45" s="83"/>
      <c r="B45" s="133"/>
      <c r="C45" s="133"/>
      <c r="D45" s="134"/>
      <c r="E45" s="135"/>
      <c r="F45" s="83"/>
      <c r="G45" s="83"/>
      <c r="H45" s="83"/>
      <c r="I45" s="83"/>
      <c r="J45" s="83"/>
      <c r="K45" s="83"/>
      <c r="L45" s="83"/>
      <c r="M45" s="84"/>
      <c r="N45" s="84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>
      <c r="A46" s="83"/>
      <c r="B46" s="133"/>
      <c r="C46" s="133"/>
      <c r="D46" s="134"/>
      <c r="E46" s="135"/>
      <c r="F46" s="83"/>
      <c r="G46" s="83"/>
      <c r="H46" s="83"/>
      <c r="I46" s="83"/>
      <c r="J46" s="83"/>
      <c r="K46" s="83"/>
      <c r="L46" s="83"/>
      <c r="M46" s="84"/>
      <c r="N46" s="84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>
      <c r="A47" s="83"/>
      <c r="B47" s="133"/>
      <c r="C47" s="133"/>
      <c r="D47" s="134"/>
      <c r="E47" s="135"/>
      <c r="F47" s="83"/>
      <c r="G47" s="83"/>
      <c r="H47" s="83"/>
      <c r="I47" s="83"/>
      <c r="J47" s="83"/>
      <c r="K47" s="83"/>
      <c r="L47" s="83"/>
      <c r="M47" s="84"/>
      <c r="N47" s="84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>
      <c r="A48" s="83"/>
      <c r="B48" s="133"/>
      <c r="C48" s="133"/>
      <c r="D48" s="134"/>
      <c r="E48" s="135"/>
      <c r="F48" s="83"/>
      <c r="G48" s="83"/>
      <c r="H48" s="83"/>
      <c r="I48" s="83"/>
      <c r="J48" s="83"/>
      <c r="K48" s="83"/>
      <c r="L48" s="83"/>
      <c r="M48" s="84"/>
      <c r="N48" s="84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>
      <c r="A49" s="83"/>
      <c r="B49" s="133"/>
      <c r="C49" s="133"/>
      <c r="D49" s="134"/>
      <c r="E49" s="135"/>
      <c r="F49" s="83"/>
      <c r="G49" s="83"/>
      <c r="H49" s="83"/>
      <c r="I49" s="83"/>
      <c r="J49" s="83"/>
      <c r="K49" s="83"/>
      <c r="L49" s="83"/>
      <c r="M49" s="84"/>
      <c r="N49" s="84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>
      <c r="A50" s="83"/>
      <c r="B50" s="133"/>
      <c r="C50" s="133"/>
      <c r="D50" s="134"/>
      <c r="E50" s="135"/>
      <c r="F50" s="83"/>
      <c r="G50" s="83"/>
      <c r="H50" s="83"/>
      <c r="I50" s="83"/>
      <c r="J50" s="83"/>
      <c r="K50" s="83"/>
      <c r="L50" s="83"/>
      <c r="M50" s="84"/>
      <c r="N50" s="84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>
      <c r="A51" s="83"/>
      <c r="B51" s="133"/>
      <c r="C51" s="133"/>
      <c r="D51" s="134"/>
      <c r="E51" s="135"/>
      <c r="F51" s="83"/>
      <c r="G51" s="83"/>
      <c r="H51" s="83"/>
      <c r="I51" s="83"/>
      <c r="J51" s="83"/>
      <c r="K51" s="83"/>
      <c r="L51" s="83"/>
      <c r="M51" s="84"/>
      <c r="N51" s="84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>
      <c r="A52" s="83"/>
      <c r="B52" s="133"/>
      <c r="C52" s="133"/>
      <c r="D52" s="134"/>
      <c r="E52" s="135"/>
      <c r="F52" s="83"/>
      <c r="G52" s="83"/>
      <c r="H52" s="83"/>
      <c r="I52" s="83"/>
      <c r="J52" s="83"/>
      <c r="K52" s="83"/>
      <c r="L52" s="83"/>
      <c r="M52" s="84"/>
      <c r="N52" s="84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>
      <c r="A53" s="83"/>
      <c r="B53" s="132"/>
      <c r="C53" s="133"/>
      <c r="D53" s="134"/>
      <c r="E53" s="135"/>
      <c r="F53" s="83"/>
      <c r="G53" s="83"/>
      <c r="H53" s="83"/>
      <c r="I53" s="83"/>
      <c r="J53" s="83"/>
      <c r="K53" s="83"/>
      <c r="L53" s="83"/>
      <c r="M53" s="84"/>
      <c r="N53" s="84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>
      <c r="A54" s="83"/>
      <c r="B54" s="133"/>
      <c r="C54" s="133"/>
      <c r="D54" s="134"/>
      <c r="E54" s="135"/>
      <c r="F54" s="83"/>
      <c r="G54" s="83"/>
      <c r="H54" s="83"/>
      <c r="I54" s="83"/>
      <c r="J54" s="83"/>
      <c r="K54" s="83"/>
      <c r="L54" s="83"/>
      <c r="M54" s="84"/>
      <c r="N54" s="84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>
      <c r="A55" s="83"/>
      <c r="B55" s="136"/>
      <c r="C55" s="133"/>
      <c r="D55" s="134"/>
      <c r="E55" s="135"/>
      <c r="F55" s="83"/>
      <c r="G55" s="83"/>
      <c r="H55" s="83"/>
      <c r="I55" s="83"/>
      <c r="J55" s="83"/>
      <c r="K55" s="83"/>
      <c r="L55" s="83"/>
      <c r="M55" s="84"/>
      <c r="N55" s="84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>
      <c r="A56" s="83"/>
      <c r="B56" s="136"/>
      <c r="C56" s="133"/>
      <c r="D56" s="134"/>
      <c r="E56" s="135"/>
      <c r="F56" s="83"/>
      <c r="G56" s="83"/>
      <c r="H56" s="83"/>
      <c r="I56" s="83"/>
      <c r="J56" s="83"/>
      <c r="K56" s="83"/>
      <c r="L56" s="83"/>
      <c r="M56" s="84"/>
      <c r="N56" s="84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>
      <c r="A57" s="83"/>
      <c r="B57" s="136"/>
      <c r="C57" s="133"/>
      <c r="D57" s="134"/>
      <c r="E57" s="135"/>
      <c r="F57" s="83"/>
      <c r="G57" s="83"/>
      <c r="H57" s="83"/>
      <c r="I57" s="83"/>
      <c r="J57" s="83"/>
      <c r="K57" s="83"/>
      <c r="L57" s="83"/>
      <c r="M57" s="84"/>
      <c r="N57" s="84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>
      <c r="A58" s="83"/>
      <c r="B58" s="136"/>
      <c r="C58" s="133"/>
      <c r="D58" s="134"/>
      <c r="E58" s="135"/>
      <c r="F58" s="83"/>
      <c r="G58" s="83"/>
      <c r="H58" s="83"/>
      <c r="I58" s="83"/>
      <c r="J58" s="83"/>
      <c r="K58" s="83"/>
      <c r="L58" s="83"/>
      <c r="M58" s="84"/>
      <c r="N58" s="84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>
      <c r="A59" s="83"/>
      <c r="B59" s="136"/>
      <c r="C59" s="133"/>
      <c r="D59" s="134"/>
      <c r="E59" s="135"/>
      <c r="F59" s="83"/>
      <c r="G59" s="83"/>
      <c r="H59" s="83"/>
      <c r="I59" s="83"/>
      <c r="J59" s="83"/>
      <c r="K59" s="83"/>
      <c r="L59" s="83"/>
      <c r="M59" s="84"/>
      <c r="N59" s="84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>
      <c r="A60" s="83"/>
      <c r="B60" s="136"/>
      <c r="C60" s="133"/>
      <c r="D60" s="134"/>
      <c r="E60" s="135"/>
      <c r="F60" s="83"/>
      <c r="G60" s="83"/>
      <c r="H60" s="83"/>
      <c r="I60" s="83"/>
      <c r="J60" s="83"/>
      <c r="K60" s="83"/>
      <c r="L60" s="83"/>
      <c r="M60" s="84"/>
      <c r="N60" s="84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>
      <c r="A61" s="83"/>
      <c r="B61" s="136"/>
      <c r="C61" s="133"/>
      <c r="D61" s="134"/>
      <c r="E61" s="135"/>
      <c r="F61" s="83"/>
      <c r="G61" s="83"/>
      <c r="H61" s="83"/>
      <c r="I61" s="83"/>
      <c r="J61" s="83"/>
      <c r="K61" s="83"/>
      <c r="L61" s="83"/>
      <c r="M61" s="84"/>
      <c r="N61" s="84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>
      <c r="A62" s="83"/>
      <c r="B62" s="136"/>
      <c r="C62" s="133"/>
      <c r="D62" s="134"/>
      <c r="E62" s="135"/>
      <c r="F62" s="83"/>
      <c r="G62" s="83"/>
      <c r="H62" s="83"/>
      <c r="I62" s="83"/>
      <c r="J62" s="83"/>
      <c r="K62" s="83"/>
      <c r="L62" s="83"/>
      <c r="M62" s="84"/>
      <c r="N62" s="84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>
      <c r="A63" s="83"/>
      <c r="B63" s="136"/>
      <c r="C63" s="133"/>
      <c r="D63" s="134"/>
      <c r="E63" s="135"/>
      <c r="F63" s="83"/>
      <c r="G63" s="83"/>
      <c r="H63" s="83"/>
      <c r="I63" s="83"/>
      <c r="J63" s="83"/>
      <c r="K63" s="83"/>
      <c r="L63" s="83"/>
      <c r="M63" s="84"/>
      <c r="N63" s="84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>
      <c r="A64" s="83"/>
      <c r="B64" s="136"/>
      <c r="C64" s="133"/>
      <c r="D64" s="134"/>
      <c r="E64" s="135"/>
      <c r="F64" s="83"/>
      <c r="G64" s="83"/>
      <c r="H64" s="83"/>
      <c r="I64" s="83"/>
      <c r="J64" s="83"/>
      <c r="K64" s="83"/>
      <c r="L64" s="83"/>
      <c r="M64" s="84"/>
      <c r="N64" s="84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>
      <c r="A65" s="83"/>
      <c r="B65" s="136"/>
      <c r="C65" s="133"/>
      <c r="D65" s="134"/>
      <c r="E65" s="135"/>
      <c r="F65" s="83"/>
      <c r="G65" s="83"/>
      <c r="H65" s="83"/>
      <c r="I65" s="83"/>
      <c r="J65" s="83"/>
      <c r="K65" s="83"/>
      <c r="L65" s="83"/>
      <c r="M65" s="84"/>
      <c r="N65" s="84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>
      <c r="A66" s="83"/>
      <c r="B66" s="136"/>
      <c r="C66" s="133"/>
      <c r="D66" s="134"/>
      <c r="E66" s="135"/>
      <c r="F66" s="83"/>
      <c r="G66" s="83"/>
      <c r="H66" s="83"/>
      <c r="I66" s="83"/>
      <c r="J66" s="83"/>
      <c r="K66" s="83"/>
      <c r="L66" s="83"/>
      <c r="M66" s="84"/>
      <c r="N66" s="84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>
      <c r="A67" s="83"/>
      <c r="B67" s="136"/>
      <c r="C67" s="133"/>
      <c r="D67" s="134"/>
      <c r="E67" s="135"/>
      <c r="F67" s="83"/>
      <c r="G67" s="83"/>
      <c r="H67" s="83"/>
      <c r="I67" s="83"/>
      <c r="J67" s="83"/>
      <c r="K67" s="83"/>
      <c r="L67" s="83"/>
      <c r="M67" s="84"/>
      <c r="N67" s="84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>
      <c r="A68" s="83"/>
      <c r="B68" s="136"/>
      <c r="C68" s="133"/>
      <c r="D68" s="134"/>
      <c r="E68" s="137"/>
      <c r="F68" s="83"/>
      <c r="G68" s="83"/>
      <c r="H68" s="83"/>
      <c r="I68" s="83"/>
      <c r="J68" s="83"/>
      <c r="K68" s="83"/>
      <c r="L68" s="83"/>
      <c r="M68" s="84"/>
      <c r="N68" s="84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>
      <c r="A69" s="83"/>
      <c r="B69" s="136"/>
      <c r="C69" s="133"/>
      <c r="D69" s="134"/>
      <c r="E69" s="135"/>
      <c r="F69" s="83"/>
      <c r="G69" s="83"/>
      <c r="H69" s="83"/>
      <c r="I69" s="83"/>
      <c r="J69" s="83"/>
      <c r="K69" s="83"/>
      <c r="L69" s="83"/>
      <c r="M69" s="84"/>
      <c r="N69" s="84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>
      <c r="A70" s="83"/>
      <c r="B70" s="136"/>
      <c r="C70" s="133"/>
      <c r="D70" s="134"/>
      <c r="E70" s="135"/>
      <c r="F70" s="83"/>
      <c r="G70" s="83"/>
      <c r="H70" s="83"/>
      <c r="I70" s="83"/>
      <c r="J70" s="83"/>
      <c r="K70" s="83"/>
      <c r="L70" s="83"/>
      <c r="M70" s="84"/>
      <c r="N70" s="84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>
      <c r="A71" s="83"/>
      <c r="B71" s="136"/>
      <c r="C71" s="133"/>
      <c r="D71" s="134"/>
      <c r="E71" s="135"/>
      <c r="F71" s="83"/>
      <c r="G71" s="83"/>
      <c r="H71" s="83"/>
      <c r="I71" s="83"/>
      <c r="J71" s="83"/>
      <c r="K71" s="83"/>
      <c r="L71" s="83"/>
      <c r="M71" s="84"/>
      <c r="N71" s="84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>
      <c r="A72" s="83"/>
      <c r="B72" s="84"/>
      <c r="C72" s="83"/>
      <c r="D72" s="134"/>
      <c r="E72" s="138"/>
      <c r="F72" s="83"/>
      <c r="G72" s="83"/>
      <c r="H72" s="83"/>
      <c r="I72" s="83"/>
      <c r="J72" s="83"/>
      <c r="K72" s="83"/>
      <c r="L72" s="83"/>
      <c r="M72" s="84"/>
      <c r="N72" s="84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>
      <c r="A73" s="83"/>
      <c r="B73" s="84"/>
      <c r="C73" s="83"/>
      <c r="D73" s="134"/>
      <c r="E73" s="138"/>
      <c r="F73" s="83"/>
      <c r="G73" s="83"/>
      <c r="H73" s="83"/>
      <c r="I73" s="83"/>
      <c r="J73" s="83"/>
      <c r="K73" s="83"/>
      <c r="L73" s="83"/>
      <c r="M73" s="84"/>
      <c r="N73" s="84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>
      <c r="A74" s="83"/>
      <c r="B74" s="84"/>
      <c r="C74" s="83"/>
      <c r="D74" s="134"/>
      <c r="E74" s="138"/>
      <c r="F74" s="83"/>
      <c r="G74" s="83"/>
      <c r="H74" s="83"/>
      <c r="I74" s="83"/>
      <c r="J74" s="83"/>
      <c r="K74" s="83"/>
      <c r="L74" s="83"/>
      <c r="M74" s="84"/>
      <c r="N74" s="84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>
      <c r="A75" s="83"/>
      <c r="B75" s="84"/>
      <c r="C75" s="83"/>
      <c r="D75" s="134"/>
      <c r="E75" s="138"/>
      <c r="F75" s="83"/>
      <c r="G75" s="83"/>
      <c r="H75" s="83"/>
      <c r="I75" s="83"/>
      <c r="J75" s="83"/>
      <c r="K75" s="83"/>
      <c r="L75" s="83"/>
      <c r="M75" s="84"/>
      <c r="N75" s="84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>
      <c r="A76" s="83"/>
      <c r="B76" s="84"/>
      <c r="C76" s="83"/>
      <c r="D76" s="134"/>
      <c r="E76" s="138"/>
      <c r="F76" s="83"/>
      <c r="G76" s="83"/>
      <c r="H76" s="83"/>
      <c r="I76" s="83"/>
      <c r="J76" s="83"/>
      <c r="K76" s="83"/>
      <c r="L76" s="83"/>
      <c r="M76" s="84"/>
      <c r="N76" s="84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>
      <c r="A77" s="83"/>
      <c r="B77" s="84"/>
      <c r="C77" s="83"/>
      <c r="D77" s="134"/>
      <c r="E77" s="138"/>
      <c r="F77" s="83"/>
      <c r="G77" s="83"/>
      <c r="H77" s="83"/>
      <c r="I77" s="83"/>
      <c r="J77" s="83"/>
      <c r="K77" s="83"/>
      <c r="L77" s="83"/>
      <c r="M77" s="84"/>
      <c r="N77" s="84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>
      <c r="A78" s="83"/>
      <c r="B78" s="103"/>
      <c r="C78" s="83"/>
      <c r="D78" s="134"/>
      <c r="E78" s="138"/>
      <c r="F78" s="83"/>
      <c r="G78" s="83"/>
      <c r="H78" s="83"/>
      <c r="I78" s="83"/>
      <c r="J78" s="83"/>
      <c r="K78" s="83"/>
      <c r="L78" s="83"/>
      <c r="M78" s="84"/>
      <c r="N78" s="84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>
      <c r="A79" s="83"/>
      <c r="B79" s="103"/>
      <c r="C79" s="83"/>
      <c r="D79" s="134"/>
      <c r="E79" s="138"/>
      <c r="F79" s="83"/>
      <c r="G79" s="83"/>
      <c r="H79" s="83"/>
      <c r="I79" s="83"/>
      <c r="J79" s="83"/>
      <c r="K79" s="83"/>
      <c r="L79" s="83"/>
      <c r="M79" s="84"/>
      <c r="N79" s="84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>
      <c r="A80" s="83"/>
      <c r="B80" s="84"/>
      <c r="C80" s="83"/>
      <c r="D80" s="134"/>
      <c r="E80" s="138"/>
      <c r="F80" s="83"/>
      <c r="G80" s="83"/>
      <c r="H80" s="83"/>
      <c r="I80" s="83"/>
      <c r="J80" s="83"/>
      <c r="K80" s="83"/>
      <c r="L80" s="83"/>
      <c r="M80" s="84"/>
      <c r="N80" s="84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>
      <c r="A81" s="83"/>
      <c r="B81" s="84"/>
      <c r="C81" s="83"/>
      <c r="D81" s="134"/>
      <c r="E81" s="138"/>
      <c r="F81" s="83"/>
      <c r="G81" s="83"/>
      <c r="H81" s="83"/>
      <c r="I81" s="83"/>
      <c r="J81" s="83"/>
      <c r="K81" s="83"/>
      <c r="L81" s="83"/>
      <c r="M81" s="84"/>
      <c r="N81" s="84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>
      <c r="A82" s="83"/>
      <c r="B82" s="84"/>
      <c r="C82" s="83"/>
      <c r="D82" s="134"/>
      <c r="E82" s="138"/>
      <c r="F82" s="83"/>
      <c r="G82" s="83"/>
      <c r="H82" s="83"/>
      <c r="I82" s="83"/>
      <c r="J82" s="83"/>
      <c r="K82" s="83"/>
      <c r="L82" s="83"/>
      <c r="M82" s="84"/>
      <c r="N82" s="84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>
      <c r="A83" s="83"/>
      <c r="B83" s="103"/>
      <c r="C83" s="83"/>
      <c r="D83" s="134"/>
      <c r="E83" s="138"/>
      <c r="F83" s="83"/>
      <c r="G83" s="83"/>
      <c r="H83" s="83"/>
      <c r="I83" s="83"/>
      <c r="J83" s="83"/>
      <c r="K83" s="83"/>
      <c r="L83" s="83"/>
      <c r="M83" s="84"/>
      <c r="N83" s="84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>
      <c r="A84" s="83"/>
      <c r="B84" s="84"/>
      <c r="C84" s="83"/>
      <c r="D84" s="134"/>
      <c r="E84" s="138"/>
      <c r="F84" s="83"/>
      <c r="G84" s="83"/>
      <c r="H84" s="83"/>
      <c r="I84" s="83"/>
      <c r="J84" s="83"/>
      <c r="K84" s="83"/>
      <c r="L84" s="83"/>
      <c r="M84" s="84"/>
      <c r="N84" s="84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>
      <c r="A85" s="83"/>
      <c r="B85" s="84"/>
      <c r="C85" s="83"/>
      <c r="D85" s="134"/>
      <c r="E85" s="138"/>
      <c r="F85" s="83"/>
      <c r="G85" s="83"/>
      <c r="H85" s="83"/>
      <c r="I85" s="83"/>
      <c r="J85" s="83"/>
      <c r="K85" s="83"/>
      <c r="L85" s="83"/>
      <c r="M85" s="84"/>
      <c r="N85" s="84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>
      <c r="A86" s="83"/>
      <c r="B86" s="84"/>
      <c r="C86" s="83"/>
      <c r="D86" s="134"/>
      <c r="E86" s="138"/>
      <c r="F86" s="83"/>
      <c r="G86" s="83"/>
      <c r="H86" s="83"/>
      <c r="I86" s="83"/>
      <c r="J86" s="83"/>
      <c r="K86" s="83"/>
      <c r="L86" s="83"/>
      <c r="M86" s="84"/>
      <c r="N86" s="84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>
      <c r="A87" s="83"/>
      <c r="B87" s="84"/>
      <c r="C87" s="83"/>
      <c r="D87" s="134"/>
      <c r="E87" s="138"/>
      <c r="F87" s="83"/>
      <c r="G87" s="83"/>
      <c r="H87" s="83"/>
      <c r="I87" s="83"/>
      <c r="J87" s="83"/>
      <c r="K87" s="83"/>
      <c r="L87" s="83"/>
      <c r="M87" s="84"/>
      <c r="N87" s="84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>
      <c r="A88" s="83"/>
      <c r="B88" s="84"/>
      <c r="C88" s="83"/>
      <c r="D88" s="134"/>
      <c r="E88" s="138"/>
      <c r="F88" s="83"/>
      <c r="G88" s="83"/>
      <c r="H88" s="83"/>
      <c r="I88" s="83"/>
      <c r="J88" s="83"/>
      <c r="K88" s="83"/>
      <c r="L88" s="83"/>
      <c r="M88" s="84"/>
      <c r="N88" s="84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>
      <c r="A89" s="83"/>
      <c r="B89" s="84"/>
      <c r="C89" s="83"/>
      <c r="D89" s="134"/>
      <c r="E89" s="138"/>
      <c r="F89" s="83"/>
      <c r="G89" s="83"/>
      <c r="H89" s="83"/>
      <c r="I89" s="83"/>
      <c r="J89" s="83"/>
      <c r="K89" s="83"/>
      <c r="L89" s="83"/>
      <c r="M89" s="84"/>
      <c r="N89" s="84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>
      <c r="A90" s="83"/>
      <c r="B90" s="84"/>
      <c r="C90" s="83"/>
      <c r="D90" s="134"/>
      <c r="E90" s="138"/>
      <c r="F90" s="83"/>
      <c r="G90" s="83"/>
      <c r="H90" s="83"/>
      <c r="I90" s="83"/>
      <c r="J90" s="83"/>
      <c r="K90" s="83"/>
      <c r="L90" s="83"/>
      <c r="M90" s="84"/>
      <c r="N90" s="84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>
      <c r="A91" s="83"/>
      <c r="B91" s="84"/>
      <c r="C91" s="83"/>
      <c r="D91" s="134"/>
      <c r="E91" s="138"/>
      <c r="F91" s="83"/>
      <c r="G91" s="83"/>
      <c r="H91" s="83"/>
      <c r="I91" s="83"/>
      <c r="J91" s="83"/>
      <c r="K91" s="83"/>
      <c r="L91" s="83"/>
      <c r="M91" s="84"/>
      <c r="N91" s="84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>
      <c r="A92" s="83"/>
      <c r="B92" s="84"/>
      <c r="C92" s="83"/>
      <c r="D92" s="134"/>
      <c r="E92" s="138"/>
      <c r="F92" s="83"/>
      <c r="G92" s="83"/>
      <c r="H92" s="83"/>
      <c r="I92" s="83"/>
      <c r="J92" s="83"/>
      <c r="K92" s="83"/>
      <c r="L92" s="83"/>
      <c r="M92" s="84"/>
      <c r="N92" s="84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>
      <c r="A93" s="83"/>
      <c r="B93" s="103"/>
      <c r="C93" s="83"/>
      <c r="D93" s="134"/>
      <c r="E93" s="138"/>
      <c r="F93" s="83"/>
      <c r="G93" s="83"/>
      <c r="H93" s="83"/>
      <c r="I93" s="83"/>
      <c r="J93" s="83"/>
      <c r="K93" s="83"/>
      <c r="L93" s="83"/>
      <c r="M93" s="84"/>
      <c r="N93" s="84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>
      <c r="A94" s="83"/>
      <c r="B94" s="103"/>
      <c r="C94" s="83"/>
      <c r="D94" s="134"/>
      <c r="E94" s="138"/>
      <c r="F94" s="83"/>
      <c r="G94" s="83"/>
      <c r="H94" s="83"/>
      <c r="I94" s="83"/>
      <c r="J94" s="83"/>
      <c r="K94" s="83"/>
      <c r="L94" s="83"/>
      <c r="M94" s="84"/>
      <c r="N94" s="84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>
      <c r="A95" s="83"/>
      <c r="B95" s="103"/>
      <c r="C95" s="83"/>
      <c r="D95" s="134"/>
      <c r="E95" s="139"/>
      <c r="F95" s="83"/>
      <c r="G95" s="83"/>
      <c r="H95" s="83"/>
      <c r="I95" s="83"/>
      <c r="J95" s="83"/>
      <c r="K95" s="83"/>
      <c r="L95" s="83"/>
      <c r="M95" s="84"/>
      <c r="N95" s="84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>
      <c r="A96" s="83"/>
      <c r="B96" s="103"/>
      <c r="C96" s="83"/>
      <c r="D96" s="134"/>
      <c r="E96" s="138"/>
      <c r="F96" s="83"/>
      <c r="G96" s="83"/>
      <c r="H96" s="83"/>
      <c r="I96" s="83"/>
      <c r="J96" s="83"/>
      <c r="K96" s="83"/>
      <c r="L96" s="83"/>
      <c r="M96" s="84"/>
      <c r="N96" s="84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>
      <c r="A97" s="83"/>
      <c r="B97" s="103"/>
      <c r="C97" s="83"/>
      <c r="D97" s="134"/>
      <c r="E97" s="138"/>
      <c r="F97" s="83"/>
      <c r="G97" s="83"/>
      <c r="H97" s="83"/>
      <c r="I97" s="83"/>
      <c r="J97" s="83"/>
      <c r="K97" s="83"/>
      <c r="L97" s="83"/>
      <c r="M97" s="84"/>
      <c r="N97" s="84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>
      <c r="A98" s="83"/>
      <c r="B98" s="103"/>
      <c r="C98" s="83"/>
      <c r="D98" s="134"/>
      <c r="E98" s="138"/>
      <c r="F98" s="83"/>
      <c r="G98" s="83"/>
      <c r="H98" s="83"/>
      <c r="I98" s="83"/>
      <c r="J98" s="83"/>
      <c r="K98" s="83"/>
      <c r="L98" s="83"/>
      <c r="M98" s="84"/>
      <c r="N98" s="84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>
      <c r="A99" s="83"/>
      <c r="B99" s="84"/>
      <c r="C99" s="83"/>
      <c r="D99" s="134"/>
      <c r="E99" s="138"/>
      <c r="F99" s="83"/>
      <c r="G99" s="83"/>
      <c r="H99" s="83"/>
      <c r="I99" s="83"/>
      <c r="J99" s="83"/>
      <c r="K99" s="83"/>
      <c r="L99" s="83"/>
      <c r="M99" s="84"/>
      <c r="N99" s="84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>
      <c r="A100" s="83"/>
      <c r="B100" s="84"/>
      <c r="C100" s="83"/>
      <c r="D100" s="134"/>
      <c r="E100" s="138"/>
      <c r="F100" s="83"/>
      <c r="G100" s="83"/>
      <c r="H100" s="83"/>
      <c r="I100" s="83"/>
      <c r="J100" s="83"/>
      <c r="K100" s="83"/>
      <c r="L100" s="83"/>
      <c r="M100" s="84"/>
      <c r="N100" s="84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>
      <c r="A101" s="83"/>
      <c r="B101" s="84"/>
      <c r="C101" s="83"/>
      <c r="D101" s="134"/>
      <c r="E101" s="138"/>
      <c r="F101" s="83"/>
      <c r="G101" s="83"/>
      <c r="H101" s="83"/>
      <c r="I101" s="83"/>
      <c r="J101" s="83"/>
      <c r="K101" s="83"/>
      <c r="L101" s="83"/>
      <c r="M101" s="84"/>
      <c r="N101" s="84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>
      <c r="A102" s="83"/>
      <c r="B102" s="84"/>
      <c r="C102" s="83"/>
      <c r="D102" s="134"/>
      <c r="E102" s="138"/>
      <c r="F102" s="83"/>
      <c r="G102" s="83"/>
      <c r="H102" s="83"/>
      <c r="I102" s="83"/>
      <c r="J102" s="83"/>
      <c r="K102" s="83"/>
      <c r="L102" s="83"/>
      <c r="M102" s="84"/>
      <c r="N102" s="84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>
      <c r="A103" s="83"/>
      <c r="B103" s="84"/>
      <c r="C103" s="83"/>
      <c r="D103" s="134"/>
      <c r="E103" s="138"/>
      <c r="F103" s="83"/>
      <c r="G103" s="83"/>
      <c r="H103" s="83"/>
      <c r="I103" s="83"/>
      <c r="J103" s="83"/>
      <c r="K103" s="83"/>
      <c r="L103" s="83"/>
      <c r="M103" s="84"/>
      <c r="N103" s="84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>
      <c r="A104" s="83"/>
      <c r="B104" s="103"/>
      <c r="C104" s="83"/>
      <c r="D104" s="134"/>
      <c r="E104" s="138"/>
      <c r="F104" s="83"/>
      <c r="G104" s="83"/>
      <c r="H104" s="83"/>
      <c r="I104" s="83"/>
      <c r="J104" s="83"/>
      <c r="K104" s="83"/>
      <c r="L104" s="83"/>
      <c r="M104" s="84"/>
      <c r="N104" s="84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>
      <c r="A105" s="83"/>
      <c r="B105" s="103"/>
      <c r="C105" s="83"/>
      <c r="D105" s="134"/>
      <c r="E105" s="138"/>
      <c r="F105" s="83"/>
      <c r="G105" s="83"/>
      <c r="H105" s="83"/>
      <c r="I105" s="83"/>
      <c r="J105" s="83"/>
      <c r="K105" s="83"/>
      <c r="L105" s="83"/>
      <c r="M105" s="84"/>
      <c r="N105" s="84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>
      <c r="A106" s="83"/>
      <c r="C106" s="83"/>
      <c r="D106" s="134"/>
      <c r="E106" s="138"/>
      <c r="F106" s="83"/>
      <c r="G106" s="83"/>
      <c r="H106" s="83"/>
      <c r="I106" s="83"/>
      <c r="J106" s="83"/>
      <c r="K106" s="83"/>
      <c r="L106" s="83"/>
      <c r="M106" s="84"/>
      <c r="N106" s="84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>
      <c r="A107" s="83"/>
      <c r="B107" s="103"/>
      <c r="C107" s="83"/>
      <c r="D107" s="134"/>
      <c r="E107" s="138"/>
      <c r="F107" s="83"/>
      <c r="G107" s="83"/>
      <c r="H107" s="83"/>
      <c r="I107" s="83"/>
      <c r="J107" s="83"/>
      <c r="K107" s="83"/>
      <c r="L107" s="83"/>
      <c r="M107" s="84"/>
      <c r="N107" s="84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>
      <c r="A108" s="83"/>
      <c r="B108" s="103"/>
      <c r="C108" s="83"/>
      <c r="D108" s="134"/>
      <c r="E108" s="138"/>
      <c r="F108" s="83"/>
      <c r="G108" s="83"/>
      <c r="H108" s="83"/>
      <c r="I108" s="83"/>
      <c r="J108" s="83"/>
      <c r="K108" s="83"/>
      <c r="L108" s="83"/>
      <c r="M108" s="84"/>
      <c r="N108" s="84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>
      <c r="A109" s="83"/>
      <c r="B109" s="84"/>
      <c r="C109" s="83"/>
      <c r="D109" s="134"/>
      <c r="E109" s="138"/>
      <c r="F109" s="83"/>
      <c r="G109" s="83"/>
      <c r="H109" s="83"/>
      <c r="I109" s="83"/>
      <c r="J109" s="83"/>
      <c r="K109" s="83"/>
      <c r="L109" s="83"/>
      <c r="M109" s="84"/>
      <c r="N109" s="84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>
      <c r="A110" s="83"/>
      <c r="B110" s="84"/>
      <c r="C110" s="83"/>
      <c r="D110" s="134"/>
      <c r="E110" s="138"/>
      <c r="F110" s="83"/>
      <c r="G110" s="83"/>
      <c r="H110" s="83"/>
      <c r="I110" s="83"/>
      <c r="J110" s="83"/>
      <c r="K110" s="83"/>
      <c r="L110" s="83"/>
      <c r="M110" s="84"/>
      <c r="N110" s="84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>
      <c r="A111" s="83"/>
      <c r="B111" s="84"/>
      <c r="C111" s="83"/>
      <c r="D111" s="134"/>
      <c r="E111" s="138"/>
      <c r="F111" s="83"/>
      <c r="G111" s="83"/>
      <c r="H111" s="83"/>
      <c r="I111" s="83"/>
      <c r="J111" s="83"/>
      <c r="K111" s="83"/>
      <c r="L111" s="83"/>
      <c r="M111" s="84"/>
      <c r="N111" s="84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>
      <c r="A112" s="83"/>
      <c r="B112" s="84"/>
      <c r="C112" s="83"/>
      <c r="D112" s="134"/>
      <c r="E112" s="138"/>
      <c r="F112" s="83"/>
      <c r="G112" s="83"/>
      <c r="H112" s="83"/>
      <c r="I112" s="83"/>
      <c r="J112" s="83"/>
      <c r="K112" s="83"/>
      <c r="L112" s="83"/>
      <c r="M112" s="84"/>
      <c r="N112" s="84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>
      <c r="A113" s="83"/>
      <c r="B113" s="84"/>
      <c r="C113" s="83"/>
      <c r="D113" s="134"/>
      <c r="E113" s="138"/>
      <c r="F113" s="83"/>
      <c r="G113" s="83"/>
      <c r="H113" s="83"/>
      <c r="I113" s="83"/>
      <c r="J113" s="83"/>
      <c r="K113" s="83"/>
      <c r="L113" s="83"/>
      <c r="M113" s="84"/>
      <c r="N113" s="84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>
      <c r="A114" s="83"/>
      <c r="B114" s="84"/>
      <c r="C114" s="83"/>
      <c r="D114" s="134"/>
      <c r="E114" s="138"/>
      <c r="F114" s="83"/>
      <c r="G114" s="83"/>
      <c r="H114" s="83"/>
      <c r="I114" s="83"/>
      <c r="J114" s="83"/>
      <c r="K114" s="83"/>
      <c r="L114" s="83"/>
      <c r="M114" s="84"/>
      <c r="N114" s="84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>
      <c r="A115" s="83"/>
      <c r="B115" s="84"/>
      <c r="C115" s="83"/>
      <c r="D115" s="134"/>
      <c r="E115" s="138"/>
      <c r="F115" s="83"/>
      <c r="G115" s="83"/>
      <c r="H115" s="83"/>
      <c r="I115" s="83"/>
      <c r="J115" s="83"/>
      <c r="K115" s="83"/>
      <c r="L115" s="83"/>
      <c r="M115" s="84"/>
      <c r="N115" s="84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>
      <c r="A116" s="83"/>
      <c r="B116" s="84"/>
      <c r="C116" s="83"/>
      <c r="D116" s="134"/>
      <c r="E116" s="138"/>
      <c r="F116" s="83"/>
      <c r="G116" s="83"/>
      <c r="H116" s="83"/>
      <c r="I116" s="83"/>
      <c r="J116" s="83"/>
      <c r="K116" s="83"/>
      <c r="L116" s="83"/>
      <c r="M116" s="84"/>
      <c r="N116" s="84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>
      <c r="A117" s="83"/>
      <c r="B117" s="84"/>
      <c r="C117" s="83"/>
      <c r="D117" s="134"/>
      <c r="E117" s="138"/>
      <c r="F117" s="83"/>
      <c r="G117" s="83"/>
      <c r="H117" s="83"/>
      <c r="I117" s="83"/>
      <c r="J117" s="83"/>
      <c r="K117" s="83"/>
      <c r="L117" s="83"/>
      <c r="M117" s="84"/>
      <c r="N117" s="84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>
      <c r="A118" s="83"/>
      <c r="B118" s="103"/>
      <c r="C118" s="83"/>
      <c r="D118" s="134"/>
      <c r="E118" s="138"/>
      <c r="F118" s="83"/>
      <c r="G118" s="83"/>
      <c r="H118" s="83"/>
      <c r="I118" s="83"/>
      <c r="J118" s="83"/>
      <c r="K118" s="83"/>
      <c r="L118" s="83"/>
      <c r="M118" s="84"/>
      <c r="N118" s="84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>
      <c r="A119" s="83"/>
      <c r="B119" s="83"/>
      <c r="C119" s="83"/>
      <c r="D119" s="134"/>
      <c r="E119" s="138"/>
      <c r="F119" s="83"/>
      <c r="G119" s="83"/>
      <c r="H119" s="83"/>
      <c r="I119" s="83"/>
      <c r="J119" s="83"/>
      <c r="K119" s="83"/>
      <c r="L119" s="83"/>
      <c r="M119" s="84"/>
      <c r="N119" s="84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>
      <c r="A120" s="83"/>
      <c r="B120" s="83"/>
      <c r="C120" s="83"/>
      <c r="D120" s="134"/>
      <c r="E120" s="138"/>
      <c r="F120" s="83"/>
      <c r="G120" s="83"/>
      <c r="H120" s="83"/>
      <c r="I120" s="83"/>
      <c r="J120" s="83"/>
      <c r="K120" s="83"/>
      <c r="L120" s="83"/>
      <c r="M120" s="84"/>
      <c r="N120" s="84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>
      <c r="A121" s="83"/>
      <c r="B121" s="83"/>
      <c r="C121" s="83"/>
      <c r="D121" s="134"/>
      <c r="E121" s="138"/>
      <c r="F121" s="83"/>
      <c r="G121" s="83"/>
      <c r="H121" s="83"/>
      <c r="I121" s="83"/>
      <c r="J121" s="83"/>
      <c r="K121" s="83"/>
      <c r="L121" s="83"/>
      <c r="M121" s="84"/>
      <c r="N121" s="84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>
      <c r="A122" s="83"/>
      <c r="B122" s="83"/>
      <c r="C122" s="83"/>
      <c r="D122" s="134"/>
      <c r="E122" s="138"/>
      <c r="F122" s="83"/>
      <c r="G122" s="83"/>
      <c r="H122" s="83"/>
      <c r="I122" s="83"/>
      <c r="J122" s="83"/>
      <c r="K122" s="83"/>
      <c r="L122" s="83"/>
      <c r="M122" s="84"/>
      <c r="N122" s="84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>
      <c r="A123" s="83"/>
      <c r="B123" s="83"/>
      <c r="C123" s="83"/>
      <c r="D123" s="134"/>
      <c r="E123" s="138"/>
      <c r="F123" s="83"/>
      <c r="G123" s="83"/>
      <c r="H123" s="83"/>
      <c r="I123" s="83"/>
      <c r="J123" s="83"/>
      <c r="K123" s="83"/>
      <c r="L123" s="83"/>
      <c r="M123" s="84"/>
      <c r="N123" s="84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>
      <c r="A124" s="83"/>
      <c r="B124" s="91"/>
      <c r="C124" s="83"/>
      <c r="D124" s="134"/>
      <c r="E124" s="138"/>
      <c r="F124" s="83"/>
      <c r="G124" s="83"/>
      <c r="H124" s="83"/>
      <c r="I124" s="83"/>
      <c r="J124" s="83"/>
      <c r="K124" s="83"/>
      <c r="L124" s="83"/>
      <c r="M124" s="84"/>
      <c r="N124" s="84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>
      <c r="A125" s="83"/>
      <c r="B125" s="83"/>
      <c r="C125" s="83"/>
      <c r="D125" s="134"/>
      <c r="E125" s="138"/>
      <c r="F125" s="83"/>
      <c r="G125" s="83"/>
      <c r="H125" s="83"/>
      <c r="I125" s="83"/>
      <c r="J125" s="83"/>
      <c r="K125" s="83"/>
      <c r="L125" s="83"/>
      <c r="M125" s="84"/>
      <c r="N125" s="84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>
      <c r="A126" s="83"/>
      <c r="B126" s="91"/>
      <c r="C126" s="83"/>
      <c r="D126" s="134"/>
      <c r="E126" s="138"/>
      <c r="F126" s="83"/>
      <c r="G126" s="83"/>
      <c r="H126" s="83"/>
      <c r="I126" s="83"/>
      <c r="J126" s="83"/>
      <c r="K126" s="83"/>
      <c r="L126" s="83"/>
      <c r="M126" s="84"/>
      <c r="N126" s="84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>
      <c r="A127" s="83"/>
      <c r="B127" s="91"/>
      <c r="C127" s="83"/>
      <c r="D127" s="134"/>
      <c r="E127" s="138"/>
      <c r="F127" s="83"/>
      <c r="G127" s="83"/>
      <c r="H127" s="83"/>
      <c r="I127" s="83"/>
      <c r="J127" s="83"/>
      <c r="K127" s="83"/>
      <c r="L127" s="83"/>
      <c r="M127" s="84"/>
      <c r="N127" s="84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>
      <c r="A128" s="83"/>
      <c r="B128" s="83"/>
      <c r="C128" s="83"/>
      <c r="D128" s="134"/>
      <c r="E128" s="138"/>
      <c r="F128" s="83"/>
      <c r="G128" s="83"/>
      <c r="H128" s="83"/>
      <c r="I128" s="83"/>
      <c r="J128" s="83"/>
      <c r="K128" s="83"/>
      <c r="L128" s="83"/>
      <c r="M128" s="84"/>
      <c r="N128" s="84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>
      <c r="A129" s="83"/>
      <c r="B129" s="83"/>
      <c r="C129" s="83"/>
      <c r="D129" s="134"/>
      <c r="E129" s="138"/>
      <c r="F129" s="83"/>
      <c r="G129" s="83"/>
      <c r="H129" s="83"/>
      <c r="I129" s="83"/>
      <c r="J129" s="83"/>
      <c r="K129" s="83"/>
      <c r="L129" s="83"/>
      <c r="M129" s="84"/>
      <c r="N129" s="84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>
      <c r="A130" s="83"/>
      <c r="B130" s="83"/>
      <c r="C130" s="83"/>
      <c r="D130" s="134"/>
      <c r="E130" s="138"/>
      <c r="F130" s="83"/>
      <c r="G130" s="83"/>
      <c r="H130" s="83"/>
      <c r="I130" s="83"/>
      <c r="J130" s="83"/>
      <c r="K130" s="83"/>
      <c r="L130" s="83"/>
      <c r="M130" s="84"/>
      <c r="N130" s="84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>
      <c r="A131" s="83"/>
      <c r="B131" s="83"/>
      <c r="C131" s="83"/>
      <c r="D131" s="134"/>
      <c r="E131" s="138"/>
      <c r="F131" s="83"/>
      <c r="G131" s="83"/>
      <c r="H131" s="83"/>
      <c r="I131" s="83"/>
      <c r="J131" s="83"/>
      <c r="K131" s="83"/>
      <c r="L131" s="83"/>
      <c r="M131" s="84"/>
      <c r="N131" s="84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>
      <c r="A132" s="83"/>
      <c r="B132" s="83"/>
      <c r="C132" s="83"/>
      <c r="D132" s="134"/>
      <c r="E132" s="138"/>
      <c r="F132" s="83"/>
      <c r="G132" s="83"/>
      <c r="H132" s="83"/>
      <c r="I132" s="83"/>
      <c r="J132" s="83"/>
      <c r="K132" s="83"/>
      <c r="L132" s="83"/>
      <c r="M132" s="84"/>
      <c r="N132" s="84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>
      <c r="A133" s="83"/>
      <c r="B133" s="83"/>
      <c r="C133" s="83"/>
      <c r="D133" s="134"/>
      <c r="E133" s="138"/>
      <c r="F133" s="83"/>
      <c r="G133" s="83"/>
      <c r="H133" s="83"/>
      <c r="I133" s="83"/>
      <c r="J133" s="83"/>
      <c r="K133" s="83"/>
      <c r="L133" s="83"/>
      <c r="M133" s="84"/>
      <c r="N133" s="84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>
      <c r="A134" s="83"/>
      <c r="B134" s="83"/>
      <c r="C134" s="83"/>
      <c r="D134" s="134"/>
      <c r="E134" s="138"/>
      <c r="F134" s="83"/>
      <c r="G134" s="83"/>
      <c r="H134" s="83"/>
      <c r="I134" s="83"/>
      <c r="J134" s="83"/>
      <c r="K134" s="83"/>
      <c r="L134" s="83"/>
      <c r="M134" s="84"/>
      <c r="N134" s="84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>
      <c r="A135" s="83"/>
      <c r="B135" s="83"/>
      <c r="C135" s="83"/>
      <c r="D135" s="134"/>
      <c r="E135" s="138"/>
      <c r="F135" s="83"/>
      <c r="G135" s="83"/>
      <c r="H135" s="83"/>
      <c r="I135" s="83"/>
      <c r="J135" s="83"/>
      <c r="K135" s="83"/>
      <c r="L135" s="83"/>
      <c r="M135" s="84"/>
      <c r="N135" s="84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>
      <c r="A136" s="83"/>
      <c r="B136" s="91"/>
      <c r="C136" s="83"/>
      <c r="D136" s="134"/>
      <c r="E136" s="138"/>
      <c r="F136" s="83"/>
      <c r="G136" s="83"/>
      <c r="H136" s="83"/>
      <c r="I136" s="83"/>
      <c r="J136" s="83"/>
      <c r="K136" s="83"/>
      <c r="L136" s="83"/>
      <c r="M136" s="84"/>
      <c r="N136" s="84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>
      <c r="A137" s="83"/>
      <c r="B137" s="91"/>
      <c r="C137" s="83"/>
      <c r="D137" s="134"/>
      <c r="E137" s="138"/>
      <c r="F137" s="83"/>
      <c r="G137" s="83"/>
      <c r="H137" s="83"/>
      <c r="I137" s="83"/>
      <c r="J137" s="83"/>
      <c r="K137" s="83"/>
      <c r="L137" s="83"/>
      <c r="M137" s="84"/>
      <c r="N137" s="84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>
      <c r="A138" s="83"/>
      <c r="B138" s="91"/>
      <c r="C138" s="83"/>
      <c r="D138" s="134"/>
      <c r="E138" s="138"/>
      <c r="F138" s="83"/>
      <c r="G138" s="83"/>
      <c r="H138" s="83"/>
      <c r="I138" s="83"/>
      <c r="J138" s="83"/>
      <c r="K138" s="83"/>
      <c r="L138" s="83"/>
      <c r="M138" s="84"/>
      <c r="N138" s="84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>
      <c r="A139" s="83"/>
      <c r="B139" s="83"/>
      <c r="C139" s="83"/>
      <c r="D139" s="134"/>
      <c r="E139" s="138"/>
      <c r="F139" s="83"/>
      <c r="G139" s="83"/>
      <c r="H139" s="83"/>
      <c r="I139" s="83"/>
      <c r="J139" s="83"/>
      <c r="K139" s="83"/>
      <c r="L139" s="83"/>
      <c r="M139" s="84"/>
      <c r="N139" s="84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>
      <c r="A140" s="83"/>
      <c r="B140" s="83"/>
      <c r="C140" s="83"/>
      <c r="D140" s="134"/>
      <c r="E140" s="138"/>
      <c r="F140" s="83"/>
      <c r="G140" s="83"/>
      <c r="H140" s="83"/>
      <c r="I140" s="83"/>
      <c r="J140" s="83"/>
      <c r="K140" s="83"/>
      <c r="L140" s="83"/>
      <c r="M140" s="84"/>
      <c r="N140" s="84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>
      <c r="A141" s="83"/>
      <c r="B141" s="83"/>
      <c r="C141" s="83"/>
      <c r="D141" s="134"/>
      <c r="E141" s="138"/>
      <c r="F141" s="83"/>
      <c r="G141" s="83"/>
      <c r="H141" s="83"/>
      <c r="I141" s="83"/>
      <c r="J141" s="83"/>
      <c r="K141" s="83"/>
      <c r="L141" s="83"/>
      <c r="M141" s="84"/>
      <c r="N141" s="84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>
      <c r="A142" s="83"/>
      <c r="B142" s="83"/>
      <c r="C142" s="83"/>
      <c r="D142" s="134"/>
      <c r="E142" s="138"/>
      <c r="F142" s="83"/>
      <c r="G142" s="83"/>
      <c r="H142" s="83"/>
      <c r="I142" s="83"/>
      <c r="J142" s="83"/>
      <c r="K142" s="83"/>
      <c r="L142" s="83"/>
      <c r="M142" s="84"/>
      <c r="N142" s="84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>
      <c r="A143" s="83"/>
      <c r="B143" s="83"/>
      <c r="C143" s="83"/>
      <c r="D143" s="134"/>
      <c r="E143" s="138"/>
      <c r="F143" s="83"/>
      <c r="G143" s="83"/>
      <c r="H143" s="83"/>
      <c r="I143" s="83"/>
      <c r="J143" s="83"/>
      <c r="K143" s="83"/>
      <c r="L143" s="83"/>
      <c r="M143" s="84"/>
      <c r="N143" s="84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>
      <c r="A144" s="83"/>
      <c r="B144" s="83"/>
      <c r="C144" s="83"/>
      <c r="D144" s="134"/>
      <c r="E144" s="138"/>
      <c r="F144" s="83"/>
      <c r="G144" s="83"/>
      <c r="H144" s="83"/>
      <c r="I144" s="83"/>
      <c r="J144" s="83"/>
      <c r="K144" s="83"/>
      <c r="L144" s="83"/>
      <c r="M144" s="84"/>
      <c r="N144" s="84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>
      <c r="A145" s="83"/>
      <c r="B145" s="83"/>
      <c r="C145" s="83"/>
      <c r="D145" s="134"/>
      <c r="E145" s="138"/>
      <c r="F145" s="83"/>
      <c r="G145" s="83"/>
      <c r="H145" s="83"/>
      <c r="I145" s="83"/>
      <c r="J145" s="83"/>
      <c r="K145" s="83"/>
      <c r="L145" s="83"/>
      <c r="M145" s="84"/>
      <c r="N145" s="84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>
      <c r="A146" s="83"/>
      <c r="B146" s="83"/>
      <c r="C146" s="83"/>
      <c r="D146" s="134"/>
      <c r="E146" s="138"/>
      <c r="F146" s="83"/>
      <c r="G146" s="83"/>
      <c r="H146" s="83"/>
      <c r="I146" s="83"/>
      <c r="J146" s="83"/>
      <c r="K146" s="83"/>
      <c r="L146" s="83"/>
      <c r="M146" s="84"/>
      <c r="N146" s="84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>
      <c r="A147" s="83"/>
      <c r="B147" s="83"/>
      <c r="C147" s="83"/>
      <c r="D147" s="134"/>
      <c r="E147" s="138"/>
      <c r="F147" s="83"/>
      <c r="G147" s="83"/>
      <c r="H147" s="83"/>
      <c r="I147" s="83"/>
      <c r="J147" s="83"/>
      <c r="K147" s="83"/>
      <c r="L147" s="83"/>
      <c r="M147" s="84"/>
      <c r="N147" s="84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>
      <c r="A148" s="83"/>
      <c r="B148" s="83"/>
      <c r="C148" s="83"/>
      <c r="D148" s="134"/>
      <c r="E148" s="138"/>
      <c r="F148" s="83"/>
      <c r="G148" s="83"/>
      <c r="H148" s="83"/>
      <c r="I148" s="83"/>
      <c r="J148" s="83"/>
      <c r="K148" s="83"/>
      <c r="L148" s="83"/>
      <c r="M148" s="84"/>
      <c r="N148" s="84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>
      <c r="A149" s="83"/>
      <c r="B149" s="83"/>
      <c r="C149" s="83"/>
      <c r="D149" s="134"/>
      <c r="E149" s="138"/>
      <c r="F149" s="83"/>
      <c r="G149" s="83"/>
      <c r="H149" s="83"/>
      <c r="I149" s="83"/>
      <c r="J149" s="83"/>
      <c r="K149" s="83"/>
      <c r="L149" s="83"/>
      <c r="M149" s="84"/>
      <c r="N149" s="84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>
      <c r="A150" s="83"/>
      <c r="B150" s="83"/>
      <c r="C150" s="83"/>
      <c r="D150" s="134"/>
      <c r="E150" s="138"/>
      <c r="F150" s="83"/>
      <c r="G150" s="83"/>
      <c r="H150" s="83"/>
      <c r="I150" s="83"/>
      <c r="J150" s="83"/>
      <c r="K150" s="83"/>
      <c r="L150" s="83"/>
      <c r="M150" s="84"/>
      <c r="N150" s="84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>
      <c r="A151" s="83"/>
      <c r="B151" s="91"/>
      <c r="C151" s="83"/>
      <c r="D151" s="134"/>
      <c r="E151" s="138"/>
      <c r="F151" s="83"/>
      <c r="G151" s="91">
        <v>11.0</v>
      </c>
      <c r="H151" s="83"/>
      <c r="I151" s="83"/>
      <c r="J151" s="83"/>
      <c r="K151" s="83"/>
      <c r="L151" s="83"/>
      <c r="M151" s="84"/>
      <c r="N151" s="84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>
      <c r="A152" s="83"/>
      <c r="B152" s="91"/>
      <c r="C152" s="83"/>
      <c r="D152" s="134"/>
      <c r="E152" s="138"/>
      <c r="F152" s="83"/>
      <c r="G152" s="83"/>
      <c r="H152" s="83"/>
      <c r="I152" s="83"/>
      <c r="J152" s="83"/>
      <c r="K152" s="83"/>
      <c r="L152" s="83"/>
      <c r="M152" s="84"/>
      <c r="N152" s="84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>
      <c r="A153" s="83"/>
      <c r="B153" s="83"/>
      <c r="C153" s="83"/>
      <c r="D153" s="134"/>
      <c r="E153" s="138"/>
      <c r="F153" s="83"/>
      <c r="G153" s="83"/>
      <c r="H153" s="83"/>
      <c r="I153" s="83"/>
      <c r="J153" s="83"/>
      <c r="K153" s="83"/>
      <c r="L153" s="83"/>
      <c r="M153" s="84"/>
      <c r="N153" s="84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>
      <c r="A154" s="83"/>
      <c r="B154" s="83"/>
      <c r="C154" s="83"/>
      <c r="D154" s="134"/>
      <c r="E154" s="138"/>
      <c r="F154" s="83"/>
      <c r="G154" s="83"/>
      <c r="H154" s="83"/>
      <c r="I154" s="83"/>
      <c r="J154" s="83"/>
      <c r="K154" s="83"/>
      <c r="L154" s="83"/>
      <c r="M154" s="84"/>
      <c r="N154" s="84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>
      <c r="A155" s="83"/>
      <c r="B155" s="83"/>
      <c r="C155" s="83"/>
      <c r="D155" s="134"/>
      <c r="E155" s="138"/>
      <c r="F155" s="83"/>
      <c r="G155" s="83"/>
      <c r="H155" s="83"/>
      <c r="I155" s="83"/>
      <c r="J155" s="83"/>
      <c r="K155" s="83"/>
      <c r="L155" s="83"/>
      <c r="M155" s="84"/>
      <c r="N155" s="84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>
      <c r="A156" s="83"/>
      <c r="B156" s="83"/>
      <c r="C156" s="83"/>
      <c r="D156" s="134"/>
      <c r="E156" s="138"/>
      <c r="F156" s="83"/>
      <c r="G156" s="83"/>
      <c r="H156" s="83"/>
      <c r="I156" s="83"/>
      <c r="J156" s="83"/>
      <c r="K156" s="83"/>
      <c r="L156" s="83"/>
      <c r="M156" s="84"/>
      <c r="N156" s="84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>
      <c r="A157" s="83"/>
      <c r="B157" s="83"/>
      <c r="C157" s="83"/>
      <c r="D157" s="134"/>
      <c r="E157" s="138"/>
      <c r="F157" s="83"/>
      <c r="G157" s="83"/>
      <c r="H157" s="83"/>
      <c r="I157" s="83"/>
      <c r="J157" s="83"/>
      <c r="K157" s="83"/>
      <c r="L157" s="83"/>
      <c r="M157" s="84"/>
      <c r="N157" s="84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>
      <c r="A158" s="83"/>
      <c r="B158" s="83"/>
      <c r="C158" s="83"/>
      <c r="D158" s="134"/>
      <c r="E158" s="138"/>
      <c r="F158" s="83"/>
      <c r="G158" s="83"/>
      <c r="H158" s="83"/>
      <c r="I158" s="83"/>
      <c r="J158" s="83"/>
      <c r="K158" s="83"/>
      <c r="L158" s="83"/>
      <c r="M158" s="84"/>
      <c r="N158" s="84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>
      <c r="A159" s="83"/>
      <c r="B159" s="83"/>
      <c r="C159" s="83"/>
      <c r="D159" s="134"/>
      <c r="E159" s="138"/>
      <c r="F159" s="83"/>
      <c r="G159" s="83"/>
      <c r="H159" s="83"/>
      <c r="I159" s="83"/>
      <c r="J159" s="83"/>
      <c r="K159" s="83"/>
      <c r="L159" s="83"/>
      <c r="M159" s="84"/>
      <c r="N159" s="84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>
      <c r="A160" s="83"/>
      <c r="B160" s="83"/>
      <c r="C160" s="83"/>
      <c r="D160" s="134"/>
      <c r="E160" s="138"/>
      <c r="F160" s="83"/>
      <c r="G160" s="83"/>
      <c r="H160" s="83"/>
      <c r="I160" s="83"/>
      <c r="J160" s="83"/>
      <c r="K160" s="83"/>
      <c r="L160" s="83"/>
      <c r="M160" s="84"/>
      <c r="N160" s="84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>
      <c r="A161" s="83"/>
      <c r="B161" s="83"/>
      <c r="C161" s="83"/>
      <c r="D161" s="134"/>
      <c r="E161" s="138"/>
      <c r="F161" s="83"/>
      <c r="G161" s="83"/>
      <c r="H161" s="83"/>
      <c r="I161" s="83"/>
      <c r="J161" s="83"/>
      <c r="K161" s="83"/>
      <c r="L161" s="83"/>
      <c r="M161" s="84"/>
      <c r="N161" s="84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>
      <c r="A162" s="83"/>
      <c r="B162" s="83"/>
      <c r="C162" s="83"/>
      <c r="D162" s="134"/>
      <c r="E162" s="138"/>
      <c r="F162" s="83"/>
      <c r="G162" s="83"/>
      <c r="H162" s="83"/>
      <c r="I162" s="83"/>
      <c r="J162" s="83"/>
      <c r="K162" s="83"/>
      <c r="L162" s="83"/>
      <c r="M162" s="84"/>
      <c r="N162" s="84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>
      <c r="A163" s="83"/>
      <c r="B163" s="83"/>
      <c r="C163" s="83"/>
      <c r="D163" s="134"/>
      <c r="E163" s="138"/>
      <c r="F163" s="83"/>
      <c r="G163" s="83"/>
      <c r="H163" s="83"/>
      <c r="I163" s="83"/>
      <c r="J163" s="83"/>
      <c r="K163" s="83"/>
      <c r="L163" s="83"/>
      <c r="M163" s="84"/>
      <c r="N163" s="84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>
      <c r="A164" s="83"/>
      <c r="B164" s="83"/>
      <c r="C164" s="83"/>
      <c r="D164" s="134"/>
      <c r="E164" s="138"/>
      <c r="F164" s="83"/>
      <c r="G164" s="83"/>
      <c r="H164" s="83"/>
      <c r="I164" s="83"/>
      <c r="J164" s="83"/>
      <c r="K164" s="83"/>
      <c r="L164" s="83"/>
      <c r="M164" s="84"/>
      <c r="N164" s="84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>
      <c r="A165" s="83"/>
      <c r="B165" s="83"/>
      <c r="C165" s="83"/>
      <c r="D165" s="134"/>
      <c r="E165" s="138"/>
      <c r="F165" s="83"/>
      <c r="G165" s="83"/>
      <c r="H165" s="83"/>
      <c r="I165" s="83"/>
      <c r="J165" s="83"/>
      <c r="K165" s="83"/>
      <c r="L165" s="83"/>
      <c r="M165" s="84"/>
      <c r="N165" s="84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>
      <c r="A166" s="83"/>
      <c r="B166" s="83"/>
      <c r="C166" s="83"/>
      <c r="D166" s="134"/>
      <c r="E166" s="138"/>
      <c r="F166" s="83"/>
      <c r="G166" s="83"/>
      <c r="H166" s="83"/>
      <c r="I166" s="83"/>
      <c r="J166" s="83"/>
      <c r="K166" s="83"/>
      <c r="L166" s="83"/>
      <c r="M166" s="84"/>
      <c r="N166" s="84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>
      <c r="A167" s="83"/>
      <c r="B167" s="83"/>
      <c r="C167" s="83"/>
      <c r="D167" s="134"/>
      <c r="E167" s="138"/>
      <c r="F167" s="83"/>
      <c r="G167" s="83"/>
      <c r="H167" s="83"/>
      <c r="I167" s="83"/>
      <c r="J167" s="83"/>
      <c r="K167" s="83"/>
      <c r="L167" s="83"/>
      <c r="M167" s="84"/>
      <c r="N167" s="84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>
      <c r="A168" s="83"/>
      <c r="B168" s="83"/>
      <c r="C168" s="83"/>
      <c r="D168" s="134"/>
      <c r="E168" s="138"/>
      <c r="F168" s="83"/>
      <c r="G168" s="83"/>
      <c r="H168" s="83"/>
      <c r="I168" s="83"/>
      <c r="J168" s="83"/>
      <c r="K168" s="83"/>
      <c r="L168" s="83"/>
      <c r="M168" s="84"/>
      <c r="N168" s="84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>
      <c r="A169" s="83"/>
      <c r="B169" s="83"/>
      <c r="C169" s="83"/>
      <c r="D169" s="134"/>
      <c r="E169" s="138"/>
      <c r="F169" s="83"/>
      <c r="G169" s="83"/>
      <c r="H169" s="83"/>
      <c r="I169" s="83"/>
      <c r="J169" s="83"/>
      <c r="K169" s="83"/>
      <c r="L169" s="83"/>
      <c r="M169" s="84"/>
      <c r="N169" s="84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>
      <c r="A170" s="83"/>
      <c r="B170" s="83"/>
      <c r="C170" s="83"/>
      <c r="D170" s="134"/>
      <c r="E170" s="138"/>
      <c r="F170" s="83"/>
      <c r="G170" s="83"/>
      <c r="H170" s="83"/>
      <c r="I170" s="83"/>
      <c r="J170" s="83"/>
      <c r="K170" s="83"/>
      <c r="L170" s="83"/>
      <c r="M170" s="84"/>
      <c r="N170" s="84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>
      <c r="A171" s="83"/>
      <c r="B171" s="83"/>
      <c r="C171" s="83"/>
      <c r="D171" s="134"/>
      <c r="E171" s="138"/>
      <c r="F171" s="83"/>
      <c r="G171" s="83"/>
      <c r="H171" s="83"/>
      <c r="I171" s="83"/>
      <c r="J171" s="83"/>
      <c r="K171" s="83"/>
      <c r="L171" s="83"/>
      <c r="M171" s="84"/>
      <c r="N171" s="84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>
      <c r="A172" s="83"/>
      <c r="B172" s="83"/>
      <c r="C172" s="83"/>
      <c r="D172" s="134"/>
      <c r="E172" s="138"/>
      <c r="F172" s="83"/>
      <c r="G172" s="83"/>
      <c r="H172" s="83"/>
      <c r="I172" s="83"/>
      <c r="J172" s="83"/>
      <c r="K172" s="83"/>
      <c r="L172" s="83"/>
      <c r="M172" s="84"/>
      <c r="N172" s="84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>
      <c r="A173" s="83"/>
      <c r="B173" s="83"/>
      <c r="C173" s="83"/>
      <c r="D173" s="134"/>
      <c r="E173" s="138"/>
      <c r="F173" s="83"/>
      <c r="G173" s="83"/>
      <c r="H173" s="83"/>
      <c r="I173" s="83"/>
      <c r="J173" s="83"/>
      <c r="K173" s="83"/>
      <c r="L173" s="83"/>
      <c r="M173" s="84"/>
      <c r="N173" s="84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>
      <c r="A174" s="83"/>
      <c r="B174" s="83"/>
      <c r="C174" s="83"/>
      <c r="D174" s="134"/>
      <c r="E174" s="138"/>
      <c r="F174" s="83"/>
      <c r="G174" s="83"/>
      <c r="H174" s="83"/>
      <c r="I174" s="83"/>
      <c r="J174" s="83"/>
      <c r="K174" s="83"/>
      <c r="L174" s="83"/>
      <c r="M174" s="84"/>
      <c r="N174" s="84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>
      <c r="A175" s="83"/>
      <c r="B175" s="83"/>
      <c r="C175" s="83"/>
      <c r="D175" s="134"/>
      <c r="E175" s="138"/>
      <c r="F175" s="83"/>
      <c r="G175" s="83"/>
      <c r="H175" s="83"/>
      <c r="I175" s="83"/>
      <c r="J175" s="83"/>
      <c r="K175" s="83"/>
      <c r="L175" s="83"/>
      <c r="M175" s="84"/>
      <c r="N175" s="84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>
      <c r="A176" s="83"/>
      <c r="B176" s="83"/>
      <c r="C176" s="83"/>
      <c r="D176" s="134"/>
      <c r="E176" s="138"/>
      <c r="F176" s="83"/>
      <c r="G176" s="83"/>
      <c r="H176" s="83"/>
      <c r="I176" s="83"/>
      <c r="J176" s="83"/>
      <c r="K176" s="83"/>
      <c r="L176" s="83"/>
      <c r="M176" s="84"/>
      <c r="N176" s="84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>
      <c r="A177" s="83"/>
      <c r="B177" s="83"/>
      <c r="C177" s="83"/>
      <c r="D177" s="134"/>
      <c r="E177" s="138"/>
      <c r="F177" s="83"/>
      <c r="G177" s="83"/>
      <c r="H177" s="83"/>
      <c r="I177" s="83"/>
      <c r="J177" s="83"/>
      <c r="K177" s="83"/>
      <c r="L177" s="83"/>
      <c r="M177" s="84"/>
      <c r="N177" s="84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>
      <c r="A178" s="83"/>
      <c r="B178" s="83"/>
      <c r="C178" s="83"/>
      <c r="D178" s="134"/>
      <c r="E178" s="138"/>
      <c r="F178" s="83"/>
      <c r="G178" s="83"/>
      <c r="H178" s="83"/>
      <c r="I178" s="83"/>
      <c r="J178" s="83"/>
      <c r="K178" s="83"/>
      <c r="L178" s="83"/>
      <c r="M178" s="84"/>
      <c r="N178" s="84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>
      <c r="A179" s="83"/>
      <c r="B179" s="83"/>
      <c r="C179" s="83"/>
      <c r="D179" s="134"/>
      <c r="E179" s="138"/>
      <c r="F179" s="83"/>
      <c r="H179" s="83"/>
      <c r="I179" s="83"/>
      <c r="J179" s="83"/>
      <c r="K179" s="83"/>
      <c r="L179" s="83"/>
      <c r="M179" s="84"/>
      <c r="N179" s="84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>
      <c r="A180" s="83"/>
      <c r="B180" s="83"/>
      <c r="C180" s="83"/>
      <c r="D180" s="134"/>
      <c r="E180" s="138"/>
      <c r="F180" s="83"/>
      <c r="G180" s="83"/>
      <c r="H180" s="83"/>
      <c r="I180" s="83"/>
      <c r="J180" s="83"/>
      <c r="K180" s="83"/>
      <c r="L180" s="83"/>
      <c r="M180" s="84"/>
      <c r="N180" s="84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>
      <c r="A181" s="83"/>
      <c r="B181" s="83"/>
      <c r="C181" s="83"/>
      <c r="D181" s="134"/>
      <c r="E181" s="138"/>
      <c r="F181" s="83"/>
      <c r="G181" s="83"/>
      <c r="H181" s="83"/>
      <c r="I181" s="83"/>
      <c r="J181" s="83"/>
      <c r="K181" s="83"/>
      <c r="L181" s="83"/>
      <c r="M181" s="84"/>
      <c r="N181" s="84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>
      <c r="A182" s="83"/>
      <c r="B182" s="83"/>
      <c r="C182" s="83"/>
      <c r="D182" s="134"/>
      <c r="E182" s="138"/>
      <c r="F182" s="83"/>
      <c r="G182" s="83"/>
      <c r="H182" s="83"/>
      <c r="I182" s="83"/>
      <c r="J182" s="83"/>
      <c r="K182" s="83"/>
      <c r="L182" s="83"/>
      <c r="M182" s="84"/>
      <c r="N182" s="84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>
      <c r="A183" s="83"/>
      <c r="B183" s="83"/>
      <c r="C183" s="83"/>
      <c r="D183" s="134"/>
      <c r="E183" s="138"/>
      <c r="F183" s="83"/>
      <c r="G183" s="83"/>
      <c r="H183" s="83"/>
      <c r="I183" s="83"/>
      <c r="J183" s="83"/>
      <c r="K183" s="83"/>
      <c r="L183" s="83"/>
      <c r="M183" s="84"/>
      <c r="N183" s="84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>
      <c r="A184" s="83"/>
      <c r="B184" s="83"/>
      <c r="C184" s="83"/>
      <c r="D184" s="134"/>
      <c r="E184" s="138"/>
      <c r="F184" s="83"/>
      <c r="G184" s="83"/>
      <c r="H184" s="83"/>
      <c r="I184" s="83"/>
      <c r="J184" s="83"/>
      <c r="K184" s="83"/>
      <c r="L184" s="83"/>
      <c r="M184" s="84"/>
      <c r="N184" s="84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>
      <c r="A185" s="83"/>
      <c r="B185" s="83"/>
      <c r="C185" s="83"/>
      <c r="D185" s="134"/>
      <c r="E185" s="138"/>
      <c r="F185" s="83"/>
      <c r="G185" s="83"/>
      <c r="H185" s="83"/>
      <c r="I185" s="83"/>
      <c r="J185" s="83"/>
      <c r="K185" s="83"/>
      <c r="L185" s="83"/>
      <c r="M185" s="84"/>
      <c r="N185" s="84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>
      <c r="A186" s="83"/>
      <c r="B186" s="83"/>
      <c r="C186" s="83"/>
      <c r="D186" s="134"/>
      <c r="E186" s="138"/>
      <c r="F186" s="83"/>
      <c r="G186" s="83"/>
      <c r="H186" s="83"/>
      <c r="I186" s="83"/>
      <c r="J186" s="83"/>
      <c r="K186" s="83"/>
      <c r="L186" s="83"/>
      <c r="M186" s="84"/>
      <c r="N186" s="84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>
      <c r="A187" s="83"/>
      <c r="B187" s="83"/>
      <c r="C187" s="83"/>
      <c r="D187" s="134"/>
      <c r="E187" s="138"/>
      <c r="F187" s="83"/>
      <c r="G187" s="83"/>
      <c r="H187" s="83"/>
      <c r="I187" s="83"/>
      <c r="J187" s="83"/>
      <c r="K187" s="83"/>
      <c r="L187" s="83"/>
      <c r="M187" s="84"/>
      <c r="N187" s="84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>
      <c r="A188" s="83"/>
      <c r="B188" s="91"/>
      <c r="C188" s="83"/>
      <c r="D188" s="134"/>
      <c r="E188" s="138"/>
      <c r="F188" s="83"/>
      <c r="G188" s="83"/>
      <c r="H188" s="83"/>
      <c r="I188" s="83"/>
      <c r="J188" s="83"/>
      <c r="K188" s="83"/>
      <c r="L188" s="83"/>
      <c r="M188" s="84"/>
      <c r="N188" s="84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>
      <c r="A189" s="83"/>
      <c r="B189" s="91"/>
      <c r="C189" s="83"/>
      <c r="D189" s="134"/>
      <c r="E189" s="138"/>
      <c r="F189" s="83"/>
      <c r="G189" s="83"/>
      <c r="H189" s="83"/>
      <c r="I189" s="83"/>
      <c r="J189" s="83"/>
      <c r="K189" s="83"/>
      <c r="L189" s="83"/>
      <c r="M189" s="84"/>
      <c r="N189" s="84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>
      <c r="A190" s="83"/>
      <c r="B190" s="91"/>
      <c r="C190" s="83"/>
      <c r="D190" s="134"/>
      <c r="E190" s="138"/>
      <c r="F190" s="83"/>
      <c r="G190" s="83"/>
      <c r="H190" s="83"/>
      <c r="I190" s="83"/>
      <c r="J190" s="83"/>
      <c r="K190" s="83"/>
      <c r="L190" s="83"/>
      <c r="M190" s="84"/>
      <c r="N190" s="84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>
      <c r="A191" s="83"/>
      <c r="B191" s="91"/>
      <c r="C191" s="83"/>
      <c r="D191" s="134"/>
      <c r="E191" s="138"/>
      <c r="F191" s="83"/>
      <c r="G191" s="83"/>
      <c r="H191" s="83"/>
      <c r="I191" s="83"/>
      <c r="J191" s="83"/>
      <c r="K191" s="83"/>
      <c r="L191" s="83"/>
      <c r="M191" s="84"/>
      <c r="N191" s="84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>
      <c r="A192" s="83"/>
      <c r="B192" s="91"/>
      <c r="C192" s="83"/>
      <c r="D192" s="134"/>
      <c r="E192" s="138"/>
      <c r="F192" s="83"/>
      <c r="G192" s="83"/>
      <c r="H192" s="83"/>
      <c r="I192" s="83"/>
      <c r="J192" s="83"/>
      <c r="K192" s="83"/>
      <c r="L192" s="83"/>
      <c r="M192" s="84"/>
      <c r="N192" s="84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>
      <c r="A193" s="83"/>
      <c r="B193" s="91"/>
      <c r="C193" s="83"/>
      <c r="D193" s="134"/>
      <c r="E193" s="138"/>
      <c r="F193" s="83"/>
      <c r="G193" s="83"/>
      <c r="H193" s="83"/>
      <c r="I193" s="83"/>
      <c r="J193" s="83"/>
      <c r="K193" s="83"/>
      <c r="L193" s="83"/>
      <c r="M193" s="84"/>
      <c r="N193" s="84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>
      <c r="A194" s="83"/>
      <c r="B194" s="83"/>
      <c r="C194" s="83"/>
      <c r="D194" s="134"/>
      <c r="E194" s="138"/>
      <c r="F194" s="83"/>
      <c r="G194" s="83"/>
      <c r="H194" s="83"/>
      <c r="I194" s="83"/>
      <c r="J194" s="83"/>
      <c r="K194" s="83"/>
      <c r="L194" s="83"/>
      <c r="M194" s="84"/>
      <c r="N194" s="84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>
      <c r="A195" s="83"/>
      <c r="B195" s="83"/>
      <c r="C195" s="83"/>
      <c r="D195" s="134"/>
      <c r="E195" s="138"/>
      <c r="F195" s="83"/>
      <c r="G195" s="83"/>
      <c r="H195" s="83"/>
      <c r="I195" s="83"/>
      <c r="J195" s="83"/>
      <c r="K195" s="83"/>
      <c r="L195" s="83"/>
      <c r="M195" s="84"/>
      <c r="N195" s="84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>
      <c r="A196" s="83"/>
      <c r="B196" s="83"/>
      <c r="C196" s="83"/>
      <c r="D196" s="134"/>
      <c r="E196" s="138"/>
      <c r="F196" s="83"/>
      <c r="G196" s="83"/>
      <c r="H196" s="83"/>
      <c r="I196" s="83"/>
      <c r="J196" s="83"/>
      <c r="K196" s="83"/>
      <c r="L196" s="83"/>
      <c r="M196" s="84"/>
      <c r="N196" s="84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>
      <c r="A197" s="83"/>
      <c r="B197" s="83"/>
      <c r="C197" s="83"/>
      <c r="D197" s="134"/>
      <c r="E197" s="138"/>
      <c r="F197" s="83"/>
      <c r="G197" s="83"/>
      <c r="H197" s="83"/>
      <c r="I197" s="83"/>
      <c r="J197" s="83"/>
      <c r="K197" s="83"/>
      <c r="L197" s="83"/>
      <c r="M197" s="84"/>
      <c r="N197" s="84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>
      <c r="A198" s="83"/>
      <c r="B198" s="83"/>
      <c r="C198" s="83"/>
      <c r="D198" s="134"/>
      <c r="E198" s="138"/>
      <c r="F198" s="83"/>
      <c r="G198" s="83"/>
      <c r="H198" s="83"/>
      <c r="I198" s="83"/>
      <c r="J198" s="83"/>
      <c r="K198" s="83"/>
      <c r="L198" s="83"/>
      <c r="M198" s="84"/>
      <c r="N198" s="84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>
      <c r="A199" s="83"/>
      <c r="B199" s="83"/>
      <c r="C199" s="83"/>
      <c r="D199" s="134"/>
      <c r="E199" s="138"/>
      <c r="F199" s="83"/>
      <c r="G199" s="83"/>
      <c r="H199" s="83"/>
      <c r="I199" s="83"/>
      <c r="J199" s="83"/>
      <c r="K199" s="83"/>
      <c r="L199" s="83"/>
      <c r="M199" s="84"/>
      <c r="N199" s="84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>
      <c r="A200" s="83"/>
      <c r="B200" s="83"/>
      <c r="C200" s="83"/>
      <c r="D200" s="134"/>
      <c r="E200" s="138"/>
      <c r="F200" s="83"/>
      <c r="G200" s="83"/>
      <c r="H200" s="83"/>
      <c r="I200" s="83"/>
      <c r="J200" s="83"/>
      <c r="K200" s="83"/>
      <c r="L200" s="83"/>
      <c r="M200" s="84"/>
      <c r="N200" s="84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>
      <c r="A201" s="83"/>
      <c r="B201" s="83"/>
      <c r="C201" s="83"/>
      <c r="D201" s="134"/>
      <c r="E201" s="138"/>
      <c r="F201" s="83"/>
      <c r="G201" s="83"/>
      <c r="H201" s="83"/>
      <c r="I201" s="83"/>
      <c r="J201" s="83"/>
      <c r="K201" s="83"/>
      <c r="L201" s="83"/>
      <c r="M201" s="84"/>
      <c r="N201" s="84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>
      <c r="A202" s="83"/>
      <c r="B202" s="83"/>
      <c r="C202" s="83"/>
      <c r="D202" s="134"/>
      <c r="E202" s="138"/>
      <c r="F202" s="83"/>
      <c r="G202" s="83"/>
      <c r="H202" s="83"/>
      <c r="I202" s="83"/>
      <c r="J202" s="83"/>
      <c r="K202" s="83"/>
      <c r="L202" s="83"/>
      <c r="M202" s="84"/>
      <c r="N202" s="84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>
      <c r="A203" s="83"/>
      <c r="B203" s="83"/>
      <c r="C203" s="83"/>
      <c r="D203" s="134"/>
      <c r="E203" s="138"/>
      <c r="F203" s="83"/>
      <c r="G203" s="83"/>
      <c r="H203" s="83"/>
      <c r="I203" s="83"/>
      <c r="J203" s="83"/>
      <c r="K203" s="83"/>
      <c r="L203" s="83"/>
      <c r="M203" s="84"/>
      <c r="N203" s="84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>
      <c r="A204" s="83"/>
      <c r="B204" s="83"/>
      <c r="C204" s="83"/>
      <c r="D204" s="134"/>
      <c r="E204" s="138"/>
      <c r="F204" s="83"/>
      <c r="G204" s="83"/>
      <c r="H204" s="83"/>
      <c r="I204" s="83"/>
      <c r="J204" s="83"/>
      <c r="K204" s="83"/>
      <c r="L204" s="83"/>
      <c r="M204" s="84"/>
      <c r="N204" s="84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>
      <c r="A205" s="83"/>
      <c r="B205" s="83"/>
      <c r="C205" s="83"/>
      <c r="D205" s="134"/>
      <c r="E205" s="138"/>
      <c r="F205" s="83"/>
      <c r="G205" s="83"/>
      <c r="H205" s="83"/>
      <c r="I205" s="83"/>
      <c r="J205" s="83"/>
      <c r="K205" s="83"/>
      <c r="L205" s="83"/>
      <c r="M205" s="84"/>
      <c r="N205" s="84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>
      <c r="A206" s="83"/>
      <c r="B206" s="83"/>
      <c r="C206" s="83"/>
      <c r="D206" s="134"/>
      <c r="E206" s="138"/>
      <c r="F206" s="83"/>
      <c r="G206" s="83"/>
      <c r="H206" s="83"/>
      <c r="I206" s="83"/>
      <c r="J206" s="83"/>
      <c r="K206" s="83"/>
      <c r="L206" s="83"/>
      <c r="M206" s="84"/>
      <c r="N206" s="84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>
      <c r="A207" s="83"/>
      <c r="B207" s="83"/>
      <c r="C207" s="83"/>
      <c r="D207" s="134"/>
      <c r="E207" s="138"/>
      <c r="F207" s="83"/>
      <c r="G207" s="83"/>
      <c r="H207" s="83"/>
      <c r="I207" s="83"/>
      <c r="J207" s="83"/>
      <c r="K207" s="83"/>
      <c r="L207" s="83"/>
      <c r="M207" s="84"/>
      <c r="N207" s="84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>
      <c r="A208" s="83"/>
      <c r="B208" s="83"/>
      <c r="C208" s="83"/>
      <c r="D208" s="134"/>
      <c r="E208" s="138"/>
      <c r="F208" s="83"/>
      <c r="G208" s="83"/>
      <c r="H208" s="83"/>
      <c r="I208" s="83"/>
      <c r="J208" s="83"/>
      <c r="K208" s="83"/>
      <c r="L208" s="83"/>
      <c r="M208" s="84"/>
      <c r="N208" s="84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>
      <c r="A209" s="83"/>
      <c r="B209" s="83"/>
      <c r="C209" s="83"/>
      <c r="D209" s="134"/>
      <c r="E209" s="138"/>
      <c r="F209" s="83"/>
      <c r="G209" s="83"/>
      <c r="H209" s="83"/>
      <c r="I209" s="83"/>
      <c r="J209" s="83"/>
      <c r="K209" s="83"/>
      <c r="L209" s="83"/>
      <c r="M209" s="84"/>
      <c r="N209" s="84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>
      <c r="A210" s="83"/>
      <c r="B210" s="83"/>
      <c r="C210" s="83"/>
      <c r="D210" s="134"/>
      <c r="E210" s="138"/>
      <c r="F210" s="83"/>
      <c r="G210" s="83"/>
      <c r="H210" s="83"/>
      <c r="I210" s="83"/>
      <c r="J210" s="83"/>
      <c r="K210" s="83"/>
      <c r="L210" s="83"/>
      <c r="M210" s="84"/>
      <c r="N210" s="84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>
      <c r="A211" s="83"/>
      <c r="B211" s="83"/>
      <c r="C211" s="83"/>
      <c r="D211" s="134"/>
      <c r="E211" s="138"/>
      <c r="F211" s="83"/>
      <c r="G211" s="83"/>
      <c r="H211" s="83"/>
      <c r="I211" s="83"/>
      <c r="J211" s="83"/>
      <c r="K211" s="83"/>
      <c r="L211" s="83"/>
      <c r="M211" s="84"/>
      <c r="N211" s="84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>
      <c r="A212" s="83"/>
      <c r="B212" s="83"/>
      <c r="C212" s="83"/>
      <c r="D212" s="134"/>
      <c r="E212" s="138"/>
      <c r="F212" s="83"/>
      <c r="G212" s="83"/>
      <c r="H212" s="83"/>
      <c r="I212" s="83"/>
      <c r="J212" s="83"/>
      <c r="K212" s="83"/>
      <c r="L212" s="83"/>
      <c r="M212" s="84"/>
      <c r="N212" s="84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>
      <c r="A213" s="83"/>
      <c r="B213" s="83"/>
      <c r="C213" s="83"/>
      <c r="D213" s="134"/>
      <c r="E213" s="138"/>
      <c r="F213" s="83"/>
      <c r="G213" s="83"/>
      <c r="H213" s="83"/>
      <c r="I213" s="83"/>
      <c r="J213" s="83"/>
      <c r="K213" s="83"/>
      <c r="L213" s="83"/>
      <c r="M213" s="84"/>
      <c r="N213" s="84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>
      <c r="A214" s="83"/>
      <c r="B214" s="83"/>
      <c r="C214" s="83"/>
      <c r="D214" s="134"/>
      <c r="E214" s="138"/>
      <c r="F214" s="83"/>
      <c r="G214" s="83"/>
      <c r="H214" s="83"/>
      <c r="I214" s="83"/>
      <c r="J214" s="83"/>
      <c r="K214" s="83"/>
      <c r="L214" s="83"/>
      <c r="M214" s="84"/>
      <c r="N214" s="84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>
      <c r="A215" s="83"/>
      <c r="B215" s="83"/>
      <c r="C215" s="83"/>
      <c r="D215" s="134"/>
      <c r="E215" s="138"/>
      <c r="F215" s="83"/>
      <c r="G215" s="83"/>
      <c r="H215" s="83"/>
      <c r="I215" s="83"/>
      <c r="J215" s="83"/>
      <c r="K215" s="83"/>
      <c r="L215" s="83"/>
      <c r="M215" s="84"/>
      <c r="N215" s="84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>
      <c r="A216" s="83"/>
      <c r="B216" s="83"/>
      <c r="C216" s="83"/>
      <c r="D216" s="134"/>
      <c r="E216" s="138"/>
      <c r="F216" s="83"/>
      <c r="G216" s="83"/>
      <c r="H216" s="83"/>
      <c r="I216" s="83"/>
      <c r="J216" s="83"/>
      <c r="K216" s="83"/>
      <c r="L216" s="83"/>
      <c r="M216" s="84"/>
      <c r="N216" s="84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>
      <c r="A217" s="83"/>
      <c r="B217" s="83"/>
      <c r="C217" s="83"/>
      <c r="D217" s="134"/>
      <c r="E217" s="138"/>
      <c r="F217" s="83"/>
      <c r="G217" s="83"/>
      <c r="H217" s="83"/>
      <c r="I217" s="83"/>
      <c r="J217" s="83"/>
      <c r="K217" s="83"/>
      <c r="L217" s="83"/>
      <c r="M217" s="84"/>
      <c r="N217" s="84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>
      <c r="A218" s="83"/>
      <c r="B218" s="83"/>
      <c r="C218" s="83"/>
      <c r="D218" s="134"/>
      <c r="E218" s="138"/>
      <c r="F218" s="83"/>
      <c r="G218" s="83"/>
      <c r="H218" s="83"/>
      <c r="I218" s="83"/>
      <c r="J218" s="83"/>
      <c r="K218" s="83"/>
      <c r="L218" s="83"/>
      <c r="M218" s="84"/>
      <c r="N218" s="84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>
      <c r="A219" s="83"/>
      <c r="B219" s="83"/>
      <c r="C219" s="83"/>
      <c r="D219" s="134"/>
      <c r="E219" s="138"/>
      <c r="F219" s="83"/>
      <c r="G219" s="83"/>
      <c r="H219" s="83"/>
      <c r="I219" s="83"/>
      <c r="J219" s="83"/>
      <c r="K219" s="83"/>
      <c r="L219" s="83"/>
      <c r="M219" s="84"/>
      <c r="N219" s="84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>
      <c r="A220" s="83"/>
      <c r="B220" s="83"/>
      <c r="C220" s="83"/>
      <c r="D220" s="134"/>
      <c r="E220" s="138"/>
      <c r="F220" s="83"/>
      <c r="G220" s="83"/>
      <c r="H220" s="83"/>
      <c r="I220" s="83"/>
      <c r="J220" s="83"/>
      <c r="K220" s="83"/>
      <c r="L220" s="83"/>
      <c r="M220" s="84"/>
      <c r="N220" s="84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>
      <c r="A221" s="83"/>
      <c r="B221" s="83"/>
      <c r="C221" s="83"/>
      <c r="D221" s="134"/>
      <c r="E221" s="138"/>
      <c r="F221" s="83"/>
      <c r="G221" s="83"/>
      <c r="H221" s="83"/>
      <c r="I221" s="83"/>
      <c r="J221" s="83"/>
      <c r="K221" s="83"/>
      <c r="L221" s="83"/>
      <c r="M221" s="84"/>
      <c r="N221" s="84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>
      <c r="A222" s="83"/>
      <c r="B222" s="83"/>
      <c r="C222" s="83"/>
      <c r="D222" s="134"/>
      <c r="E222" s="138"/>
      <c r="F222" s="83"/>
      <c r="G222" s="83"/>
      <c r="H222" s="83"/>
      <c r="I222" s="83"/>
      <c r="J222" s="83"/>
      <c r="K222" s="83"/>
      <c r="L222" s="83"/>
      <c r="M222" s="84"/>
      <c r="N222" s="84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>
      <c r="A223" s="83"/>
      <c r="B223" s="83"/>
      <c r="C223" s="83"/>
      <c r="D223" s="134"/>
      <c r="E223" s="138"/>
      <c r="F223" s="83"/>
      <c r="G223" s="83"/>
      <c r="H223" s="83"/>
      <c r="I223" s="83"/>
      <c r="J223" s="83"/>
      <c r="K223" s="83"/>
      <c r="L223" s="83"/>
      <c r="M223" s="84"/>
      <c r="N223" s="84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>
      <c r="A224" s="83"/>
      <c r="B224" s="83"/>
      <c r="C224" s="83"/>
      <c r="D224" s="134"/>
      <c r="E224" s="138"/>
      <c r="F224" s="83"/>
      <c r="G224" s="83"/>
      <c r="H224" s="83"/>
      <c r="I224" s="83"/>
      <c r="J224" s="83"/>
      <c r="K224" s="83"/>
      <c r="L224" s="83"/>
      <c r="M224" s="84"/>
      <c r="N224" s="84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>
      <c r="A225" s="83"/>
      <c r="B225" s="83"/>
      <c r="C225" s="83"/>
      <c r="D225" s="134"/>
      <c r="E225" s="138"/>
      <c r="F225" s="83"/>
      <c r="G225" s="83"/>
      <c r="H225" s="83"/>
      <c r="I225" s="83"/>
      <c r="J225" s="83"/>
      <c r="K225" s="83"/>
      <c r="L225" s="83"/>
      <c r="M225" s="84"/>
      <c r="N225" s="84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>
      <c r="A226" s="83"/>
      <c r="B226" s="83"/>
      <c r="C226" s="83"/>
      <c r="D226" s="134"/>
      <c r="E226" s="138"/>
      <c r="F226" s="83"/>
      <c r="G226" s="83"/>
      <c r="H226" s="83"/>
      <c r="I226" s="83"/>
      <c r="J226" s="83"/>
      <c r="K226" s="83"/>
      <c r="L226" s="83"/>
      <c r="M226" s="84"/>
      <c r="N226" s="84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>
      <c r="A227" s="83"/>
      <c r="B227" s="83"/>
      <c r="C227" s="83"/>
      <c r="D227" s="134"/>
      <c r="E227" s="138"/>
      <c r="F227" s="83"/>
      <c r="G227" s="83"/>
      <c r="H227" s="83"/>
      <c r="I227" s="91">
        <v>110.0</v>
      </c>
      <c r="J227" s="83"/>
      <c r="K227" s="83"/>
      <c r="L227" s="83"/>
      <c r="M227" s="84"/>
      <c r="N227" s="84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>
      <c r="A228" s="83"/>
      <c r="B228" s="83"/>
      <c r="C228" s="83"/>
      <c r="D228" s="134"/>
      <c r="E228" s="138"/>
      <c r="F228" s="83"/>
      <c r="G228" s="83"/>
      <c r="H228" s="83"/>
      <c r="I228" s="83"/>
      <c r="J228" s="83"/>
      <c r="K228" s="83"/>
      <c r="L228" s="83"/>
      <c r="M228" s="84"/>
      <c r="N228" s="84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>
      <c r="A229" s="83"/>
      <c r="B229" s="83"/>
      <c r="C229" s="83"/>
      <c r="D229" s="134"/>
      <c r="E229" s="138"/>
      <c r="F229" s="83"/>
      <c r="G229" s="83"/>
      <c r="H229" s="83"/>
      <c r="I229" s="83"/>
      <c r="J229" s="83"/>
      <c r="K229" s="83"/>
      <c r="L229" s="83"/>
      <c r="M229" s="84"/>
      <c r="N229" s="84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>
      <c r="A230" s="83"/>
      <c r="B230" s="83"/>
      <c r="C230" s="83"/>
      <c r="D230" s="134"/>
      <c r="E230" s="138"/>
      <c r="F230" s="83"/>
      <c r="G230" s="83"/>
      <c r="H230" s="83"/>
      <c r="I230" s="83"/>
      <c r="J230" s="83"/>
      <c r="K230" s="83"/>
      <c r="L230" s="83"/>
      <c r="M230" s="84"/>
      <c r="N230" s="84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>
      <c r="A231" s="83"/>
      <c r="B231" s="83"/>
      <c r="C231" s="83"/>
      <c r="D231" s="134"/>
      <c r="E231" s="138"/>
      <c r="F231" s="83"/>
      <c r="G231" s="83"/>
      <c r="H231" s="83"/>
      <c r="I231" s="83"/>
      <c r="J231" s="83"/>
      <c r="K231" s="83"/>
      <c r="L231" s="83"/>
      <c r="M231" s="84"/>
      <c r="N231" s="84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>
      <c r="A232" s="83"/>
      <c r="B232" s="83"/>
      <c r="C232" s="83"/>
      <c r="D232" s="134"/>
      <c r="E232" s="138"/>
      <c r="F232" s="83"/>
      <c r="G232" s="83"/>
      <c r="H232" s="83"/>
      <c r="I232" s="83"/>
      <c r="J232" s="83"/>
      <c r="K232" s="83"/>
      <c r="L232" s="83"/>
      <c r="M232" s="84"/>
      <c r="N232" s="84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>
      <c r="A233" s="83"/>
      <c r="B233" s="83"/>
      <c r="C233" s="83"/>
      <c r="D233" s="134"/>
      <c r="E233" s="138"/>
      <c r="F233" s="83"/>
      <c r="G233" s="83"/>
      <c r="H233" s="83"/>
      <c r="I233" s="83"/>
      <c r="J233" s="83"/>
      <c r="K233" s="83"/>
      <c r="L233" s="83"/>
      <c r="M233" s="84"/>
      <c r="N233" s="84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>
      <c r="A234" s="83"/>
      <c r="B234" s="91"/>
      <c r="C234" s="83"/>
      <c r="D234" s="134"/>
      <c r="E234" s="138"/>
      <c r="F234" s="83"/>
      <c r="G234" s="83"/>
      <c r="H234" s="83"/>
      <c r="I234" s="83"/>
      <c r="J234" s="83"/>
      <c r="K234" s="83"/>
      <c r="L234" s="83"/>
      <c r="M234" s="84"/>
      <c r="N234" s="84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>
      <c r="A235" s="83"/>
      <c r="B235" s="91"/>
      <c r="C235" s="83"/>
      <c r="D235" s="134"/>
      <c r="E235" s="138"/>
      <c r="F235" s="83"/>
      <c r="G235" s="83"/>
      <c r="H235" s="83"/>
      <c r="I235" s="83"/>
      <c r="J235" s="83"/>
      <c r="K235" s="83"/>
      <c r="L235" s="83"/>
      <c r="M235" s="84"/>
      <c r="N235" s="84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>
      <c r="A236" s="83"/>
      <c r="B236" s="83"/>
      <c r="C236" s="83"/>
      <c r="D236" s="134"/>
      <c r="E236" s="138"/>
      <c r="F236" s="83"/>
      <c r="G236" s="83"/>
      <c r="H236" s="83"/>
      <c r="I236" s="83"/>
      <c r="J236" s="83"/>
      <c r="K236" s="83"/>
      <c r="L236" s="83"/>
      <c r="M236" s="84"/>
      <c r="N236" s="84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>
      <c r="A237" s="83"/>
      <c r="B237" s="83"/>
      <c r="C237" s="83"/>
      <c r="D237" s="134"/>
      <c r="E237" s="138"/>
      <c r="F237" s="83"/>
      <c r="G237" s="83"/>
      <c r="H237" s="83"/>
      <c r="I237" s="83"/>
      <c r="J237" s="83"/>
      <c r="K237" s="83"/>
      <c r="L237" s="83"/>
      <c r="M237" s="84"/>
      <c r="N237" s="84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>
      <c r="A238" s="83"/>
      <c r="B238" s="83"/>
      <c r="C238" s="83"/>
      <c r="D238" s="134"/>
      <c r="E238" s="138"/>
      <c r="F238" s="83"/>
      <c r="G238" s="83"/>
      <c r="H238" s="83"/>
      <c r="I238" s="83"/>
      <c r="J238" s="83"/>
      <c r="K238" s="83"/>
      <c r="L238" s="83"/>
      <c r="M238" s="84"/>
      <c r="N238" s="84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>
      <c r="A239" s="83"/>
      <c r="B239" s="83"/>
      <c r="C239" s="83"/>
      <c r="D239" s="134"/>
      <c r="E239" s="138"/>
      <c r="F239" s="83"/>
      <c r="G239" s="83"/>
      <c r="H239" s="83"/>
      <c r="I239" s="83"/>
      <c r="J239" s="83"/>
      <c r="K239" s="83"/>
      <c r="L239" s="83"/>
      <c r="M239" s="84"/>
      <c r="N239" s="84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>
      <c r="A240" s="83"/>
      <c r="B240" s="83"/>
      <c r="C240" s="83"/>
      <c r="D240" s="134"/>
      <c r="E240" s="138"/>
      <c r="F240" s="83"/>
      <c r="G240" s="83"/>
      <c r="H240" s="83"/>
      <c r="I240" s="83"/>
      <c r="J240" s="83"/>
      <c r="K240" s="83"/>
      <c r="L240" s="83"/>
      <c r="M240" s="84"/>
      <c r="N240" s="84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>
      <c r="A241" s="83"/>
      <c r="B241" s="83"/>
      <c r="C241" s="83"/>
      <c r="D241" s="134"/>
      <c r="E241" s="138"/>
      <c r="F241" s="83"/>
      <c r="G241" s="83"/>
      <c r="H241" s="83"/>
      <c r="I241" s="83"/>
      <c r="J241" s="83"/>
      <c r="K241" s="83"/>
      <c r="L241" s="83"/>
      <c r="M241" s="84"/>
      <c r="N241" s="84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>
      <c r="A242" s="83"/>
      <c r="B242" s="83"/>
      <c r="C242" s="83"/>
      <c r="D242" s="134"/>
      <c r="E242" s="138"/>
      <c r="F242" s="83"/>
      <c r="G242" s="83"/>
      <c r="H242" s="83"/>
      <c r="I242" s="83"/>
      <c r="J242" s="83"/>
      <c r="K242" s="83"/>
      <c r="L242" s="83"/>
      <c r="M242" s="84"/>
      <c r="N242" s="84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>
      <c r="A243" s="83"/>
      <c r="B243" s="83"/>
      <c r="C243" s="83"/>
      <c r="D243" s="134"/>
      <c r="E243" s="138"/>
      <c r="F243" s="83"/>
      <c r="G243" s="83"/>
      <c r="H243" s="83"/>
      <c r="I243" s="83"/>
      <c r="J243" s="83"/>
      <c r="K243" s="83"/>
      <c r="L243" s="83"/>
      <c r="M243" s="84"/>
      <c r="N243" s="84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>
      <c r="A244" s="83"/>
      <c r="B244" s="83"/>
      <c r="C244" s="83"/>
      <c r="D244" s="134"/>
      <c r="E244" s="138"/>
      <c r="F244" s="83"/>
      <c r="G244" s="83"/>
      <c r="H244" s="83"/>
      <c r="I244" s="83"/>
      <c r="J244" s="83"/>
      <c r="K244" s="83"/>
      <c r="L244" s="83"/>
      <c r="M244" s="84"/>
      <c r="N244" s="84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>
      <c r="A245" s="83"/>
      <c r="B245" s="83"/>
      <c r="C245" s="83"/>
      <c r="D245" s="134"/>
      <c r="E245" s="138"/>
      <c r="F245" s="83"/>
      <c r="G245" s="83"/>
      <c r="H245" s="83"/>
      <c r="I245" s="83"/>
      <c r="J245" s="83"/>
      <c r="K245" s="83"/>
      <c r="L245" s="83"/>
      <c r="M245" s="84"/>
      <c r="N245" s="84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>
      <c r="A246" s="83"/>
      <c r="B246" s="83"/>
      <c r="C246" s="83"/>
      <c r="D246" s="134"/>
      <c r="E246" s="138"/>
      <c r="F246" s="83"/>
      <c r="G246" s="83"/>
      <c r="H246" s="83"/>
      <c r="I246" s="83"/>
      <c r="J246" s="83"/>
      <c r="K246" s="83"/>
      <c r="L246" s="83"/>
      <c r="M246" s="84"/>
      <c r="N246" s="84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>
      <c r="A247" s="83"/>
      <c r="B247" s="83"/>
      <c r="C247" s="83"/>
      <c r="D247" s="134"/>
      <c r="E247" s="138"/>
      <c r="F247" s="83"/>
      <c r="G247" s="83"/>
      <c r="H247" s="83"/>
      <c r="I247" s="83"/>
      <c r="J247" s="83"/>
      <c r="K247" s="83"/>
      <c r="L247" s="83"/>
      <c r="M247" s="84"/>
      <c r="N247" s="84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>
      <c r="A248" s="83"/>
      <c r="B248" s="83"/>
      <c r="C248" s="83"/>
      <c r="D248" s="134"/>
      <c r="E248" s="139"/>
      <c r="F248" s="83"/>
      <c r="G248" s="83"/>
      <c r="H248" s="83"/>
      <c r="I248" s="83"/>
      <c r="J248" s="83"/>
      <c r="K248" s="83"/>
      <c r="L248" s="83"/>
      <c r="M248" s="84"/>
      <c r="N248" s="84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>
      <c r="A249" s="83"/>
      <c r="B249" s="83"/>
      <c r="C249" s="83"/>
      <c r="D249" s="134"/>
      <c r="E249" s="138"/>
      <c r="F249" s="83"/>
      <c r="G249" s="83"/>
      <c r="H249" s="83"/>
      <c r="I249" s="83"/>
      <c r="J249" s="83"/>
      <c r="K249" s="83"/>
      <c r="L249" s="83"/>
      <c r="M249" s="84"/>
      <c r="N249" s="84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>
      <c r="A250" s="83"/>
      <c r="B250" s="83"/>
      <c r="C250" s="83"/>
      <c r="D250" s="134"/>
      <c r="E250" s="138"/>
      <c r="F250" s="83"/>
      <c r="G250" s="83"/>
      <c r="H250" s="83"/>
      <c r="I250" s="83"/>
      <c r="J250" s="83"/>
      <c r="K250" s="83"/>
      <c r="L250" s="83"/>
      <c r="M250" s="84"/>
      <c r="N250" s="84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>
      <c r="A251" s="83"/>
      <c r="B251" s="83"/>
      <c r="C251" s="83"/>
      <c r="D251" s="134"/>
      <c r="E251" s="138"/>
      <c r="F251" s="83"/>
      <c r="G251" s="83"/>
      <c r="H251" s="83"/>
      <c r="I251" s="83"/>
      <c r="J251" s="83"/>
      <c r="K251" s="83"/>
      <c r="L251" s="83"/>
      <c r="M251" s="84"/>
      <c r="N251" s="84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>
      <c r="A252" s="83"/>
      <c r="B252" s="83"/>
      <c r="C252" s="83"/>
      <c r="D252" s="134"/>
      <c r="E252" s="138"/>
      <c r="F252" s="83"/>
      <c r="G252" s="83"/>
      <c r="H252" s="83"/>
      <c r="I252" s="83"/>
      <c r="J252" s="83"/>
      <c r="K252" s="83"/>
      <c r="L252" s="83"/>
      <c r="M252" s="84"/>
      <c r="N252" s="84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>
      <c r="A253" s="83"/>
      <c r="B253" s="83"/>
      <c r="C253" s="83"/>
      <c r="D253" s="134"/>
      <c r="E253" s="138"/>
      <c r="F253" s="83"/>
      <c r="G253" s="83"/>
      <c r="H253" s="83"/>
      <c r="I253" s="83"/>
      <c r="J253" s="83"/>
      <c r="K253" s="83"/>
      <c r="L253" s="83"/>
      <c r="M253" s="84"/>
      <c r="N253" s="84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>
      <c r="A254" s="83"/>
      <c r="B254" s="83"/>
      <c r="C254" s="83"/>
      <c r="D254" s="134"/>
      <c r="E254" s="138"/>
      <c r="F254" s="83"/>
      <c r="G254" s="83"/>
      <c r="H254" s="83"/>
      <c r="I254" s="83"/>
      <c r="J254" s="83"/>
      <c r="K254" s="83"/>
      <c r="L254" s="83"/>
      <c r="M254" s="84"/>
      <c r="N254" s="84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>
      <c r="A255" s="83"/>
      <c r="B255" s="83"/>
      <c r="C255" s="83"/>
      <c r="D255" s="134"/>
      <c r="E255" s="138"/>
      <c r="F255" s="83"/>
      <c r="G255" s="83"/>
      <c r="H255" s="83"/>
      <c r="I255" s="83"/>
      <c r="J255" s="83"/>
      <c r="K255" s="83"/>
      <c r="L255" s="83"/>
      <c r="M255" s="84"/>
      <c r="N255" s="84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>
      <c r="A256" s="83"/>
      <c r="B256" s="83"/>
      <c r="C256" s="83"/>
      <c r="D256" s="134"/>
      <c r="E256" s="138"/>
      <c r="F256" s="83"/>
      <c r="G256" s="83"/>
      <c r="H256" s="83"/>
      <c r="I256" s="83"/>
      <c r="J256" s="83"/>
      <c r="K256" s="83"/>
      <c r="L256" s="83"/>
      <c r="M256" s="84"/>
      <c r="N256" s="84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>
      <c r="A257" s="83"/>
      <c r="B257" s="83"/>
      <c r="C257" s="83"/>
      <c r="D257" s="134"/>
      <c r="E257" s="138"/>
      <c r="F257" s="83"/>
      <c r="G257" s="83"/>
      <c r="H257" s="83"/>
      <c r="I257" s="83"/>
      <c r="J257" s="83"/>
      <c r="K257" s="83"/>
      <c r="L257" s="83"/>
      <c r="M257" s="84"/>
      <c r="N257" s="84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>
      <c r="A258" s="83"/>
      <c r="B258" s="83"/>
      <c r="C258" s="83"/>
      <c r="D258" s="134"/>
      <c r="E258" s="138"/>
      <c r="F258" s="83"/>
      <c r="G258" s="83"/>
      <c r="H258" s="83"/>
      <c r="I258" s="83"/>
      <c r="J258" s="83"/>
      <c r="K258" s="83"/>
      <c r="L258" s="83"/>
      <c r="M258" s="84"/>
      <c r="N258" s="84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>
      <c r="A259" s="83"/>
      <c r="B259" s="83"/>
      <c r="C259" s="83"/>
      <c r="D259" s="134"/>
      <c r="E259" s="138"/>
      <c r="F259" s="83"/>
      <c r="G259" s="83"/>
      <c r="H259" s="83"/>
      <c r="I259" s="83"/>
      <c r="J259" s="83"/>
      <c r="K259" s="83"/>
      <c r="L259" s="83"/>
      <c r="M259" s="84"/>
      <c r="N259" s="84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>
      <c r="A260" s="83"/>
      <c r="B260" s="83"/>
      <c r="C260" s="83"/>
      <c r="D260" s="134"/>
      <c r="E260" s="138"/>
      <c r="F260" s="83"/>
      <c r="G260" s="83"/>
      <c r="H260" s="83"/>
      <c r="I260" s="83"/>
      <c r="J260" s="83"/>
      <c r="K260" s="83"/>
      <c r="L260" s="83"/>
      <c r="M260" s="84"/>
      <c r="N260" s="84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>
      <c r="A261" s="83"/>
      <c r="B261" s="83"/>
      <c r="C261" s="83"/>
      <c r="D261" s="134"/>
      <c r="E261" s="138"/>
      <c r="F261" s="83"/>
      <c r="G261" s="83"/>
      <c r="H261" s="83"/>
      <c r="I261" s="83"/>
      <c r="J261" s="83"/>
      <c r="K261" s="83"/>
      <c r="L261" s="83"/>
      <c r="M261" s="84"/>
      <c r="N261" s="84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>
      <c r="A262" s="83"/>
      <c r="B262" s="83"/>
      <c r="C262" s="83"/>
      <c r="D262" s="134"/>
      <c r="E262" s="138"/>
      <c r="F262" s="83"/>
      <c r="G262" s="83"/>
      <c r="H262" s="83"/>
      <c r="I262" s="83"/>
      <c r="J262" s="83"/>
      <c r="K262" s="83"/>
      <c r="L262" s="83"/>
      <c r="M262" s="84"/>
      <c r="N262" s="84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>
      <c r="A263" s="83"/>
      <c r="B263" s="83"/>
      <c r="C263" s="83"/>
      <c r="D263" s="134"/>
      <c r="E263" s="138"/>
      <c r="F263" s="83"/>
      <c r="G263" s="83"/>
      <c r="H263" s="83"/>
      <c r="I263" s="83"/>
      <c r="J263" s="83"/>
      <c r="K263" s="83"/>
      <c r="L263" s="83"/>
      <c r="M263" s="84"/>
      <c r="N263" s="84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>
      <c r="A264" s="83"/>
      <c r="B264" s="83"/>
      <c r="C264" s="83"/>
      <c r="D264" s="134"/>
      <c r="E264" s="138"/>
      <c r="F264" s="83"/>
      <c r="G264" s="83"/>
      <c r="H264" s="83"/>
      <c r="I264" s="83"/>
      <c r="J264" s="83"/>
      <c r="K264" s="83"/>
      <c r="L264" s="83"/>
      <c r="M264" s="84"/>
      <c r="N264" s="84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>
      <c r="A265" s="83"/>
      <c r="B265" s="83"/>
      <c r="C265" s="83"/>
      <c r="D265" s="134"/>
      <c r="E265" s="138"/>
      <c r="F265" s="83"/>
      <c r="G265" s="83"/>
      <c r="H265" s="83"/>
      <c r="I265" s="83"/>
      <c r="J265" s="83"/>
      <c r="K265" s="83"/>
      <c r="L265" s="83"/>
      <c r="M265" s="84"/>
      <c r="N265" s="84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>
      <c r="A266" s="83"/>
      <c r="B266" s="83"/>
      <c r="C266" s="83"/>
      <c r="D266" s="134"/>
      <c r="E266" s="138"/>
      <c r="F266" s="83"/>
      <c r="G266" s="83"/>
      <c r="H266" s="83"/>
      <c r="I266" s="83"/>
      <c r="J266" s="83"/>
      <c r="K266" s="83"/>
      <c r="L266" s="83"/>
      <c r="M266" s="84"/>
      <c r="N266" s="84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>
      <c r="A267" s="83"/>
      <c r="B267" s="83"/>
      <c r="C267" s="83"/>
      <c r="D267" s="134"/>
      <c r="E267" s="138"/>
      <c r="F267" s="83"/>
      <c r="G267" s="83"/>
      <c r="H267" s="83"/>
      <c r="I267" s="83"/>
      <c r="J267" s="83"/>
      <c r="K267" s="83"/>
      <c r="L267" s="83"/>
      <c r="M267" s="84"/>
      <c r="N267" s="84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>
      <c r="A268" s="83"/>
      <c r="B268" s="83"/>
      <c r="C268" s="83"/>
      <c r="D268" s="134"/>
      <c r="E268" s="138"/>
      <c r="F268" s="83"/>
      <c r="G268" s="83"/>
      <c r="H268" s="83"/>
      <c r="I268" s="83"/>
      <c r="J268" s="83"/>
      <c r="K268" s="83"/>
      <c r="L268" s="83"/>
      <c r="M268" s="84"/>
      <c r="N268" s="84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>
      <c r="A269" s="83"/>
      <c r="B269" s="83"/>
      <c r="C269" s="83"/>
      <c r="D269" s="134"/>
      <c r="E269" s="138"/>
      <c r="F269" s="83"/>
      <c r="G269" s="83"/>
      <c r="H269" s="83"/>
      <c r="I269" s="83"/>
      <c r="J269" s="83"/>
      <c r="K269" s="83"/>
      <c r="L269" s="83"/>
      <c r="M269" s="84"/>
      <c r="N269" s="84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>
      <c r="A270" s="83"/>
      <c r="B270" s="83"/>
      <c r="C270" s="83"/>
      <c r="D270" s="134"/>
      <c r="E270" s="138"/>
      <c r="F270" s="83"/>
      <c r="G270" s="83"/>
      <c r="H270" s="83"/>
      <c r="I270" s="83"/>
      <c r="J270" s="83"/>
      <c r="K270" s="83"/>
      <c r="L270" s="83"/>
      <c r="M270" s="84"/>
      <c r="N270" s="84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>
      <c r="A271" s="83"/>
      <c r="B271" s="83"/>
      <c r="C271" s="83"/>
      <c r="D271" s="134"/>
      <c r="E271" s="138"/>
      <c r="F271" s="83"/>
      <c r="G271" s="83"/>
      <c r="H271" s="83"/>
      <c r="I271" s="83"/>
      <c r="J271" s="83"/>
      <c r="K271" s="83"/>
      <c r="L271" s="83"/>
      <c r="M271" s="84"/>
      <c r="N271" s="84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>
      <c r="A272" s="83"/>
      <c r="B272" s="83"/>
      <c r="C272" s="83"/>
      <c r="D272" s="134"/>
      <c r="E272" s="138"/>
      <c r="F272" s="83"/>
      <c r="G272" s="83"/>
      <c r="H272" s="83"/>
      <c r="I272" s="83"/>
      <c r="J272" s="83"/>
      <c r="K272" s="83"/>
      <c r="L272" s="83"/>
      <c r="M272" s="84"/>
      <c r="N272" s="84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>
      <c r="A273" s="83"/>
      <c r="B273" s="83"/>
      <c r="C273" s="83"/>
      <c r="D273" s="134"/>
      <c r="E273" s="138"/>
      <c r="F273" s="83"/>
      <c r="G273" s="83"/>
      <c r="H273" s="83"/>
      <c r="I273" s="83"/>
      <c r="J273" s="83"/>
      <c r="K273" s="83"/>
      <c r="L273" s="83"/>
      <c r="M273" s="84"/>
      <c r="N273" s="84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>
      <c r="A274" s="83"/>
      <c r="B274" s="83"/>
      <c r="C274" s="83"/>
      <c r="D274" s="134"/>
      <c r="E274" s="138"/>
      <c r="F274" s="83"/>
      <c r="G274" s="83"/>
      <c r="H274" s="83"/>
      <c r="I274" s="83"/>
      <c r="J274" s="83"/>
      <c r="K274" s="83"/>
      <c r="L274" s="83"/>
      <c r="M274" s="84"/>
      <c r="N274" s="84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>
      <c r="A275" s="83"/>
      <c r="B275" s="83"/>
      <c r="C275" s="83"/>
      <c r="D275" s="134"/>
      <c r="E275" s="138"/>
      <c r="F275" s="83"/>
      <c r="G275" s="83"/>
      <c r="H275" s="83"/>
      <c r="I275" s="83"/>
      <c r="J275" s="83"/>
      <c r="K275" s="83"/>
      <c r="L275" s="83"/>
      <c r="M275" s="84"/>
      <c r="N275" s="84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>
      <c r="A276" s="83"/>
      <c r="B276" s="83"/>
      <c r="C276" s="83"/>
      <c r="D276" s="134"/>
      <c r="E276" s="138"/>
      <c r="F276" s="83"/>
      <c r="G276" s="83"/>
      <c r="H276" s="83"/>
      <c r="I276" s="83"/>
      <c r="J276" s="83"/>
      <c r="K276" s="83"/>
      <c r="L276" s="83"/>
      <c r="M276" s="84"/>
      <c r="N276" s="84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>
      <c r="A277" s="83"/>
      <c r="B277" s="83"/>
      <c r="C277" s="83"/>
      <c r="D277" s="134"/>
      <c r="E277" s="138"/>
      <c r="F277" s="83"/>
      <c r="G277" s="83"/>
      <c r="H277" s="83"/>
      <c r="I277" s="83"/>
      <c r="J277" s="83"/>
      <c r="K277" s="83"/>
      <c r="L277" s="83"/>
      <c r="M277" s="84"/>
      <c r="N277" s="84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>
      <c r="A278" s="83"/>
      <c r="B278" s="83"/>
      <c r="C278" s="83"/>
      <c r="D278" s="134"/>
      <c r="E278" s="138"/>
      <c r="F278" s="83"/>
      <c r="G278" s="83"/>
      <c r="H278" s="83"/>
      <c r="I278" s="83"/>
      <c r="J278" s="83"/>
      <c r="K278" s="83"/>
      <c r="L278" s="83"/>
      <c r="M278" s="84"/>
      <c r="N278" s="84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>
      <c r="A279" s="83"/>
      <c r="B279" s="83"/>
      <c r="C279" s="83"/>
      <c r="D279" s="134"/>
      <c r="E279" s="138"/>
      <c r="F279" s="83"/>
      <c r="G279" s="83"/>
      <c r="H279" s="83"/>
      <c r="I279" s="83"/>
      <c r="J279" s="83"/>
      <c r="K279" s="83"/>
      <c r="L279" s="83"/>
      <c r="M279" s="84"/>
      <c r="N279" s="84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>
      <c r="A280" s="83"/>
      <c r="B280" s="83"/>
      <c r="C280" s="83"/>
      <c r="D280" s="134"/>
      <c r="E280" s="138"/>
      <c r="F280" s="83"/>
      <c r="G280" s="83"/>
      <c r="H280" s="83"/>
      <c r="I280" s="83"/>
      <c r="J280" s="83"/>
      <c r="K280" s="83"/>
      <c r="L280" s="83"/>
      <c r="M280" s="84"/>
      <c r="N280" s="84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>
      <c r="A281" s="83"/>
      <c r="B281" s="83"/>
      <c r="C281" s="83"/>
      <c r="D281" s="134"/>
      <c r="E281" s="138"/>
      <c r="F281" s="83"/>
      <c r="G281" s="83"/>
      <c r="H281" s="83"/>
      <c r="I281" s="83"/>
      <c r="J281" s="83"/>
      <c r="K281" s="83"/>
      <c r="L281" s="83"/>
      <c r="M281" s="84"/>
      <c r="N281" s="84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>
      <c r="A282" s="83"/>
      <c r="B282" s="83"/>
      <c r="C282" s="83"/>
      <c r="D282" s="134"/>
      <c r="E282" s="138"/>
      <c r="F282" s="83"/>
      <c r="G282" s="83"/>
      <c r="H282" s="83"/>
      <c r="I282" s="83"/>
      <c r="J282" s="83"/>
      <c r="K282" s="83"/>
      <c r="L282" s="83"/>
      <c r="M282" s="84"/>
      <c r="N282" s="84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>
      <c r="A283" s="83"/>
      <c r="B283" s="83"/>
      <c r="C283" s="83"/>
      <c r="D283" s="134"/>
      <c r="E283" s="138"/>
      <c r="F283" s="83"/>
      <c r="G283" s="83"/>
      <c r="H283" s="83"/>
      <c r="I283" s="83"/>
      <c r="J283" s="83"/>
      <c r="K283" s="83"/>
      <c r="L283" s="83"/>
      <c r="M283" s="84"/>
      <c r="N283" s="84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>
      <c r="A284" s="83"/>
      <c r="B284" s="83"/>
      <c r="C284" s="83"/>
      <c r="D284" s="134"/>
      <c r="E284" s="138"/>
      <c r="F284" s="83"/>
      <c r="G284" s="83"/>
      <c r="H284" s="83"/>
      <c r="I284" s="83"/>
      <c r="J284" s="83"/>
      <c r="K284" s="83"/>
      <c r="L284" s="83"/>
      <c r="M284" s="84"/>
      <c r="N284" s="84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>
      <c r="A285" s="83"/>
      <c r="B285" s="83"/>
      <c r="C285" s="83"/>
      <c r="D285" s="134"/>
      <c r="E285" s="138"/>
      <c r="F285" s="83"/>
      <c r="G285" s="83"/>
      <c r="H285" s="83"/>
      <c r="I285" s="83"/>
      <c r="J285" s="83"/>
      <c r="K285" s="83"/>
      <c r="L285" s="83"/>
      <c r="M285" s="84"/>
      <c r="N285" s="84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>
      <c r="A286" s="83"/>
      <c r="B286" s="83"/>
      <c r="C286" s="83"/>
      <c r="D286" s="134"/>
      <c r="E286" s="138"/>
      <c r="F286" s="83"/>
      <c r="G286" s="83"/>
      <c r="H286" s="83"/>
      <c r="I286" s="83"/>
      <c r="J286" s="83"/>
      <c r="K286" s="83"/>
      <c r="L286" s="83"/>
      <c r="M286" s="84"/>
      <c r="N286" s="84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>
      <c r="A287" s="83"/>
      <c r="B287" s="83"/>
      <c r="C287" s="83"/>
      <c r="D287" s="134"/>
      <c r="E287" s="138"/>
      <c r="F287" s="83"/>
      <c r="G287" s="83"/>
      <c r="H287" s="83"/>
      <c r="I287" s="83"/>
      <c r="J287" s="83"/>
      <c r="K287" s="83"/>
      <c r="L287" s="83"/>
      <c r="M287" s="84"/>
      <c r="N287" s="84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>
      <c r="A288" s="83"/>
      <c r="B288" s="83"/>
      <c r="C288" s="83"/>
      <c r="D288" s="134"/>
      <c r="E288" s="138"/>
      <c r="F288" s="83"/>
      <c r="G288" s="83"/>
      <c r="H288" s="83"/>
      <c r="I288" s="83"/>
      <c r="J288" s="83"/>
      <c r="K288" s="83"/>
      <c r="L288" s="83"/>
      <c r="M288" s="84"/>
      <c r="N288" s="84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>
      <c r="A289" s="83"/>
      <c r="B289" s="83"/>
      <c r="C289" s="83"/>
      <c r="D289" s="134"/>
      <c r="E289" s="138"/>
      <c r="F289" s="83"/>
      <c r="G289" s="83"/>
      <c r="H289" s="83"/>
      <c r="I289" s="83"/>
      <c r="J289" s="83"/>
      <c r="K289" s="83"/>
      <c r="L289" s="83"/>
      <c r="M289" s="84"/>
      <c r="N289" s="84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>
      <c r="A290" s="83"/>
      <c r="B290" s="83"/>
      <c r="C290" s="83"/>
      <c r="D290" s="134"/>
      <c r="E290" s="138"/>
      <c r="F290" s="83"/>
      <c r="G290" s="83"/>
      <c r="H290" s="83"/>
      <c r="I290" s="83"/>
      <c r="J290" s="83"/>
      <c r="K290" s="83"/>
      <c r="L290" s="83"/>
      <c r="M290" s="84"/>
      <c r="N290" s="84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>
      <c r="A291" s="83"/>
      <c r="B291" s="83"/>
      <c r="C291" s="83"/>
      <c r="D291" s="134"/>
      <c r="E291" s="138"/>
      <c r="F291" s="83"/>
      <c r="G291" s="83"/>
      <c r="H291" s="83"/>
      <c r="I291" s="83"/>
      <c r="J291" s="83"/>
      <c r="K291" s="83"/>
      <c r="L291" s="83"/>
      <c r="M291" s="84"/>
      <c r="N291" s="84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>
      <c r="A292" s="83"/>
      <c r="B292" s="83"/>
      <c r="C292" s="83"/>
      <c r="D292" s="134"/>
      <c r="E292" s="138"/>
      <c r="F292" s="83"/>
      <c r="G292" s="83"/>
      <c r="H292" s="83"/>
      <c r="I292" s="83"/>
      <c r="J292" s="83"/>
      <c r="K292" s="83"/>
      <c r="L292" s="83"/>
      <c r="M292" s="84"/>
      <c r="N292" s="84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>
      <c r="A293" s="83"/>
      <c r="B293" s="83"/>
      <c r="C293" s="83"/>
      <c r="D293" s="134"/>
      <c r="E293" s="138"/>
      <c r="F293" s="83"/>
      <c r="G293" s="83"/>
      <c r="H293" s="83"/>
      <c r="I293" s="83"/>
      <c r="J293" s="83"/>
      <c r="K293" s="83"/>
      <c r="L293" s="83"/>
      <c r="M293" s="84"/>
      <c r="N293" s="84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>
      <c r="A294" s="83"/>
      <c r="B294" s="83"/>
      <c r="C294" s="83"/>
      <c r="D294" s="134"/>
      <c r="E294" s="138"/>
      <c r="F294" s="83"/>
      <c r="G294" s="83"/>
      <c r="H294" s="83"/>
      <c r="I294" s="83"/>
      <c r="J294" s="83"/>
      <c r="K294" s="83"/>
      <c r="L294" s="83"/>
      <c r="M294" s="84"/>
      <c r="N294" s="84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>
      <c r="A295" s="83"/>
      <c r="B295" s="83"/>
      <c r="C295" s="83"/>
      <c r="D295" s="134"/>
      <c r="E295" s="138"/>
      <c r="F295" s="83"/>
      <c r="G295" s="83"/>
      <c r="H295" s="83"/>
      <c r="I295" s="83"/>
      <c r="J295" s="83"/>
      <c r="K295" s="83"/>
      <c r="L295" s="83"/>
      <c r="M295" s="84"/>
      <c r="N295" s="84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>
      <c r="A296" s="83"/>
      <c r="B296" s="83"/>
      <c r="C296" s="83"/>
      <c r="D296" s="134"/>
      <c r="E296" s="138"/>
      <c r="F296" s="83"/>
      <c r="G296" s="83"/>
      <c r="H296" s="83"/>
      <c r="I296" s="83"/>
      <c r="J296" s="83"/>
      <c r="K296" s="83"/>
      <c r="L296" s="83"/>
      <c r="M296" s="84"/>
      <c r="N296" s="84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>
      <c r="A297" s="83"/>
      <c r="B297" s="83"/>
      <c r="C297" s="83"/>
      <c r="D297" s="134"/>
      <c r="E297" s="138"/>
      <c r="F297" s="83"/>
      <c r="G297" s="83"/>
      <c r="H297" s="83"/>
      <c r="I297" s="83"/>
      <c r="J297" s="83"/>
      <c r="K297" s="83"/>
      <c r="L297" s="83"/>
      <c r="M297" s="84"/>
      <c r="N297" s="84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>
      <c r="A298" s="83"/>
      <c r="B298" s="83"/>
      <c r="C298" s="83"/>
      <c r="D298" s="134"/>
      <c r="E298" s="139"/>
      <c r="F298" s="83"/>
      <c r="G298" s="83"/>
      <c r="H298" s="83"/>
      <c r="I298" s="83"/>
      <c r="J298" s="83"/>
      <c r="K298" s="83"/>
      <c r="L298" s="83"/>
      <c r="M298" s="84"/>
      <c r="N298" s="84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>
      <c r="A299" s="83"/>
      <c r="B299" s="83"/>
      <c r="C299" s="83"/>
      <c r="D299" s="134"/>
      <c r="E299" s="138"/>
      <c r="F299" s="83"/>
      <c r="G299" s="83"/>
      <c r="H299" s="83"/>
      <c r="I299" s="83"/>
      <c r="J299" s="83"/>
      <c r="K299" s="83"/>
      <c r="L299" s="83"/>
      <c r="M299" s="84"/>
      <c r="N299" s="84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>
      <c r="A300" s="83"/>
      <c r="B300" s="83"/>
      <c r="C300" s="83"/>
      <c r="D300" s="134"/>
      <c r="E300" s="138"/>
      <c r="F300" s="83"/>
      <c r="G300" s="83"/>
      <c r="H300" s="83"/>
      <c r="I300" s="83"/>
      <c r="J300" s="83"/>
      <c r="K300" s="83"/>
      <c r="L300" s="83"/>
      <c r="M300" s="84"/>
      <c r="N300" s="84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>
      <c r="A301" s="83"/>
      <c r="B301" s="83"/>
      <c r="C301" s="83"/>
      <c r="D301" s="134"/>
      <c r="E301" s="138"/>
      <c r="F301" s="83"/>
      <c r="G301" s="83"/>
      <c r="H301" s="83"/>
      <c r="I301" s="83"/>
      <c r="J301" s="83"/>
      <c r="K301" s="83"/>
      <c r="L301" s="83"/>
      <c r="M301" s="84"/>
      <c r="N301" s="84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>
      <c r="A302" s="83"/>
      <c r="B302" s="83"/>
      <c r="C302" s="83"/>
      <c r="D302" s="134"/>
      <c r="E302" s="138"/>
      <c r="F302" s="83"/>
      <c r="G302" s="83"/>
      <c r="H302" s="83"/>
      <c r="I302" s="83"/>
      <c r="J302" s="83"/>
      <c r="K302" s="83"/>
      <c r="L302" s="83"/>
      <c r="M302" s="84"/>
      <c r="N302" s="84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>
      <c r="A303" s="83"/>
      <c r="B303" s="83"/>
      <c r="C303" s="83"/>
      <c r="D303" s="134"/>
      <c r="E303" s="138"/>
      <c r="F303" s="83"/>
      <c r="G303" s="83"/>
      <c r="H303" s="83"/>
      <c r="I303" s="83"/>
      <c r="J303" s="83"/>
      <c r="K303" s="83"/>
      <c r="L303" s="83"/>
      <c r="M303" s="84"/>
      <c r="N303" s="84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>
      <c r="A304" s="83"/>
      <c r="B304" s="83"/>
      <c r="C304" s="83"/>
      <c r="D304" s="134"/>
      <c r="E304" s="138"/>
      <c r="F304" s="83"/>
      <c r="G304" s="83"/>
      <c r="H304" s="83"/>
      <c r="I304" s="83"/>
      <c r="J304" s="83"/>
      <c r="K304" s="83"/>
      <c r="L304" s="83"/>
      <c r="M304" s="84"/>
      <c r="N304" s="84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>
      <c r="A305" s="83"/>
      <c r="B305" s="83"/>
      <c r="C305" s="83"/>
      <c r="D305" s="134"/>
      <c r="E305" s="138"/>
      <c r="F305" s="83"/>
      <c r="G305" s="83"/>
      <c r="H305" s="83"/>
      <c r="I305" s="91">
        <v>0.0</v>
      </c>
      <c r="J305" s="83"/>
      <c r="K305" s="83"/>
      <c r="L305" s="83"/>
      <c r="M305" s="84"/>
      <c r="N305" s="84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>
      <c r="A306" s="83"/>
      <c r="B306" s="83"/>
      <c r="C306" s="83"/>
      <c r="D306" s="134"/>
      <c r="E306" s="138"/>
      <c r="F306" s="83"/>
      <c r="G306" s="83"/>
      <c r="H306" s="83"/>
      <c r="I306" s="83"/>
      <c r="J306" s="83"/>
      <c r="K306" s="83"/>
      <c r="L306" s="83"/>
      <c r="M306" s="84"/>
      <c r="N306" s="84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>
      <c r="A307" s="83"/>
      <c r="B307" s="83"/>
      <c r="C307" s="83"/>
      <c r="D307" s="134"/>
      <c r="E307" s="138"/>
      <c r="F307" s="83"/>
      <c r="G307" s="83"/>
      <c r="H307" s="83"/>
      <c r="I307" s="83"/>
      <c r="J307" s="83"/>
      <c r="K307" s="83"/>
      <c r="L307" s="83"/>
      <c r="M307" s="84"/>
      <c r="N307" s="84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>
      <c r="A308" s="83"/>
      <c r="B308" s="83"/>
      <c r="C308" s="83"/>
      <c r="D308" s="134"/>
      <c r="E308" s="138"/>
      <c r="F308" s="83"/>
      <c r="G308" s="83"/>
      <c r="H308" s="83"/>
      <c r="I308" s="83"/>
      <c r="J308" s="83"/>
      <c r="K308" s="83"/>
      <c r="L308" s="83"/>
      <c r="M308" s="84"/>
      <c r="N308" s="84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>
      <c r="A309" s="83"/>
      <c r="B309" s="83"/>
      <c r="C309" s="83"/>
      <c r="D309" s="134"/>
      <c r="E309" s="138"/>
      <c r="F309" s="83"/>
      <c r="G309" s="83"/>
      <c r="H309" s="83"/>
      <c r="I309" s="83"/>
      <c r="J309" s="83"/>
      <c r="K309" s="83"/>
      <c r="L309" s="83"/>
      <c r="M309" s="84"/>
      <c r="N309" s="84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>
      <c r="A310" s="83"/>
      <c r="B310" s="83"/>
      <c r="C310" s="83"/>
      <c r="D310" s="134"/>
      <c r="E310" s="139"/>
      <c r="F310" s="83"/>
      <c r="G310" s="83"/>
      <c r="H310" s="83"/>
      <c r="I310" s="83"/>
      <c r="J310" s="83"/>
      <c r="K310" s="83"/>
      <c r="L310" s="83"/>
      <c r="M310" s="84"/>
      <c r="N310" s="84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>
      <c r="A311" s="83"/>
      <c r="B311" s="83"/>
      <c r="C311" s="83"/>
      <c r="D311" s="134"/>
      <c r="E311" s="138"/>
      <c r="F311" s="83"/>
      <c r="G311" s="83"/>
      <c r="H311" s="83"/>
      <c r="I311" s="83"/>
      <c r="J311" s="83"/>
      <c r="K311" s="83"/>
      <c r="L311" s="83"/>
      <c r="M311" s="84"/>
      <c r="N311" s="84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>
      <c r="A312" s="83"/>
      <c r="B312" s="83"/>
      <c r="C312" s="83"/>
      <c r="D312" s="134"/>
      <c r="E312" s="138"/>
      <c r="F312" s="83"/>
      <c r="G312" s="83"/>
      <c r="H312" s="83"/>
      <c r="I312" s="83"/>
      <c r="J312" s="83"/>
      <c r="K312" s="83"/>
      <c r="L312" s="83"/>
      <c r="M312" s="84"/>
      <c r="N312" s="84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>
      <c r="A313" s="83"/>
      <c r="B313" s="83"/>
      <c r="C313" s="83"/>
      <c r="D313" s="134"/>
      <c r="E313" s="138"/>
      <c r="F313" s="83"/>
      <c r="G313" s="83"/>
      <c r="H313" s="83"/>
      <c r="I313" s="83"/>
      <c r="J313" s="83"/>
      <c r="K313" s="83"/>
      <c r="L313" s="83"/>
      <c r="M313" s="84"/>
      <c r="N313" s="84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>
      <c r="A314" s="83"/>
      <c r="B314" s="83"/>
      <c r="C314" s="83"/>
      <c r="D314" s="134"/>
      <c r="E314" s="138"/>
      <c r="F314" s="83"/>
      <c r="G314" s="83"/>
      <c r="H314" s="83"/>
      <c r="I314" s="83"/>
      <c r="J314" s="83"/>
      <c r="K314" s="83"/>
      <c r="L314" s="83"/>
      <c r="M314" s="84"/>
      <c r="N314" s="84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>
      <c r="A315" s="83"/>
      <c r="B315" s="83"/>
      <c r="C315" s="83"/>
      <c r="D315" s="134"/>
      <c r="E315" s="138"/>
      <c r="F315" s="83"/>
      <c r="G315" s="83"/>
      <c r="H315" s="83"/>
      <c r="I315" s="83"/>
      <c r="J315" s="83"/>
      <c r="K315" s="83"/>
      <c r="L315" s="83"/>
      <c r="M315" s="84"/>
      <c r="N315" s="84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>
      <c r="A316" s="83"/>
      <c r="B316" s="83"/>
      <c r="C316" s="83"/>
      <c r="D316" s="134"/>
      <c r="E316" s="138"/>
      <c r="F316" s="83"/>
      <c r="G316" s="83"/>
      <c r="H316" s="83"/>
      <c r="I316" s="83"/>
      <c r="J316" s="83"/>
      <c r="K316" s="83"/>
      <c r="L316" s="83"/>
      <c r="M316" s="84"/>
      <c r="N316" s="84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>
      <c r="A317" s="83"/>
      <c r="B317" s="83"/>
      <c r="C317" s="83"/>
      <c r="D317" s="134"/>
      <c r="E317" s="138"/>
      <c r="F317" s="83"/>
      <c r="G317" s="83"/>
      <c r="H317" s="83"/>
      <c r="I317" s="83"/>
      <c r="J317" s="83"/>
      <c r="K317" s="83"/>
      <c r="L317" s="83"/>
      <c r="M317" s="84"/>
      <c r="N317" s="84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>
      <c r="A318" s="83"/>
      <c r="B318" s="83"/>
      <c r="C318" s="83"/>
      <c r="D318" s="134"/>
      <c r="E318" s="138"/>
      <c r="F318" s="83"/>
      <c r="G318" s="83"/>
      <c r="H318" s="83"/>
      <c r="I318" s="83"/>
      <c r="J318" s="83"/>
      <c r="K318" s="83"/>
      <c r="L318" s="83"/>
      <c r="M318" s="84"/>
      <c r="N318" s="84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>
      <c r="A319" s="83"/>
      <c r="B319" s="83"/>
      <c r="C319" s="83"/>
      <c r="D319" s="134"/>
      <c r="E319" s="138"/>
      <c r="F319" s="83"/>
      <c r="G319" s="83"/>
      <c r="H319" s="83"/>
      <c r="I319" s="83"/>
      <c r="J319" s="83"/>
      <c r="K319" s="83"/>
      <c r="L319" s="83"/>
      <c r="M319" s="84"/>
      <c r="N319" s="84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>
      <c r="A320" s="83"/>
      <c r="B320" s="83"/>
      <c r="C320" s="83"/>
      <c r="D320" s="134"/>
      <c r="E320" s="138"/>
      <c r="F320" s="83"/>
      <c r="G320" s="83"/>
      <c r="H320" s="83"/>
      <c r="I320" s="83"/>
      <c r="J320" s="83"/>
      <c r="K320" s="83"/>
      <c r="L320" s="83"/>
      <c r="M320" s="84"/>
      <c r="N320" s="84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>
      <c r="A321" s="83"/>
      <c r="B321" s="83"/>
      <c r="C321" s="83"/>
      <c r="D321" s="134"/>
      <c r="E321" s="138"/>
      <c r="F321" s="83"/>
      <c r="G321" s="83"/>
      <c r="H321" s="83"/>
      <c r="I321" s="83"/>
      <c r="J321" s="83"/>
      <c r="K321" s="83"/>
      <c r="L321" s="83"/>
      <c r="M321" s="84"/>
      <c r="N321" s="84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>
      <c r="A322" s="83"/>
      <c r="B322" s="83"/>
      <c r="C322" s="83"/>
      <c r="D322" s="134"/>
      <c r="E322" s="138"/>
      <c r="F322" s="83"/>
      <c r="G322" s="83"/>
      <c r="H322" s="83"/>
      <c r="I322" s="83"/>
      <c r="J322" s="83"/>
      <c r="K322" s="83"/>
      <c r="L322" s="83"/>
      <c r="M322" s="84"/>
      <c r="N322" s="84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>
      <c r="A323" s="83"/>
      <c r="B323" s="83"/>
      <c r="C323" s="83"/>
      <c r="D323" s="134"/>
      <c r="E323" s="138"/>
      <c r="F323" s="83"/>
      <c r="G323" s="83"/>
      <c r="H323" s="83"/>
      <c r="I323" s="83"/>
      <c r="J323" s="83"/>
      <c r="K323" s="83"/>
      <c r="L323" s="83"/>
      <c r="M323" s="84"/>
      <c r="N323" s="84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>
      <c r="A324" s="83"/>
      <c r="B324" s="83"/>
      <c r="C324" s="83"/>
      <c r="D324" s="134"/>
      <c r="E324" s="138"/>
      <c r="F324" s="83"/>
      <c r="G324" s="83"/>
      <c r="H324" s="83"/>
      <c r="I324" s="83"/>
      <c r="J324" s="83"/>
      <c r="K324" s="83"/>
      <c r="L324" s="83"/>
      <c r="M324" s="84"/>
      <c r="N324" s="84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>
      <c r="A325" s="83"/>
      <c r="B325" s="83"/>
      <c r="C325" s="83"/>
      <c r="D325" s="134"/>
      <c r="E325" s="138"/>
      <c r="F325" s="83"/>
      <c r="G325" s="83"/>
      <c r="H325" s="83"/>
      <c r="I325" s="83"/>
      <c r="J325" s="83"/>
      <c r="K325" s="83"/>
      <c r="L325" s="83"/>
      <c r="M325" s="84"/>
      <c r="N325" s="84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>
      <c r="A326" s="83"/>
      <c r="B326" s="83"/>
      <c r="C326" s="83"/>
      <c r="D326" s="134"/>
      <c r="E326" s="138"/>
      <c r="F326" s="83"/>
      <c r="G326" s="83"/>
      <c r="H326" s="83"/>
      <c r="I326" s="83"/>
      <c r="J326" s="83"/>
      <c r="K326" s="83"/>
      <c r="L326" s="83"/>
      <c r="M326" s="84"/>
      <c r="N326" s="84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>
      <c r="A327" s="83"/>
      <c r="B327" s="83"/>
      <c r="C327" s="83"/>
      <c r="D327" s="134"/>
      <c r="E327" s="138"/>
      <c r="F327" s="83"/>
      <c r="G327" s="83"/>
      <c r="H327" s="83"/>
      <c r="I327" s="83"/>
      <c r="J327" s="83"/>
      <c r="K327" s="83"/>
      <c r="L327" s="83"/>
      <c r="M327" s="84"/>
      <c r="N327" s="84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>
      <c r="A328" s="83"/>
      <c r="B328" s="83"/>
      <c r="C328" s="83"/>
      <c r="D328" s="134"/>
      <c r="E328" s="138"/>
      <c r="F328" s="83"/>
      <c r="G328" s="83"/>
      <c r="H328" s="83"/>
      <c r="I328" s="83"/>
      <c r="J328" s="83"/>
      <c r="K328" s="83"/>
      <c r="L328" s="83"/>
      <c r="M328" s="84"/>
      <c r="N328" s="84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>
      <c r="A329" s="83"/>
      <c r="B329" s="83"/>
      <c r="C329" s="83"/>
      <c r="D329" s="134"/>
      <c r="E329" s="138"/>
      <c r="F329" s="83"/>
      <c r="G329" s="83"/>
      <c r="H329" s="83"/>
      <c r="I329" s="83"/>
      <c r="J329" s="83"/>
      <c r="K329" s="83"/>
      <c r="L329" s="83"/>
      <c r="M329" s="84"/>
      <c r="N329" s="84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>
      <c r="A330" s="83"/>
      <c r="B330" s="83"/>
      <c r="C330" s="83"/>
      <c r="D330" s="134"/>
      <c r="E330" s="138"/>
      <c r="F330" s="83"/>
      <c r="G330" s="83"/>
      <c r="H330" s="83"/>
      <c r="I330" s="83"/>
      <c r="J330" s="83"/>
      <c r="K330" s="83"/>
      <c r="L330" s="83"/>
      <c r="M330" s="84"/>
      <c r="N330" s="84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>
      <c r="A331" s="83"/>
      <c r="B331" s="83"/>
      <c r="C331" s="83"/>
      <c r="D331" s="134"/>
      <c r="E331" s="138"/>
      <c r="F331" s="83"/>
      <c r="G331" s="83"/>
      <c r="H331" s="83"/>
      <c r="I331" s="83"/>
      <c r="J331" s="83"/>
      <c r="K331" s="83"/>
      <c r="L331" s="83"/>
      <c r="M331" s="84"/>
      <c r="N331" s="84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>
      <c r="A332" s="83"/>
      <c r="B332" s="83"/>
      <c r="C332" s="83"/>
      <c r="D332" s="134"/>
      <c r="E332" s="138"/>
      <c r="F332" s="83"/>
      <c r="G332" s="83"/>
      <c r="H332" s="83"/>
      <c r="I332" s="83"/>
      <c r="J332" s="83"/>
      <c r="K332" s="83"/>
      <c r="L332" s="83"/>
      <c r="M332" s="84"/>
      <c r="N332" s="84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>
      <c r="A333" s="83"/>
      <c r="B333" s="83"/>
      <c r="C333" s="83"/>
      <c r="D333" s="134"/>
      <c r="E333" s="138"/>
      <c r="F333" s="83"/>
      <c r="G333" s="83"/>
      <c r="H333" s="83"/>
      <c r="I333" s="83"/>
      <c r="J333" s="83"/>
      <c r="K333" s="83"/>
      <c r="L333" s="83"/>
      <c r="M333" s="84"/>
      <c r="N333" s="84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>
      <c r="A334" s="83"/>
      <c r="B334" s="83"/>
      <c r="C334" s="83"/>
      <c r="D334" s="134"/>
      <c r="E334" s="138"/>
      <c r="F334" s="83"/>
      <c r="G334" s="83"/>
      <c r="H334" s="83"/>
      <c r="I334" s="83"/>
      <c r="J334" s="83"/>
      <c r="K334" s="83"/>
      <c r="L334" s="83"/>
      <c r="M334" s="84"/>
      <c r="N334" s="84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>
      <c r="A335" s="83"/>
      <c r="B335" s="83"/>
      <c r="C335" s="83"/>
      <c r="D335" s="134"/>
      <c r="E335" s="138"/>
      <c r="F335" s="83"/>
      <c r="G335" s="83"/>
      <c r="H335" s="83"/>
      <c r="I335" s="83"/>
      <c r="J335" s="83"/>
      <c r="K335" s="83"/>
      <c r="L335" s="83"/>
      <c r="M335" s="84"/>
      <c r="N335" s="84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>
      <c r="A336" s="83"/>
      <c r="B336" s="83"/>
      <c r="C336" s="83"/>
      <c r="D336" s="134"/>
      <c r="E336" s="138"/>
      <c r="F336" s="83"/>
      <c r="G336" s="83"/>
      <c r="H336" s="83"/>
      <c r="I336" s="83"/>
      <c r="J336" s="83"/>
      <c r="K336" s="83"/>
      <c r="L336" s="83"/>
      <c r="M336" s="84"/>
      <c r="N336" s="84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>
      <c r="A337" s="83"/>
      <c r="B337" s="83"/>
      <c r="C337" s="83"/>
      <c r="D337" s="134"/>
      <c r="E337" s="138"/>
      <c r="F337" s="83"/>
      <c r="G337" s="83"/>
      <c r="H337" s="83"/>
      <c r="I337" s="83"/>
      <c r="J337" s="83"/>
      <c r="K337" s="83"/>
      <c r="L337" s="83"/>
      <c r="M337" s="84"/>
      <c r="N337" s="84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>
      <c r="A338" s="83"/>
      <c r="B338" s="83"/>
      <c r="C338" s="83"/>
      <c r="D338" s="134"/>
      <c r="E338" s="138"/>
      <c r="F338" s="83"/>
      <c r="G338" s="83"/>
      <c r="H338" s="83"/>
      <c r="I338" s="83"/>
      <c r="J338" s="83"/>
      <c r="K338" s="83"/>
      <c r="L338" s="83"/>
      <c r="M338" s="84"/>
      <c r="N338" s="84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>
      <c r="A339" s="83"/>
      <c r="B339" s="83"/>
      <c r="C339" s="83"/>
      <c r="D339" s="134"/>
      <c r="E339" s="138"/>
      <c r="F339" s="83"/>
      <c r="G339" s="83"/>
      <c r="H339" s="83"/>
      <c r="I339" s="83"/>
      <c r="J339" s="83"/>
      <c r="K339" s="83"/>
      <c r="L339" s="83"/>
      <c r="M339" s="84"/>
      <c r="N339" s="84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>
      <c r="A340" s="83"/>
      <c r="B340" s="83"/>
      <c r="C340" s="83"/>
      <c r="D340" s="134"/>
      <c r="E340" s="138"/>
      <c r="F340" s="83"/>
      <c r="G340" s="83"/>
      <c r="H340" s="83"/>
      <c r="I340" s="83"/>
      <c r="J340" s="83"/>
      <c r="K340" s="83"/>
      <c r="L340" s="83"/>
      <c r="M340" s="84"/>
      <c r="N340" s="84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>
      <c r="A341" s="83"/>
      <c r="B341" s="83"/>
      <c r="C341" s="83"/>
      <c r="D341" s="134"/>
      <c r="E341" s="138"/>
      <c r="F341" s="83"/>
      <c r="G341" s="83"/>
      <c r="H341" s="83"/>
      <c r="I341" s="83"/>
      <c r="J341" s="83"/>
      <c r="K341" s="83"/>
      <c r="L341" s="83"/>
      <c r="M341" s="84"/>
      <c r="N341" s="84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>
      <c r="A342" s="83"/>
      <c r="B342" s="83"/>
      <c r="C342" s="83"/>
      <c r="D342" s="134"/>
      <c r="E342" s="138"/>
      <c r="F342" s="83"/>
      <c r="G342" s="83"/>
      <c r="H342" s="83"/>
      <c r="I342" s="83"/>
      <c r="J342" s="83"/>
      <c r="K342" s="83"/>
      <c r="L342" s="83"/>
      <c r="M342" s="84"/>
      <c r="N342" s="84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>
      <c r="A343" s="83"/>
      <c r="B343" s="83"/>
      <c r="C343" s="83"/>
      <c r="D343" s="134"/>
      <c r="E343" s="138"/>
      <c r="F343" s="83"/>
      <c r="G343" s="83"/>
      <c r="H343" s="83"/>
      <c r="I343" s="83"/>
      <c r="J343" s="83"/>
      <c r="K343" s="83"/>
      <c r="L343" s="83"/>
      <c r="M343" s="84"/>
      <c r="N343" s="84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>
      <c r="A344" s="83"/>
      <c r="B344" s="83"/>
      <c r="C344" s="83"/>
      <c r="D344" s="134"/>
      <c r="E344" s="138"/>
      <c r="F344" s="83"/>
      <c r="G344" s="83"/>
      <c r="H344" s="83"/>
      <c r="I344" s="83"/>
      <c r="J344" s="83"/>
      <c r="K344" s="83"/>
      <c r="L344" s="83"/>
      <c r="M344" s="84"/>
      <c r="N344" s="84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>
      <c r="A345" s="83"/>
      <c r="B345" s="83"/>
      <c r="C345" s="83"/>
      <c r="D345" s="134"/>
      <c r="E345" s="138"/>
      <c r="F345" s="83"/>
      <c r="G345" s="83"/>
      <c r="H345" s="83"/>
      <c r="I345" s="83"/>
      <c r="J345" s="83"/>
      <c r="K345" s="83"/>
      <c r="L345" s="83"/>
      <c r="M345" s="84"/>
      <c r="N345" s="84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>
      <c r="A346" s="83"/>
      <c r="B346" s="83"/>
      <c r="C346" s="83"/>
      <c r="D346" s="134"/>
      <c r="E346" s="138"/>
      <c r="F346" s="83"/>
      <c r="G346" s="83"/>
      <c r="H346" s="83"/>
      <c r="I346" s="83"/>
      <c r="J346" s="83"/>
      <c r="K346" s="83"/>
      <c r="L346" s="83"/>
      <c r="M346" s="84"/>
      <c r="N346" s="84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>
      <c r="A347" s="83"/>
      <c r="B347" s="83"/>
      <c r="C347" s="83"/>
      <c r="D347" s="134"/>
      <c r="E347" s="138"/>
      <c r="F347" s="83"/>
      <c r="G347" s="83"/>
      <c r="H347" s="83"/>
      <c r="I347" s="83"/>
      <c r="J347" s="83"/>
      <c r="K347" s="83"/>
      <c r="L347" s="83"/>
      <c r="M347" s="84"/>
      <c r="N347" s="84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>
      <c r="A348" s="83"/>
      <c r="B348" s="83"/>
      <c r="C348" s="83"/>
      <c r="D348" s="134"/>
      <c r="E348" s="138"/>
      <c r="F348" s="83"/>
      <c r="G348" s="83"/>
      <c r="H348" s="83"/>
      <c r="I348" s="83"/>
      <c r="J348" s="83"/>
      <c r="K348" s="83"/>
      <c r="L348" s="83"/>
      <c r="M348" s="84"/>
      <c r="N348" s="84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>
      <c r="A349" s="83"/>
      <c r="B349" s="83"/>
      <c r="C349" s="83"/>
      <c r="D349" s="134"/>
      <c r="E349" s="138"/>
      <c r="F349" s="83"/>
      <c r="G349" s="83"/>
      <c r="H349" s="83"/>
      <c r="I349" s="83"/>
      <c r="J349" s="83"/>
      <c r="K349" s="83"/>
      <c r="L349" s="83"/>
      <c r="M349" s="84"/>
      <c r="N349" s="84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>
      <c r="A350" s="83"/>
      <c r="B350" s="83"/>
      <c r="C350" s="83"/>
      <c r="D350" s="134"/>
      <c r="E350" s="138"/>
      <c r="F350" s="83"/>
      <c r="G350" s="83"/>
      <c r="H350" s="83"/>
      <c r="I350" s="83"/>
      <c r="J350" s="83"/>
      <c r="K350" s="83"/>
      <c r="L350" s="83"/>
      <c r="M350" s="84"/>
      <c r="N350" s="84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>
      <c r="A351" s="83"/>
      <c r="B351" s="83"/>
      <c r="C351" s="83"/>
      <c r="D351" s="134"/>
      <c r="E351" s="138"/>
      <c r="F351" s="83"/>
      <c r="G351" s="83"/>
      <c r="H351" s="83"/>
      <c r="I351" s="83"/>
      <c r="J351" s="83"/>
      <c r="K351" s="83"/>
      <c r="L351" s="83"/>
      <c r="M351" s="84"/>
      <c r="N351" s="84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>
      <c r="A352" s="83"/>
      <c r="B352" s="83"/>
      <c r="C352" s="83"/>
      <c r="D352" s="134"/>
      <c r="E352" s="138"/>
      <c r="F352" s="83"/>
      <c r="G352" s="83"/>
      <c r="H352" s="83"/>
      <c r="I352" s="83"/>
      <c r="J352" s="83"/>
      <c r="K352" s="83"/>
      <c r="L352" s="83"/>
      <c r="M352" s="84"/>
      <c r="N352" s="84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>
      <c r="A353" s="83"/>
      <c r="B353" s="83"/>
      <c r="C353" s="83"/>
      <c r="D353" s="134"/>
      <c r="E353" s="138"/>
      <c r="F353" s="83"/>
      <c r="G353" s="83"/>
      <c r="H353" s="83"/>
      <c r="I353" s="83"/>
      <c r="J353" s="83"/>
      <c r="K353" s="83"/>
      <c r="L353" s="83"/>
      <c r="M353" s="84"/>
      <c r="N353" s="84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>
      <c r="A354" s="83"/>
      <c r="B354" s="83"/>
      <c r="C354" s="83"/>
      <c r="D354" s="134"/>
      <c r="E354" s="138"/>
      <c r="F354" s="83"/>
      <c r="G354" s="83"/>
      <c r="H354" s="83"/>
      <c r="I354" s="83"/>
      <c r="J354" s="83"/>
      <c r="K354" s="83"/>
      <c r="L354" s="83"/>
      <c r="M354" s="84"/>
      <c r="N354" s="84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>
      <c r="A355" s="83"/>
      <c r="B355" s="83"/>
      <c r="C355" s="83"/>
      <c r="D355" s="134"/>
      <c r="E355" s="138"/>
      <c r="F355" s="83"/>
      <c r="G355" s="83"/>
      <c r="H355" s="83"/>
      <c r="I355" s="83"/>
      <c r="J355" s="83"/>
      <c r="K355" s="83"/>
      <c r="L355" s="83"/>
      <c r="M355" s="84"/>
      <c r="N355" s="84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>
      <c r="A356" s="83"/>
      <c r="B356" s="83"/>
      <c r="C356" s="83"/>
      <c r="D356" s="134"/>
      <c r="E356" s="138"/>
      <c r="F356" s="83"/>
      <c r="G356" s="83"/>
      <c r="H356" s="83"/>
      <c r="I356" s="83"/>
      <c r="J356" s="83"/>
      <c r="K356" s="83"/>
      <c r="L356" s="83"/>
      <c r="M356" s="84"/>
      <c r="N356" s="84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>
      <c r="A357" s="83"/>
      <c r="B357" s="83"/>
      <c r="C357" s="83"/>
      <c r="D357" s="134"/>
      <c r="E357" s="138"/>
      <c r="F357" s="83"/>
      <c r="G357" s="83"/>
      <c r="H357" s="83"/>
      <c r="I357" s="83"/>
      <c r="J357" s="83"/>
      <c r="K357" s="83"/>
      <c r="L357" s="83"/>
      <c r="M357" s="84"/>
      <c r="N357" s="84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>
      <c r="A358" s="83"/>
      <c r="B358" s="83"/>
      <c r="C358" s="83"/>
      <c r="D358" s="134"/>
      <c r="E358" s="138"/>
      <c r="F358" s="83"/>
      <c r="G358" s="83"/>
      <c r="H358" s="83"/>
      <c r="I358" s="83"/>
      <c r="J358" s="83"/>
      <c r="K358" s="83"/>
      <c r="L358" s="83"/>
      <c r="M358" s="84"/>
      <c r="N358" s="84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>
      <c r="A359" s="83"/>
      <c r="B359" s="83"/>
      <c r="C359" s="83"/>
      <c r="D359" s="134"/>
      <c r="E359" s="138"/>
      <c r="F359" s="83"/>
      <c r="G359" s="83"/>
      <c r="H359" s="83"/>
      <c r="I359" s="83"/>
      <c r="J359" s="83"/>
      <c r="K359" s="83"/>
      <c r="L359" s="83"/>
      <c r="M359" s="84"/>
      <c r="N359" s="84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>
      <c r="A360" s="83"/>
      <c r="B360" s="83"/>
      <c r="C360" s="83"/>
      <c r="D360" s="134"/>
      <c r="E360" s="138"/>
      <c r="F360" s="83"/>
      <c r="G360" s="83"/>
      <c r="H360" s="83"/>
      <c r="I360" s="83"/>
      <c r="J360" s="83"/>
      <c r="K360" s="83"/>
      <c r="L360" s="83"/>
      <c r="M360" s="84"/>
      <c r="N360" s="84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>
      <c r="A361" s="83"/>
      <c r="B361" s="83"/>
      <c r="C361" s="83"/>
      <c r="D361" s="134"/>
      <c r="E361" s="138"/>
      <c r="F361" s="83"/>
      <c r="G361" s="83"/>
      <c r="H361" s="83"/>
      <c r="I361" s="83"/>
      <c r="J361" s="83"/>
      <c r="K361" s="83"/>
      <c r="L361" s="83"/>
      <c r="M361" s="84"/>
      <c r="N361" s="84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>
      <c r="A362" s="83"/>
      <c r="B362" s="83"/>
      <c r="C362" s="83"/>
      <c r="D362" s="134"/>
      <c r="E362" s="138"/>
      <c r="F362" s="83"/>
      <c r="G362" s="83"/>
      <c r="H362" s="83"/>
      <c r="I362" s="83"/>
      <c r="J362" s="83"/>
      <c r="K362" s="83"/>
      <c r="L362" s="83"/>
      <c r="M362" s="84"/>
      <c r="N362" s="84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>
      <c r="A363" s="83"/>
      <c r="B363" s="83"/>
      <c r="C363" s="83"/>
      <c r="D363" s="134"/>
      <c r="E363" s="138"/>
      <c r="F363" s="83"/>
      <c r="G363" s="83"/>
      <c r="H363" s="83"/>
      <c r="I363" s="83"/>
      <c r="J363" s="83"/>
      <c r="K363" s="83"/>
      <c r="L363" s="83"/>
      <c r="M363" s="84"/>
      <c r="N363" s="84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>
      <c r="A364" s="83"/>
      <c r="B364" s="83"/>
      <c r="C364" s="83"/>
      <c r="D364" s="134"/>
      <c r="E364" s="138"/>
      <c r="F364" s="83"/>
      <c r="G364" s="83"/>
      <c r="H364" s="83"/>
      <c r="I364" s="83"/>
      <c r="J364" s="83"/>
      <c r="K364" s="83"/>
      <c r="L364" s="83"/>
      <c r="M364" s="84"/>
      <c r="N364" s="84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>
      <c r="A365" s="83"/>
      <c r="B365" s="83"/>
      <c r="C365" s="83"/>
      <c r="D365" s="134"/>
      <c r="E365" s="138"/>
      <c r="F365" s="83"/>
      <c r="G365" s="83"/>
      <c r="H365" s="83"/>
      <c r="I365" s="83"/>
      <c r="J365" s="83"/>
      <c r="K365" s="83"/>
      <c r="L365" s="83"/>
      <c r="M365" s="84"/>
      <c r="N365" s="84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>
      <c r="A366" s="83"/>
      <c r="B366" s="83"/>
      <c r="C366" s="83"/>
      <c r="D366" s="134"/>
      <c r="E366" s="138"/>
      <c r="F366" s="83"/>
      <c r="G366" s="83"/>
      <c r="H366" s="83"/>
      <c r="I366" s="83"/>
      <c r="J366" s="83"/>
      <c r="K366" s="83"/>
      <c r="L366" s="83"/>
      <c r="M366" s="84"/>
      <c r="N366" s="84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>
      <c r="A367" s="83"/>
      <c r="B367" s="83"/>
      <c r="C367" s="83"/>
      <c r="D367" s="134"/>
      <c r="E367" s="138"/>
      <c r="F367" s="83"/>
      <c r="G367" s="83"/>
      <c r="H367" s="83"/>
      <c r="I367" s="83"/>
      <c r="J367" s="83"/>
      <c r="K367" s="83"/>
      <c r="L367" s="83"/>
      <c r="M367" s="84"/>
      <c r="N367" s="84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>
      <c r="A368" s="83"/>
      <c r="B368" s="83"/>
      <c r="C368" s="83"/>
      <c r="D368" s="134"/>
      <c r="E368" s="138"/>
      <c r="F368" s="83"/>
      <c r="G368" s="83"/>
      <c r="H368" s="83"/>
      <c r="I368" s="83"/>
      <c r="J368" s="83"/>
      <c r="K368" s="83"/>
      <c r="L368" s="83"/>
      <c r="M368" s="84"/>
      <c r="N368" s="84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>
      <c r="A369" s="83"/>
      <c r="B369" s="83"/>
      <c r="C369" s="83"/>
      <c r="D369" s="134"/>
      <c r="E369" s="138"/>
      <c r="F369" s="83"/>
      <c r="G369" s="83"/>
      <c r="H369" s="83"/>
      <c r="I369" s="83"/>
      <c r="J369" s="83"/>
      <c r="K369" s="83"/>
      <c r="L369" s="83"/>
      <c r="M369" s="84"/>
      <c r="N369" s="84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>
      <c r="A370" s="83"/>
      <c r="B370" s="83"/>
      <c r="C370" s="83"/>
      <c r="D370" s="134"/>
      <c r="E370" s="138"/>
      <c r="F370" s="83"/>
      <c r="G370" s="83"/>
      <c r="H370" s="83"/>
      <c r="I370" s="83"/>
      <c r="J370" s="83"/>
      <c r="K370" s="83"/>
      <c r="L370" s="83"/>
      <c r="M370" s="84"/>
      <c r="N370" s="84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>
      <c r="A371" s="83"/>
      <c r="B371" s="83"/>
      <c r="C371" s="83"/>
      <c r="D371" s="134"/>
      <c r="E371" s="138"/>
      <c r="F371" s="83"/>
      <c r="G371" s="83"/>
      <c r="H371" s="83"/>
      <c r="I371" s="83"/>
      <c r="J371" s="83"/>
      <c r="K371" s="83"/>
      <c r="L371" s="83"/>
      <c r="M371" s="84"/>
      <c r="N371" s="84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>
      <c r="A372" s="83"/>
      <c r="B372" s="83"/>
      <c r="C372" s="83"/>
      <c r="D372" s="134"/>
      <c r="E372" s="138"/>
      <c r="F372" s="83"/>
      <c r="G372" s="83"/>
      <c r="H372" s="83"/>
      <c r="I372" s="83"/>
      <c r="J372" s="83"/>
      <c r="K372" s="83"/>
      <c r="L372" s="83"/>
      <c r="M372" s="84"/>
      <c r="N372" s="84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>
      <c r="A373" s="83"/>
      <c r="B373" s="83"/>
      <c r="C373" s="83"/>
      <c r="D373" s="134"/>
      <c r="E373" s="138"/>
      <c r="F373" s="83"/>
      <c r="G373" s="83"/>
      <c r="H373" s="83"/>
      <c r="I373" s="83"/>
      <c r="J373" s="83"/>
      <c r="K373" s="83"/>
      <c r="L373" s="83"/>
      <c r="M373" s="84"/>
      <c r="N373" s="84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>
      <c r="A374" s="83"/>
      <c r="B374" s="83"/>
      <c r="C374" s="83"/>
      <c r="D374" s="134"/>
      <c r="E374" s="138"/>
      <c r="F374" s="83"/>
      <c r="G374" s="83"/>
      <c r="H374" s="83"/>
      <c r="I374" s="83"/>
      <c r="J374" s="83"/>
      <c r="K374" s="83"/>
      <c r="L374" s="83"/>
      <c r="M374" s="84"/>
      <c r="N374" s="84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>
      <c r="A375" s="83"/>
      <c r="B375" s="83"/>
      <c r="C375" s="83"/>
      <c r="D375" s="134"/>
      <c r="E375" s="138"/>
      <c r="F375" s="83"/>
      <c r="G375" s="83"/>
      <c r="H375" s="83"/>
      <c r="I375" s="83"/>
      <c r="J375" s="83"/>
      <c r="K375" s="83"/>
      <c r="L375" s="83"/>
      <c r="M375" s="84"/>
      <c r="N375" s="84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>
      <c r="A376" s="83"/>
      <c r="B376" s="83"/>
      <c r="C376" s="83"/>
      <c r="D376" s="134"/>
      <c r="E376" s="138"/>
      <c r="F376" s="83"/>
      <c r="G376" s="83"/>
      <c r="H376" s="83"/>
      <c r="I376" s="83"/>
      <c r="J376" s="83"/>
      <c r="K376" s="83"/>
      <c r="L376" s="83"/>
      <c r="M376" s="84"/>
      <c r="N376" s="84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>
      <c r="A377" s="83"/>
      <c r="B377" s="83"/>
      <c r="C377" s="83"/>
      <c r="D377" s="134"/>
      <c r="E377" s="138"/>
      <c r="F377" s="83"/>
      <c r="G377" s="83"/>
      <c r="H377" s="83"/>
      <c r="I377" s="83"/>
      <c r="J377" s="83"/>
      <c r="K377" s="83"/>
      <c r="L377" s="83"/>
      <c r="M377" s="84"/>
      <c r="N377" s="84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>
      <c r="A378" s="83"/>
      <c r="B378" s="83"/>
      <c r="C378" s="83"/>
      <c r="D378" s="134"/>
      <c r="E378" s="138"/>
      <c r="F378" s="83"/>
      <c r="G378" s="83"/>
      <c r="H378" s="83"/>
      <c r="I378" s="83"/>
      <c r="J378" s="83"/>
      <c r="K378" s="83"/>
      <c r="L378" s="83"/>
      <c r="M378" s="84"/>
      <c r="N378" s="84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>
      <c r="A379" s="83"/>
      <c r="B379" s="83"/>
      <c r="C379" s="83"/>
      <c r="D379" s="134"/>
      <c r="E379" s="138"/>
      <c r="F379" s="83"/>
      <c r="G379" s="83"/>
      <c r="H379" s="83"/>
      <c r="I379" s="83"/>
      <c r="J379" s="83"/>
      <c r="K379" s="83"/>
      <c r="L379" s="83"/>
      <c r="M379" s="84"/>
      <c r="N379" s="84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>
      <c r="A380" s="83"/>
      <c r="B380" s="83"/>
      <c r="C380" s="83"/>
      <c r="D380" s="134"/>
      <c r="E380" s="138"/>
      <c r="F380" s="83"/>
      <c r="G380" s="83"/>
      <c r="H380" s="83"/>
      <c r="I380" s="83"/>
      <c r="J380" s="83"/>
      <c r="K380" s="83"/>
      <c r="L380" s="83"/>
      <c r="M380" s="84"/>
      <c r="N380" s="84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>
      <c r="A381" s="83"/>
      <c r="B381" s="83"/>
      <c r="C381" s="83"/>
      <c r="D381" s="134"/>
      <c r="E381" s="138"/>
      <c r="F381" s="83"/>
      <c r="G381" s="83"/>
      <c r="H381" s="83"/>
      <c r="I381" s="83"/>
      <c r="J381" s="83"/>
      <c r="K381" s="83"/>
      <c r="L381" s="83"/>
      <c r="M381" s="84"/>
      <c r="N381" s="84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>
      <c r="A382" s="83"/>
      <c r="B382" s="83"/>
      <c r="C382" s="83"/>
      <c r="D382" s="134"/>
      <c r="E382" s="138"/>
      <c r="F382" s="83"/>
      <c r="G382" s="83"/>
      <c r="H382" s="83"/>
      <c r="I382" s="83"/>
      <c r="J382" s="83"/>
      <c r="K382" s="83"/>
      <c r="L382" s="83"/>
      <c r="M382" s="84"/>
      <c r="N382" s="84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>
      <c r="A383" s="91"/>
      <c r="B383" s="83"/>
      <c r="C383" s="83"/>
      <c r="D383" s="134"/>
      <c r="E383" s="138"/>
      <c r="F383" s="83"/>
      <c r="G383" s="83"/>
      <c r="H383" s="83"/>
      <c r="I383" s="83"/>
      <c r="J383" s="83"/>
      <c r="K383" s="83"/>
      <c r="L383" s="83"/>
      <c r="M383" s="84"/>
      <c r="N383" s="84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>
      <c r="A384" s="83"/>
      <c r="B384" s="83"/>
      <c r="C384" s="83"/>
      <c r="D384" s="134"/>
      <c r="E384" s="138"/>
      <c r="F384" s="83"/>
      <c r="G384" s="83"/>
      <c r="H384" s="83"/>
      <c r="I384" s="83"/>
      <c r="J384" s="83"/>
      <c r="K384" s="83"/>
      <c r="L384" s="83"/>
      <c r="M384" s="84"/>
      <c r="N384" s="84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>
      <c r="A385" s="83"/>
      <c r="B385" s="83"/>
      <c r="C385" s="83"/>
      <c r="D385" s="134"/>
      <c r="E385" s="138"/>
      <c r="F385" s="83"/>
      <c r="G385" s="83"/>
      <c r="H385" s="83"/>
      <c r="I385" s="83"/>
      <c r="J385" s="83"/>
      <c r="K385" s="83"/>
      <c r="L385" s="83"/>
      <c r="M385" s="84"/>
      <c r="N385" s="84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>
      <c r="A386" s="83"/>
      <c r="B386" s="83"/>
      <c r="C386" s="83"/>
      <c r="D386" s="134"/>
      <c r="E386" s="138"/>
      <c r="F386" s="83"/>
      <c r="G386" s="83"/>
      <c r="H386" s="83"/>
      <c r="I386" s="83"/>
      <c r="J386" s="83"/>
      <c r="K386" s="83"/>
      <c r="L386" s="83"/>
      <c r="M386" s="84"/>
      <c r="N386" s="84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>
      <c r="A387" s="83"/>
      <c r="B387" s="83"/>
      <c r="C387" s="83"/>
      <c r="D387" s="134"/>
      <c r="E387" s="138"/>
      <c r="F387" s="83"/>
      <c r="G387" s="83"/>
      <c r="H387" s="83"/>
      <c r="I387" s="83"/>
      <c r="J387" s="83"/>
      <c r="K387" s="83"/>
      <c r="L387" s="83"/>
      <c r="M387" s="84"/>
      <c r="N387" s="84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>
      <c r="A388" s="83"/>
      <c r="B388" s="83"/>
      <c r="C388" s="83"/>
      <c r="D388" s="134"/>
      <c r="E388" s="139"/>
      <c r="F388" s="83"/>
      <c r="G388" s="83"/>
      <c r="H388" s="83"/>
      <c r="I388" s="83"/>
      <c r="J388" s="83"/>
      <c r="K388" s="83"/>
      <c r="L388" s="83"/>
      <c r="M388" s="84"/>
      <c r="N388" s="84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>
      <c r="A389" s="83"/>
      <c r="B389" s="83"/>
      <c r="C389" s="83"/>
      <c r="D389" s="134"/>
      <c r="E389" s="138"/>
      <c r="F389" s="83"/>
      <c r="G389" s="83"/>
      <c r="H389" s="83"/>
      <c r="I389" s="83"/>
      <c r="J389" s="83"/>
      <c r="K389" s="83"/>
      <c r="L389" s="83"/>
      <c r="M389" s="84"/>
      <c r="N389" s="84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>
      <c r="A390" s="83"/>
      <c r="B390" s="83"/>
      <c r="C390" s="83"/>
      <c r="D390" s="134"/>
      <c r="E390" s="138"/>
      <c r="F390" s="83"/>
      <c r="G390" s="83"/>
      <c r="H390" s="83"/>
      <c r="I390" s="83"/>
      <c r="J390" s="83"/>
      <c r="K390" s="83"/>
      <c r="L390" s="83"/>
      <c r="M390" s="84"/>
      <c r="N390" s="84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>
      <c r="A391" s="83"/>
      <c r="B391" s="83"/>
      <c r="C391" s="83"/>
      <c r="D391" s="134"/>
      <c r="E391" s="138"/>
      <c r="F391" s="83"/>
      <c r="G391" s="83"/>
      <c r="H391" s="83"/>
      <c r="I391" s="83"/>
      <c r="J391" s="83"/>
      <c r="K391" s="83"/>
      <c r="L391" s="83"/>
      <c r="M391" s="84"/>
      <c r="N391" s="84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>
      <c r="A392" s="83"/>
      <c r="B392" s="83"/>
      <c r="C392" s="83"/>
      <c r="D392" s="134"/>
      <c r="E392" s="138"/>
      <c r="F392" s="83"/>
      <c r="G392" s="83"/>
      <c r="H392" s="83"/>
      <c r="I392" s="83"/>
      <c r="J392" s="83"/>
      <c r="K392" s="83"/>
      <c r="L392" s="83"/>
      <c r="M392" s="84"/>
      <c r="N392" s="84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>
      <c r="A393" s="83"/>
      <c r="B393" s="83"/>
      <c r="C393" s="83"/>
      <c r="D393" s="134"/>
      <c r="E393" s="138"/>
      <c r="F393" s="83"/>
      <c r="G393" s="83"/>
      <c r="H393" s="83"/>
      <c r="I393" s="83"/>
      <c r="J393" s="83"/>
      <c r="K393" s="83"/>
      <c r="L393" s="83"/>
      <c r="M393" s="84"/>
      <c r="N393" s="84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>
      <c r="A394" s="83"/>
      <c r="B394" s="83"/>
      <c r="C394" s="83"/>
      <c r="D394" s="134"/>
      <c r="E394" s="138"/>
      <c r="F394" s="83"/>
      <c r="G394" s="83"/>
      <c r="H394" s="83"/>
      <c r="I394" s="83"/>
      <c r="J394" s="83"/>
      <c r="K394" s="83"/>
      <c r="L394" s="83"/>
      <c r="M394" s="84"/>
      <c r="N394" s="84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>
      <c r="A395" s="83"/>
      <c r="B395" s="83"/>
      <c r="C395" s="83"/>
      <c r="D395" s="134"/>
      <c r="E395" s="138"/>
      <c r="F395" s="83"/>
      <c r="G395" s="83"/>
      <c r="H395" s="83"/>
      <c r="I395" s="83"/>
      <c r="J395" s="83"/>
      <c r="K395" s="83"/>
      <c r="L395" s="83"/>
      <c r="M395" s="84"/>
      <c r="N395" s="84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>
      <c r="A396" s="83"/>
      <c r="B396" s="83"/>
      <c r="C396" s="83"/>
      <c r="D396" s="134"/>
      <c r="E396" s="138"/>
      <c r="F396" s="83"/>
      <c r="G396" s="83"/>
      <c r="H396" s="83"/>
      <c r="I396" s="83"/>
      <c r="J396" s="83"/>
      <c r="K396" s="83"/>
      <c r="L396" s="83"/>
      <c r="M396" s="84"/>
      <c r="N396" s="84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>
      <c r="A397" s="83"/>
      <c r="B397" s="83"/>
      <c r="C397" s="83"/>
      <c r="D397" s="134"/>
      <c r="E397" s="138"/>
      <c r="F397" s="83"/>
      <c r="G397" s="83"/>
      <c r="H397" s="83"/>
      <c r="I397" s="83"/>
      <c r="J397" s="83"/>
      <c r="K397" s="83"/>
      <c r="L397" s="83"/>
      <c r="M397" s="84"/>
      <c r="N397" s="84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>
      <c r="A398" s="83"/>
      <c r="B398" s="83"/>
      <c r="C398" s="83"/>
      <c r="D398" s="134"/>
      <c r="E398" s="138"/>
      <c r="F398" s="83"/>
      <c r="G398" s="83"/>
      <c r="H398" s="83"/>
      <c r="I398" s="83"/>
      <c r="J398" s="83"/>
      <c r="K398" s="83"/>
      <c r="L398" s="83"/>
      <c r="M398" s="84"/>
      <c r="N398" s="84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>
      <c r="A399" s="83"/>
      <c r="B399" s="83"/>
      <c r="C399" s="83"/>
      <c r="D399" s="134"/>
      <c r="E399" s="138"/>
      <c r="F399" s="83"/>
      <c r="G399" s="83"/>
      <c r="H399" s="83"/>
      <c r="I399" s="83"/>
      <c r="J399" s="83"/>
      <c r="K399" s="83"/>
      <c r="L399" s="83"/>
      <c r="M399" s="84"/>
      <c r="N399" s="84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>
      <c r="A400" s="83"/>
      <c r="B400" s="83"/>
      <c r="C400" s="83"/>
      <c r="D400" s="134"/>
      <c r="E400" s="138"/>
      <c r="F400" s="83"/>
      <c r="G400" s="83"/>
      <c r="H400" s="83"/>
      <c r="I400" s="83"/>
      <c r="J400" s="83"/>
      <c r="K400" s="83"/>
      <c r="L400" s="83"/>
      <c r="M400" s="84"/>
      <c r="N400" s="84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>
      <c r="A401" s="83"/>
      <c r="B401" s="83"/>
      <c r="C401" s="83"/>
      <c r="D401" s="134"/>
      <c r="E401" s="138"/>
      <c r="F401" s="83"/>
      <c r="G401" s="83"/>
      <c r="H401" s="83"/>
      <c r="I401" s="83"/>
      <c r="J401" s="83"/>
      <c r="K401" s="83"/>
      <c r="L401" s="83"/>
      <c r="M401" s="84"/>
      <c r="N401" s="84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>
      <c r="A402" s="83"/>
      <c r="B402" s="83"/>
      <c r="C402" s="83"/>
      <c r="D402" s="134"/>
      <c r="E402" s="138"/>
      <c r="F402" s="83"/>
      <c r="G402" s="83"/>
      <c r="H402" s="83"/>
      <c r="I402" s="83"/>
      <c r="J402" s="83"/>
      <c r="K402" s="83"/>
      <c r="L402" s="83"/>
      <c r="M402" s="84"/>
      <c r="N402" s="84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>
      <c r="A403" s="83"/>
      <c r="B403" s="83"/>
      <c r="C403" s="83"/>
      <c r="D403" s="134"/>
      <c r="E403" s="138"/>
      <c r="F403" s="83"/>
      <c r="G403" s="83"/>
      <c r="H403" s="83"/>
      <c r="I403" s="83"/>
      <c r="J403" s="83"/>
      <c r="K403" s="83"/>
      <c r="L403" s="83"/>
      <c r="M403" s="84"/>
      <c r="N403" s="84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>
      <c r="A404" s="83"/>
      <c r="B404" s="83"/>
      <c r="C404" s="83"/>
      <c r="D404" s="134"/>
      <c r="E404" s="138"/>
      <c r="F404" s="83"/>
      <c r="G404" s="83"/>
      <c r="H404" s="83"/>
      <c r="I404" s="83"/>
      <c r="J404" s="83"/>
      <c r="K404" s="83"/>
      <c r="L404" s="83"/>
      <c r="M404" s="84"/>
      <c r="N404" s="84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>
      <c r="A405" s="83"/>
      <c r="B405" s="83"/>
      <c r="C405" s="83"/>
      <c r="D405" s="134"/>
      <c r="E405" s="138"/>
      <c r="F405" s="83"/>
      <c r="G405" s="83"/>
      <c r="H405" s="83"/>
      <c r="I405" s="83"/>
      <c r="J405" s="83"/>
      <c r="K405" s="83"/>
      <c r="L405" s="83"/>
      <c r="M405" s="84"/>
      <c r="N405" s="84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>
      <c r="A406" s="83"/>
      <c r="B406" s="83"/>
      <c r="C406" s="83"/>
      <c r="D406" s="134"/>
      <c r="E406" s="138"/>
      <c r="F406" s="83"/>
      <c r="G406" s="83"/>
      <c r="H406" s="83"/>
      <c r="I406" s="83"/>
      <c r="J406" s="83"/>
      <c r="K406" s="83"/>
      <c r="L406" s="83"/>
      <c r="M406" s="84"/>
      <c r="N406" s="84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>
      <c r="A407" s="83"/>
      <c r="B407" s="83"/>
      <c r="C407" s="83"/>
      <c r="D407" s="134"/>
      <c r="E407" s="138"/>
      <c r="F407" s="83"/>
      <c r="G407" s="83"/>
      <c r="H407" s="83"/>
      <c r="I407" s="83"/>
      <c r="J407" s="83"/>
      <c r="K407" s="83"/>
      <c r="L407" s="83"/>
      <c r="M407" s="84"/>
      <c r="N407" s="84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>
      <c r="A408" s="83"/>
      <c r="B408" s="83"/>
      <c r="C408" s="83"/>
      <c r="D408" s="134"/>
      <c r="E408" s="138"/>
      <c r="F408" s="83"/>
      <c r="G408" s="83"/>
      <c r="H408" s="83"/>
      <c r="I408" s="83"/>
      <c r="J408" s="83"/>
      <c r="K408" s="83"/>
      <c r="L408" s="83"/>
      <c r="M408" s="84"/>
      <c r="N408" s="84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>
      <c r="A409" s="83"/>
      <c r="B409" s="83"/>
      <c r="C409" s="83"/>
      <c r="D409" s="134"/>
      <c r="E409" s="138"/>
      <c r="F409" s="83"/>
      <c r="G409" s="83"/>
      <c r="H409" s="83"/>
      <c r="I409" s="83"/>
      <c r="J409" s="83"/>
      <c r="K409" s="83"/>
      <c r="L409" s="83"/>
      <c r="M409" s="84"/>
      <c r="N409" s="84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>
      <c r="A410" s="83"/>
      <c r="B410" s="83"/>
      <c r="C410" s="83"/>
      <c r="D410" s="134"/>
      <c r="E410" s="138"/>
      <c r="F410" s="83"/>
      <c r="G410" s="83"/>
      <c r="H410" s="83"/>
      <c r="I410" s="83"/>
      <c r="J410" s="83"/>
      <c r="K410" s="83"/>
      <c r="L410" s="83"/>
      <c r="M410" s="84"/>
      <c r="N410" s="84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>
      <c r="A411" s="83"/>
      <c r="B411" s="83"/>
      <c r="C411" s="83"/>
      <c r="D411" s="134"/>
      <c r="E411" s="138"/>
      <c r="F411" s="83"/>
      <c r="G411" s="83"/>
      <c r="H411" s="83"/>
      <c r="I411" s="83"/>
      <c r="J411" s="83"/>
      <c r="K411" s="83"/>
      <c r="L411" s="83"/>
      <c r="M411" s="84"/>
      <c r="N411" s="84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>
      <c r="A412" s="83"/>
      <c r="B412" s="83"/>
      <c r="C412" s="83"/>
      <c r="D412" s="134"/>
      <c r="E412" s="138"/>
      <c r="F412" s="83"/>
      <c r="G412" s="83"/>
      <c r="H412" s="83"/>
      <c r="I412" s="83"/>
      <c r="J412" s="83"/>
      <c r="K412" s="83"/>
      <c r="L412" s="83"/>
      <c r="M412" s="84"/>
      <c r="N412" s="84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>
      <c r="A413" s="83"/>
      <c r="B413" s="83"/>
      <c r="C413" s="83"/>
      <c r="D413" s="134"/>
      <c r="E413" s="138"/>
      <c r="F413" s="83"/>
      <c r="G413" s="83"/>
      <c r="H413" s="83"/>
      <c r="I413" s="83"/>
      <c r="J413" s="83"/>
      <c r="K413" s="83"/>
      <c r="L413" s="83"/>
      <c r="M413" s="84"/>
      <c r="N413" s="84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>
      <c r="A414" s="83"/>
      <c r="B414" s="83"/>
      <c r="C414" s="83"/>
      <c r="D414" s="134"/>
      <c r="E414" s="138"/>
      <c r="F414" s="83"/>
      <c r="G414" s="83"/>
      <c r="H414" s="83"/>
      <c r="I414" s="83"/>
      <c r="J414" s="83"/>
      <c r="K414" s="83"/>
      <c r="L414" s="83"/>
      <c r="M414" s="84"/>
      <c r="N414" s="84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>
      <c r="A415" s="83"/>
      <c r="B415" s="83"/>
      <c r="C415" s="83"/>
      <c r="D415" s="134"/>
      <c r="E415" s="138"/>
      <c r="F415" s="83"/>
      <c r="G415" s="83"/>
      <c r="H415" s="83"/>
      <c r="I415" s="83"/>
      <c r="J415" s="83"/>
      <c r="K415" s="83"/>
      <c r="L415" s="83"/>
      <c r="M415" s="84"/>
      <c r="N415" s="84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>
      <c r="A416" s="83"/>
      <c r="B416" s="83"/>
      <c r="C416" s="83"/>
      <c r="D416" s="134"/>
      <c r="E416" s="138"/>
      <c r="F416" s="83"/>
      <c r="G416" s="83"/>
      <c r="H416" s="83"/>
      <c r="I416" s="83"/>
      <c r="J416" s="83"/>
      <c r="K416" s="83"/>
      <c r="L416" s="83"/>
      <c r="M416" s="84"/>
      <c r="N416" s="84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>
      <c r="A417" s="83"/>
      <c r="B417" s="83"/>
      <c r="C417" s="83"/>
      <c r="D417" s="134"/>
      <c r="E417" s="138"/>
      <c r="F417" s="83"/>
      <c r="G417" s="83"/>
      <c r="H417" s="83"/>
      <c r="I417" s="83"/>
      <c r="J417" s="83"/>
      <c r="K417" s="83"/>
      <c r="L417" s="83"/>
      <c r="M417" s="84"/>
      <c r="N417" s="84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>
      <c r="A418" s="83"/>
      <c r="B418" s="83"/>
      <c r="C418" s="83"/>
      <c r="D418" s="134"/>
      <c r="E418" s="138"/>
      <c r="F418" s="83"/>
      <c r="G418" s="83"/>
      <c r="H418" s="83"/>
      <c r="I418" s="83"/>
      <c r="J418" s="83"/>
      <c r="K418" s="83"/>
      <c r="L418" s="83"/>
      <c r="M418" s="84"/>
      <c r="N418" s="84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>
      <c r="A419" s="83"/>
      <c r="B419" s="83"/>
      <c r="C419" s="83"/>
      <c r="D419" s="134"/>
      <c r="E419" s="138"/>
      <c r="F419" s="83"/>
      <c r="G419" s="83"/>
      <c r="H419" s="83"/>
      <c r="I419" s="83"/>
      <c r="J419" s="83"/>
      <c r="K419" s="83"/>
      <c r="L419" s="83"/>
      <c r="M419" s="84"/>
      <c r="N419" s="84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>
      <c r="A420" s="83"/>
      <c r="B420" s="83"/>
      <c r="C420" s="83"/>
      <c r="D420" s="134"/>
      <c r="E420" s="138"/>
      <c r="F420" s="83"/>
      <c r="G420" s="83"/>
      <c r="H420" s="83"/>
      <c r="I420" s="83"/>
      <c r="J420" s="83"/>
      <c r="K420" s="83"/>
      <c r="L420" s="83"/>
      <c r="M420" s="84"/>
      <c r="N420" s="84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>
      <c r="A421" s="83"/>
      <c r="B421" s="83"/>
      <c r="C421" s="83"/>
      <c r="D421" s="134"/>
      <c r="E421" s="138"/>
      <c r="F421" s="83"/>
      <c r="G421" s="83"/>
      <c r="H421" s="83"/>
      <c r="I421" s="83"/>
      <c r="J421" s="83"/>
      <c r="K421" s="83"/>
      <c r="L421" s="83"/>
      <c r="M421" s="84"/>
      <c r="N421" s="84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>
      <c r="A422" s="83"/>
      <c r="B422" s="83"/>
      <c r="C422" s="83"/>
      <c r="D422" s="134"/>
      <c r="E422" s="138"/>
      <c r="F422" s="83"/>
      <c r="G422" s="83"/>
      <c r="H422" s="83"/>
      <c r="I422" s="83"/>
      <c r="J422" s="83"/>
      <c r="K422" s="83"/>
      <c r="L422" s="83"/>
      <c r="M422" s="84"/>
      <c r="N422" s="84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>
      <c r="A423" s="83"/>
      <c r="B423" s="83"/>
      <c r="C423" s="83"/>
      <c r="D423" s="134"/>
      <c r="E423" s="138"/>
      <c r="F423" s="83"/>
      <c r="G423" s="83"/>
      <c r="H423" s="83"/>
      <c r="I423" s="83"/>
      <c r="J423" s="83"/>
      <c r="K423" s="83"/>
      <c r="L423" s="83"/>
      <c r="M423" s="84"/>
      <c r="N423" s="84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>
      <c r="A424" s="83"/>
      <c r="B424" s="83"/>
      <c r="C424" s="83"/>
      <c r="D424" s="134"/>
      <c r="E424" s="138"/>
      <c r="F424" s="83"/>
      <c r="G424" s="83"/>
      <c r="H424" s="83"/>
      <c r="I424" s="83"/>
      <c r="J424" s="83"/>
      <c r="K424" s="83"/>
      <c r="L424" s="83"/>
      <c r="M424" s="84"/>
      <c r="N424" s="84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>
      <c r="A425" s="83"/>
      <c r="B425" s="83"/>
      <c r="C425" s="83"/>
      <c r="D425" s="134"/>
      <c r="E425" s="138"/>
      <c r="F425" s="83"/>
      <c r="G425" s="83"/>
      <c r="H425" s="83"/>
      <c r="I425" s="83"/>
      <c r="J425" s="83"/>
      <c r="K425" s="83"/>
      <c r="L425" s="83"/>
      <c r="M425" s="84"/>
      <c r="N425" s="84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>
      <c r="A426" s="83"/>
      <c r="B426" s="83"/>
      <c r="C426" s="83"/>
      <c r="D426" s="134"/>
      <c r="E426" s="138"/>
      <c r="F426" s="83"/>
      <c r="G426" s="83"/>
      <c r="H426" s="83"/>
      <c r="I426" s="83"/>
      <c r="J426" s="83"/>
      <c r="K426" s="83"/>
      <c r="L426" s="83"/>
      <c r="M426" s="84"/>
      <c r="N426" s="84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>
      <c r="A427" s="83"/>
      <c r="B427" s="83"/>
      <c r="C427" s="83"/>
      <c r="D427" s="134"/>
      <c r="E427" s="138"/>
      <c r="F427" s="83"/>
      <c r="G427" s="83"/>
      <c r="H427" s="83"/>
      <c r="I427" s="83"/>
      <c r="J427" s="83"/>
      <c r="K427" s="83"/>
      <c r="L427" s="83"/>
      <c r="M427" s="84"/>
      <c r="N427" s="84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>
      <c r="A428" s="83"/>
      <c r="B428" s="83"/>
      <c r="C428" s="83"/>
      <c r="D428" s="134"/>
      <c r="E428" s="138"/>
      <c r="F428" s="83"/>
      <c r="G428" s="83"/>
      <c r="H428" s="83"/>
      <c r="I428" s="83"/>
      <c r="J428" s="83"/>
      <c r="K428" s="83"/>
      <c r="L428" s="83"/>
      <c r="M428" s="84"/>
      <c r="N428" s="84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>
      <c r="A429" s="83"/>
      <c r="B429" s="83"/>
      <c r="C429" s="83"/>
      <c r="D429" s="134"/>
      <c r="E429" s="138"/>
      <c r="F429" s="83"/>
      <c r="G429" s="83"/>
      <c r="H429" s="83"/>
      <c r="I429" s="83"/>
      <c r="J429" s="83"/>
      <c r="K429" s="83"/>
      <c r="L429" s="83"/>
      <c r="M429" s="84"/>
      <c r="N429" s="84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>
      <c r="A430" s="83"/>
      <c r="B430" s="83"/>
      <c r="C430" s="83"/>
      <c r="D430" s="134"/>
      <c r="E430" s="138"/>
      <c r="F430" s="83"/>
      <c r="G430" s="83"/>
      <c r="H430" s="83"/>
      <c r="I430" s="83"/>
      <c r="J430" s="83"/>
      <c r="K430" s="83"/>
      <c r="L430" s="83"/>
      <c r="M430" s="84"/>
      <c r="N430" s="84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>
      <c r="A431" s="83"/>
      <c r="B431" s="83"/>
      <c r="C431" s="83"/>
      <c r="D431" s="134"/>
      <c r="E431" s="138"/>
      <c r="F431" s="83"/>
      <c r="G431" s="83"/>
      <c r="H431" s="83"/>
      <c r="I431" s="83"/>
      <c r="J431" s="83"/>
      <c r="K431" s="83"/>
      <c r="L431" s="83"/>
      <c r="M431" s="84"/>
      <c r="N431" s="84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>
      <c r="A432" s="83"/>
      <c r="B432" s="83"/>
      <c r="C432" s="83"/>
      <c r="D432" s="134"/>
      <c r="E432" s="138"/>
      <c r="F432" s="83"/>
      <c r="G432" s="83"/>
      <c r="H432" s="83"/>
      <c r="I432" s="83"/>
      <c r="J432" s="83"/>
      <c r="K432" s="83"/>
      <c r="L432" s="83"/>
      <c r="M432" s="84"/>
      <c r="N432" s="84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>
      <c r="A433" s="83"/>
      <c r="B433" s="83"/>
      <c r="C433" s="83"/>
      <c r="D433" s="134"/>
      <c r="E433" s="138"/>
      <c r="F433" s="83"/>
      <c r="G433" s="83"/>
      <c r="H433" s="83"/>
      <c r="I433" s="83"/>
      <c r="J433" s="83"/>
      <c r="K433" s="83"/>
      <c r="L433" s="83"/>
      <c r="M433" s="84"/>
      <c r="N433" s="84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>
      <c r="A434" s="83"/>
      <c r="B434" s="83"/>
      <c r="C434" s="83"/>
      <c r="D434" s="134"/>
      <c r="E434" s="138"/>
      <c r="F434" s="83"/>
      <c r="G434" s="83"/>
      <c r="H434" s="83"/>
      <c r="I434" s="83"/>
      <c r="J434" s="83"/>
      <c r="K434" s="83"/>
      <c r="L434" s="83"/>
      <c r="M434" s="84"/>
      <c r="N434" s="84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>
      <c r="A435" s="83"/>
      <c r="B435" s="83"/>
      <c r="C435" s="83"/>
      <c r="D435" s="134"/>
      <c r="E435" s="138"/>
      <c r="F435" s="83"/>
      <c r="G435" s="83"/>
      <c r="H435" s="83"/>
      <c r="I435" s="83"/>
      <c r="J435" s="83"/>
      <c r="K435" s="83"/>
      <c r="L435" s="83"/>
      <c r="M435" s="84"/>
      <c r="N435" s="84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>
      <c r="A436" s="83"/>
      <c r="B436" s="83"/>
      <c r="C436" s="83"/>
      <c r="D436" s="134"/>
      <c r="E436" s="138"/>
      <c r="F436" s="83"/>
      <c r="G436" s="83"/>
      <c r="H436" s="83"/>
      <c r="I436" s="83"/>
      <c r="J436" s="83"/>
      <c r="K436" s="83"/>
      <c r="L436" s="83"/>
      <c r="M436" s="84"/>
      <c r="N436" s="84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>
      <c r="A437" s="83"/>
      <c r="B437" s="83"/>
      <c r="C437" s="83"/>
      <c r="D437" s="134"/>
      <c r="E437" s="138"/>
      <c r="F437" s="83"/>
      <c r="G437" s="83"/>
      <c r="H437" s="83"/>
      <c r="I437" s="83"/>
      <c r="J437" s="83"/>
      <c r="K437" s="83"/>
      <c r="L437" s="83"/>
      <c r="M437" s="84"/>
      <c r="N437" s="84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>
      <c r="A438" s="83"/>
      <c r="B438" s="83"/>
      <c r="C438" s="83"/>
      <c r="D438" s="134"/>
      <c r="E438" s="138"/>
      <c r="F438" s="83"/>
      <c r="G438" s="83"/>
      <c r="H438" s="83"/>
      <c r="I438" s="83"/>
      <c r="J438" s="83"/>
      <c r="K438" s="83"/>
      <c r="L438" s="83"/>
      <c r="M438" s="84"/>
      <c r="N438" s="84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>
      <c r="A439" s="83"/>
      <c r="B439" s="83"/>
      <c r="C439" s="83"/>
      <c r="D439" s="134"/>
      <c r="E439" s="138"/>
      <c r="F439" s="83"/>
      <c r="G439" s="83"/>
      <c r="H439" s="83"/>
      <c r="I439" s="83"/>
      <c r="J439" s="83"/>
      <c r="K439" s="83"/>
      <c r="L439" s="83"/>
      <c r="M439" s="84"/>
      <c r="N439" s="84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>
      <c r="A440" s="83"/>
      <c r="B440" s="83"/>
      <c r="C440" s="83"/>
      <c r="D440" s="134"/>
      <c r="E440" s="138"/>
      <c r="F440" s="83"/>
      <c r="G440" s="83"/>
      <c r="H440" s="83"/>
      <c r="I440" s="83"/>
      <c r="J440" s="83"/>
      <c r="K440" s="83"/>
      <c r="L440" s="83"/>
      <c r="M440" s="84"/>
      <c r="N440" s="84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>
      <c r="A441" s="83"/>
      <c r="B441" s="83"/>
      <c r="C441" s="83"/>
      <c r="D441" s="134"/>
      <c r="E441" s="138"/>
      <c r="F441" s="83"/>
      <c r="G441" s="83"/>
      <c r="H441" s="83"/>
      <c r="I441" s="83"/>
      <c r="J441" s="83"/>
      <c r="K441" s="83"/>
      <c r="L441" s="83"/>
      <c r="M441" s="84"/>
      <c r="N441" s="84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>
      <c r="A442" s="83"/>
      <c r="B442" s="83"/>
      <c r="C442" s="83"/>
      <c r="D442" s="134"/>
      <c r="E442" s="138"/>
      <c r="F442" s="83"/>
      <c r="G442" s="83"/>
      <c r="H442" s="83"/>
      <c r="I442" s="83"/>
      <c r="J442" s="83"/>
      <c r="K442" s="83"/>
      <c r="L442" s="83"/>
      <c r="M442" s="84"/>
      <c r="N442" s="84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>
      <c r="A443" s="83"/>
      <c r="B443" s="83"/>
      <c r="C443" s="83"/>
      <c r="D443" s="134"/>
      <c r="E443" s="138"/>
      <c r="F443" s="83"/>
      <c r="G443" s="83"/>
      <c r="H443" s="83"/>
      <c r="I443" s="83"/>
      <c r="J443" s="83"/>
      <c r="K443" s="83"/>
      <c r="L443" s="83"/>
      <c r="M443" s="84"/>
      <c r="N443" s="84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>
      <c r="A444" s="83"/>
      <c r="B444" s="83"/>
      <c r="C444" s="83"/>
      <c r="D444" s="134"/>
      <c r="E444" s="138"/>
      <c r="F444" s="83"/>
      <c r="G444" s="83"/>
      <c r="H444" s="83"/>
      <c r="I444" s="83"/>
      <c r="J444" s="83"/>
      <c r="K444" s="83"/>
      <c r="L444" s="83"/>
      <c r="M444" s="84"/>
      <c r="N444" s="84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>
      <c r="A445" s="83"/>
      <c r="B445" s="83"/>
      <c r="C445" s="83"/>
      <c r="D445" s="134"/>
      <c r="E445" s="138"/>
      <c r="F445" s="83"/>
      <c r="G445" s="83"/>
      <c r="H445" s="83"/>
      <c r="I445" s="83"/>
      <c r="J445" s="83"/>
      <c r="K445" s="83"/>
      <c r="L445" s="83"/>
      <c r="M445" s="84"/>
      <c r="N445" s="84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>
      <c r="A446" s="83"/>
      <c r="B446" s="83"/>
      <c r="C446" s="83"/>
      <c r="D446" s="134"/>
      <c r="E446" s="138"/>
      <c r="F446" s="83"/>
      <c r="G446" s="83"/>
      <c r="H446" s="83"/>
      <c r="I446" s="83"/>
      <c r="J446" s="83"/>
      <c r="K446" s="83"/>
      <c r="L446" s="83"/>
      <c r="M446" s="84"/>
      <c r="N446" s="84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>
      <c r="A447" s="83"/>
      <c r="B447" s="83"/>
      <c r="C447" s="83"/>
      <c r="D447" s="134"/>
      <c r="E447" s="138"/>
      <c r="F447" s="83"/>
      <c r="G447" s="83"/>
      <c r="H447" s="83"/>
      <c r="I447" s="83"/>
      <c r="J447" s="83"/>
      <c r="K447" s="83"/>
      <c r="L447" s="83"/>
      <c r="M447" s="84"/>
      <c r="N447" s="84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>
      <c r="A448" s="83"/>
      <c r="B448" s="83"/>
      <c r="C448" s="83"/>
      <c r="D448" s="134"/>
      <c r="E448" s="138"/>
      <c r="F448" s="83"/>
      <c r="G448" s="83"/>
      <c r="H448" s="83"/>
      <c r="I448" s="83"/>
      <c r="J448" s="83"/>
      <c r="K448" s="83"/>
      <c r="L448" s="83"/>
      <c r="M448" s="84"/>
      <c r="N448" s="84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>
      <c r="A449" s="83"/>
      <c r="B449" s="83"/>
      <c r="C449" s="83"/>
      <c r="D449" s="134"/>
      <c r="E449" s="138"/>
      <c r="F449" s="83"/>
      <c r="G449" s="83"/>
      <c r="H449" s="83"/>
      <c r="I449" s="83"/>
      <c r="J449" s="83"/>
      <c r="K449" s="83"/>
      <c r="L449" s="83"/>
      <c r="M449" s="84"/>
      <c r="N449" s="84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>
      <c r="A450" s="83"/>
      <c r="B450" s="83"/>
      <c r="C450" s="83"/>
      <c r="D450" s="134"/>
      <c r="E450" s="138"/>
      <c r="F450" s="83"/>
      <c r="G450" s="83"/>
      <c r="H450" s="83"/>
      <c r="I450" s="83"/>
      <c r="J450" s="83"/>
      <c r="K450" s="83"/>
      <c r="L450" s="83"/>
      <c r="M450" s="84"/>
      <c r="N450" s="84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>
      <c r="A451" s="83"/>
      <c r="B451" s="83"/>
      <c r="C451" s="83"/>
      <c r="D451" s="134"/>
      <c r="E451" s="138"/>
      <c r="F451" s="83"/>
      <c r="G451" s="83"/>
      <c r="H451" s="83"/>
      <c r="I451" s="83"/>
      <c r="J451" s="83"/>
      <c r="K451" s="83"/>
      <c r="L451" s="83"/>
      <c r="M451" s="84"/>
      <c r="N451" s="84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>
      <c r="A452" s="83"/>
      <c r="B452" s="83"/>
      <c r="C452" s="83"/>
      <c r="D452" s="134"/>
      <c r="E452" s="138"/>
      <c r="F452" s="83"/>
      <c r="G452" s="83"/>
      <c r="H452" s="83"/>
      <c r="I452" s="83"/>
      <c r="J452" s="83"/>
      <c r="K452" s="83"/>
      <c r="L452" s="83"/>
      <c r="M452" s="84"/>
      <c r="N452" s="84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>
      <c r="A453" s="83"/>
      <c r="B453" s="83"/>
      <c r="C453" s="83"/>
      <c r="D453" s="134"/>
      <c r="E453" s="138"/>
      <c r="F453" s="83"/>
      <c r="G453" s="83"/>
      <c r="H453" s="83"/>
      <c r="I453" s="83"/>
      <c r="J453" s="83"/>
      <c r="K453" s="83"/>
      <c r="L453" s="83"/>
      <c r="M453" s="84"/>
      <c r="N453" s="84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>
      <c r="A454" s="83"/>
      <c r="B454" s="83"/>
      <c r="C454" s="83"/>
      <c r="D454" s="134"/>
      <c r="E454" s="138"/>
      <c r="F454" s="83"/>
      <c r="G454" s="83"/>
      <c r="H454" s="83"/>
      <c r="I454" s="83"/>
      <c r="J454" s="83"/>
      <c r="K454" s="83"/>
      <c r="L454" s="83"/>
      <c r="M454" s="84"/>
      <c r="N454" s="84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>
      <c r="A455" s="83"/>
      <c r="B455" s="83"/>
      <c r="C455" s="83"/>
      <c r="D455" s="134"/>
      <c r="E455" s="138"/>
      <c r="F455" s="83"/>
      <c r="G455" s="83"/>
      <c r="H455" s="83"/>
      <c r="I455" s="83"/>
      <c r="J455" s="83"/>
      <c r="K455" s="83"/>
      <c r="L455" s="83"/>
      <c r="M455" s="84"/>
      <c r="N455" s="84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>
      <c r="A456" s="83"/>
      <c r="B456" s="83"/>
      <c r="C456" s="83"/>
      <c r="D456" s="134"/>
      <c r="E456" s="138"/>
      <c r="F456" s="83"/>
      <c r="G456" s="83"/>
      <c r="H456" s="83"/>
      <c r="I456" s="83"/>
      <c r="J456" s="83"/>
      <c r="K456" s="83"/>
      <c r="L456" s="83"/>
      <c r="M456" s="84"/>
      <c r="N456" s="84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>
      <c r="A457" s="83"/>
      <c r="B457" s="83"/>
      <c r="C457" s="83"/>
      <c r="D457" s="134"/>
      <c r="E457" s="138"/>
      <c r="F457" s="83"/>
      <c r="G457" s="83"/>
      <c r="H457" s="83"/>
      <c r="I457" s="83"/>
      <c r="J457" s="83"/>
      <c r="K457" s="83"/>
      <c r="L457" s="83"/>
      <c r="M457" s="84"/>
      <c r="N457" s="84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>
      <c r="A458" s="83"/>
      <c r="B458" s="83"/>
      <c r="C458" s="83"/>
      <c r="D458" s="134"/>
      <c r="E458" s="138"/>
      <c r="F458" s="83"/>
      <c r="G458" s="83"/>
      <c r="H458" s="83"/>
      <c r="I458" s="83"/>
      <c r="J458" s="83"/>
      <c r="K458" s="83"/>
      <c r="L458" s="83"/>
      <c r="M458" s="84"/>
      <c r="N458" s="84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>
      <c r="A459" s="83"/>
      <c r="B459" s="83"/>
      <c r="C459" s="83"/>
      <c r="D459" s="134"/>
      <c r="E459" s="138"/>
      <c r="F459" s="83"/>
      <c r="G459" s="83"/>
      <c r="H459" s="83"/>
      <c r="I459" s="83"/>
      <c r="J459" s="83"/>
      <c r="K459" s="83"/>
      <c r="L459" s="83"/>
      <c r="M459" s="84"/>
      <c r="N459" s="84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>
      <c r="A460" s="83"/>
      <c r="B460" s="83"/>
      <c r="C460" s="83"/>
      <c r="D460" s="134"/>
      <c r="E460" s="138"/>
      <c r="F460" s="83"/>
      <c r="G460" s="83"/>
      <c r="H460" s="83"/>
      <c r="I460" s="83"/>
      <c r="J460" s="83"/>
      <c r="K460" s="83"/>
      <c r="L460" s="83"/>
      <c r="M460" s="84"/>
      <c r="N460" s="84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>
      <c r="A461" s="83"/>
      <c r="B461" s="83"/>
      <c r="C461" s="83"/>
      <c r="D461" s="134"/>
      <c r="E461" s="138"/>
      <c r="F461" s="83"/>
      <c r="G461" s="83"/>
      <c r="H461" s="83"/>
      <c r="I461" s="83"/>
      <c r="J461" s="83"/>
      <c r="K461" s="83"/>
      <c r="L461" s="83"/>
      <c r="M461" s="84"/>
      <c r="N461" s="84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>
      <c r="A462" s="83"/>
      <c r="B462" s="83"/>
      <c r="C462" s="83"/>
      <c r="D462" s="134"/>
      <c r="E462" s="138"/>
      <c r="F462" s="83"/>
      <c r="G462" s="83"/>
      <c r="H462" s="83"/>
      <c r="I462" s="83"/>
      <c r="J462" s="83"/>
      <c r="K462" s="83"/>
      <c r="L462" s="83"/>
      <c r="M462" s="84"/>
      <c r="N462" s="84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>
      <c r="A463" s="83"/>
      <c r="B463" s="83"/>
      <c r="C463" s="83"/>
      <c r="D463" s="134"/>
      <c r="E463" s="138"/>
      <c r="F463" s="83"/>
      <c r="G463" s="83"/>
      <c r="H463" s="83"/>
      <c r="I463" s="83"/>
      <c r="J463" s="83"/>
      <c r="K463" s="83"/>
      <c r="L463" s="83"/>
      <c r="M463" s="84"/>
      <c r="N463" s="84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>
      <c r="A464" s="83"/>
      <c r="B464" s="83"/>
      <c r="C464" s="83"/>
      <c r="D464" s="134"/>
      <c r="E464" s="138"/>
      <c r="F464" s="83"/>
      <c r="G464" s="83"/>
      <c r="H464" s="83"/>
      <c r="I464" s="83"/>
      <c r="J464" s="83"/>
      <c r="K464" s="83"/>
      <c r="L464" s="83"/>
      <c r="M464" s="84"/>
      <c r="N464" s="84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>
      <c r="A465" s="83"/>
      <c r="B465" s="83"/>
      <c r="C465" s="83"/>
      <c r="D465" s="134"/>
      <c r="E465" s="138"/>
      <c r="F465" s="83"/>
      <c r="G465" s="83"/>
      <c r="H465" s="83"/>
      <c r="I465" s="83"/>
      <c r="J465" s="83"/>
      <c r="K465" s="83"/>
      <c r="L465" s="83"/>
      <c r="M465" s="84"/>
      <c r="N465" s="84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>
      <c r="A466" s="83"/>
      <c r="B466" s="83"/>
      <c r="C466" s="83"/>
      <c r="D466" s="134"/>
      <c r="E466" s="138"/>
      <c r="F466" s="83"/>
      <c r="G466" s="83"/>
      <c r="H466" s="83"/>
      <c r="I466" s="83"/>
      <c r="J466" s="83"/>
      <c r="K466" s="83"/>
      <c r="L466" s="83"/>
      <c r="M466" s="84"/>
      <c r="N466" s="84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>
      <c r="A467" s="83"/>
      <c r="B467" s="83"/>
      <c r="C467" s="83"/>
      <c r="D467" s="134"/>
      <c r="E467" s="138"/>
      <c r="F467" s="83"/>
      <c r="G467" s="83"/>
      <c r="H467" s="83"/>
      <c r="I467" s="83"/>
      <c r="J467" s="83"/>
      <c r="K467" s="83"/>
      <c r="L467" s="83"/>
      <c r="M467" s="84"/>
      <c r="N467" s="84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>
      <c r="A468" s="83"/>
      <c r="B468" s="83"/>
      <c r="C468" s="83"/>
      <c r="D468" s="134"/>
      <c r="E468" s="138"/>
      <c r="F468" s="83"/>
      <c r="G468" s="83"/>
      <c r="H468" s="83"/>
      <c r="I468" s="83"/>
      <c r="J468" s="83"/>
      <c r="K468" s="83"/>
      <c r="L468" s="83"/>
      <c r="M468" s="84"/>
      <c r="N468" s="84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>
      <c r="A469" s="83"/>
      <c r="B469" s="83"/>
      <c r="C469" s="83"/>
      <c r="D469" s="134"/>
      <c r="E469" s="138"/>
      <c r="F469" s="83"/>
      <c r="G469" s="83"/>
      <c r="H469" s="83"/>
      <c r="I469" s="83"/>
      <c r="J469" s="83"/>
      <c r="K469" s="83"/>
      <c r="L469" s="83"/>
      <c r="M469" s="84"/>
      <c r="N469" s="84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>
      <c r="A470" s="83"/>
      <c r="B470" s="83"/>
      <c r="C470" s="83"/>
      <c r="D470" s="134"/>
      <c r="E470" s="138"/>
      <c r="F470" s="83"/>
      <c r="G470" s="83"/>
      <c r="H470" s="83"/>
      <c r="I470" s="83"/>
      <c r="J470" s="83"/>
      <c r="K470" s="83"/>
      <c r="L470" s="83"/>
      <c r="M470" s="84"/>
      <c r="N470" s="84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>
      <c r="A471" s="83"/>
      <c r="B471" s="83"/>
      <c r="C471" s="83"/>
      <c r="D471" s="134"/>
      <c r="E471" s="138"/>
      <c r="F471" s="83"/>
      <c r="G471" s="83"/>
      <c r="H471" s="83"/>
      <c r="I471" s="83"/>
      <c r="J471" s="83"/>
      <c r="K471" s="83"/>
      <c r="L471" s="83"/>
      <c r="M471" s="84"/>
      <c r="N471" s="84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>
      <c r="A472" s="83"/>
      <c r="B472" s="83"/>
      <c r="C472" s="83"/>
      <c r="D472" s="134"/>
      <c r="E472" s="138"/>
      <c r="F472" s="83"/>
      <c r="G472" s="83"/>
      <c r="H472" s="83"/>
      <c r="I472" s="83"/>
      <c r="J472" s="83"/>
      <c r="K472" s="83"/>
      <c r="L472" s="83"/>
      <c r="M472" s="84"/>
      <c r="N472" s="84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>
      <c r="A473" s="83"/>
      <c r="B473" s="83"/>
      <c r="C473" s="83"/>
      <c r="D473" s="134"/>
      <c r="E473" s="138"/>
      <c r="F473" s="83"/>
      <c r="G473" s="83"/>
      <c r="H473" s="83"/>
      <c r="I473" s="83"/>
      <c r="J473" s="83"/>
      <c r="K473" s="83"/>
      <c r="L473" s="83"/>
      <c r="M473" s="84"/>
      <c r="N473" s="84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>
      <c r="A474" s="83"/>
      <c r="B474" s="83"/>
      <c r="C474" s="83"/>
      <c r="D474" s="134"/>
      <c r="E474" s="138"/>
      <c r="F474" s="83"/>
      <c r="G474" s="83"/>
      <c r="H474" s="83"/>
      <c r="I474" s="83"/>
      <c r="J474" s="83"/>
      <c r="K474" s="83"/>
      <c r="L474" s="83"/>
      <c r="M474" s="84"/>
      <c r="N474" s="84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>
      <c r="A475" s="83"/>
      <c r="B475" s="83"/>
      <c r="C475" s="83"/>
      <c r="D475" s="134"/>
      <c r="E475" s="138"/>
      <c r="F475" s="83"/>
      <c r="G475" s="83"/>
      <c r="H475" s="83"/>
      <c r="I475" s="83"/>
      <c r="J475" s="83"/>
      <c r="K475" s="83"/>
      <c r="L475" s="83"/>
      <c r="M475" s="84"/>
      <c r="N475" s="84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>
      <c r="A476" s="83"/>
      <c r="B476" s="83"/>
      <c r="C476" s="83"/>
      <c r="D476" s="134"/>
      <c r="E476" s="138"/>
      <c r="F476" s="83"/>
      <c r="G476" s="83"/>
      <c r="H476" s="83"/>
      <c r="I476" s="83"/>
      <c r="J476" s="83"/>
      <c r="K476" s="83"/>
      <c r="L476" s="83"/>
      <c r="M476" s="84"/>
      <c r="N476" s="84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>
      <c r="A477" s="83"/>
      <c r="B477" s="83"/>
      <c r="C477" s="83"/>
      <c r="D477" s="134"/>
      <c r="E477" s="138"/>
      <c r="F477" s="83"/>
      <c r="G477" s="83"/>
      <c r="H477" s="83"/>
      <c r="I477" s="83"/>
      <c r="J477" s="83"/>
      <c r="K477" s="83"/>
      <c r="L477" s="83"/>
      <c r="M477" s="84"/>
      <c r="N477" s="84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>
      <c r="A478" s="83"/>
      <c r="B478" s="83"/>
      <c r="C478" s="83"/>
      <c r="D478" s="134"/>
      <c r="E478" s="138"/>
      <c r="F478" s="83"/>
      <c r="G478" s="83"/>
      <c r="H478" s="83"/>
      <c r="I478" s="83"/>
      <c r="J478" s="83"/>
      <c r="K478" s="83"/>
      <c r="L478" s="83"/>
      <c r="M478" s="84"/>
      <c r="N478" s="84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>
      <c r="A479" s="83"/>
      <c r="B479" s="83"/>
      <c r="C479" s="83"/>
      <c r="D479" s="134"/>
      <c r="E479" s="138"/>
      <c r="F479" s="83"/>
      <c r="G479" s="83"/>
      <c r="H479" s="83"/>
      <c r="I479" s="83"/>
      <c r="J479" s="83"/>
      <c r="K479" s="83"/>
      <c r="L479" s="83"/>
      <c r="M479" s="84"/>
      <c r="N479" s="84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>
      <c r="A480" s="83"/>
      <c r="B480" s="83"/>
      <c r="C480" s="83"/>
      <c r="D480" s="134"/>
      <c r="E480" s="138"/>
      <c r="F480" s="83"/>
      <c r="G480" s="83"/>
      <c r="H480" s="83"/>
      <c r="I480" s="83"/>
      <c r="J480" s="83"/>
      <c r="K480" s="83"/>
      <c r="L480" s="83"/>
      <c r="M480" s="84"/>
      <c r="N480" s="84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>
      <c r="A481" s="83"/>
      <c r="B481" s="83"/>
      <c r="C481" s="83"/>
      <c r="D481" s="134"/>
      <c r="E481" s="138"/>
      <c r="F481" s="83"/>
      <c r="G481" s="83"/>
      <c r="H481" s="83"/>
      <c r="I481" s="83"/>
      <c r="J481" s="83"/>
      <c r="K481" s="83"/>
      <c r="L481" s="83"/>
      <c r="M481" s="84"/>
      <c r="N481" s="84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>
      <c r="A482" s="83"/>
      <c r="B482" s="83"/>
      <c r="C482" s="83"/>
      <c r="D482" s="134"/>
      <c r="E482" s="138"/>
      <c r="F482" s="83"/>
      <c r="G482" s="83"/>
      <c r="H482" s="83"/>
      <c r="I482" s="83"/>
      <c r="J482" s="83"/>
      <c r="K482" s="83"/>
      <c r="L482" s="83"/>
      <c r="M482" s="84"/>
      <c r="N482" s="84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>
      <c r="A483" s="83"/>
      <c r="B483" s="83"/>
      <c r="C483" s="83"/>
      <c r="D483" s="134"/>
      <c r="E483" s="138"/>
      <c r="F483" s="83"/>
      <c r="G483" s="83"/>
      <c r="H483" s="83"/>
      <c r="I483" s="83"/>
      <c r="J483" s="83"/>
      <c r="K483" s="83"/>
      <c r="L483" s="83"/>
      <c r="M483" s="84"/>
      <c r="N483" s="84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>
      <c r="A484" s="83"/>
      <c r="B484" s="83"/>
      <c r="C484" s="83"/>
      <c r="D484" s="134"/>
      <c r="E484" s="138"/>
      <c r="F484" s="83"/>
      <c r="G484" s="83"/>
      <c r="H484" s="83"/>
      <c r="I484" s="83"/>
      <c r="J484" s="83"/>
      <c r="K484" s="83"/>
      <c r="L484" s="83"/>
      <c r="M484" s="84"/>
      <c r="N484" s="84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>
      <c r="A485" s="83"/>
      <c r="B485" s="83"/>
      <c r="C485" s="83"/>
      <c r="D485" s="134"/>
      <c r="E485" s="138"/>
      <c r="F485" s="83"/>
      <c r="G485" s="83"/>
      <c r="H485" s="83"/>
      <c r="I485" s="83"/>
      <c r="J485" s="83"/>
      <c r="K485" s="83"/>
      <c r="L485" s="83"/>
      <c r="M485" s="84"/>
      <c r="N485" s="84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>
      <c r="A486" s="83"/>
      <c r="B486" s="83"/>
      <c r="C486" s="83"/>
      <c r="D486" s="134"/>
      <c r="E486" s="138"/>
      <c r="F486" s="83"/>
      <c r="G486" s="83"/>
      <c r="H486" s="83"/>
      <c r="I486" s="83"/>
      <c r="J486" s="83"/>
      <c r="K486" s="83"/>
      <c r="L486" s="83"/>
      <c r="M486" s="84"/>
      <c r="N486" s="84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>
      <c r="A487" s="83"/>
      <c r="B487" s="83"/>
      <c r="C487" s="83"/>
      <c r="D487" s="134"/>
      <c r="E487" s="138"/>
      <c r="F487" s="83"/>
      <c r="G487" s="83"/>
      <c r="H487" s="83"/>
      <c r="I487" s="83"/>
      <c r="J487" s="83"/>
      <c r="K487" s="83"/>
      <c r="L487" s="83"/>
      <c r="M487" s="84"/>
      <c r="N487" s="84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>
      <c r="A488" s="83"/>
      <c r="B488" s="83"/>
      <c r="C488" s="83"/>
      <c r="D488" s="134"/>
      <c r="E488" s="138"/>
      <c r="F488" s="83"/>
      <c r="G488" s="83"/>
      <c r="H488" s="83"/>
      <c r="I488" s="83"/>
      <c r="J488" s="83"/>
      <c r="K488" s="83"/>
      <c r="L488" s="83"/>
      <c r="M488" s="84"/>
      <c r="N488" s="84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>
      <c r="A489" s="83"/>
      <c r="B489" s="83"/>
      <c r="C489" s="83"/>
      <c r="D489" s="134"/>
      <c r="E489" s="138"/>
      <c r="F489" s="83"/>
      <c r="G489" s="83"/>
      <c r="H489" s="83"/>
      <c r="I489" s="83"/>
      <c r="J489" s="83"/>
      <c r="K489" s="83"/>
      <c r="L489" s="83"/>
      <c r="M489" s="84"/>
      <c r="N489" s="84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>
      <c r="A490" s="83"/>
      <c r="B490" s="83"/>
      <c r="C490" s="83"/>
      <c r="D490" s="134"/>
      <c r="E490" s="138"/>
      <c r="F490" s="83"/>
      <c r="G490" s="83"/>
      <c r="H490" s="83"/>
      <c r="I490" s="83"/>
      <c r="J490" s="83"/>
      <c r="K490" s="83"/>
      <c r="L490" s="83"/>
      <c r="M490" s="84"/>
      <c r="N490" s="84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>
      <c r="A491" s="83"/>
      <c r="B491" s="83"/>
      <c r="C491" s="83"/>
      <c r="D491" s="134"/>
      <c r="E491" s="138"/>
      <c r="F491" s="83"/>
      <c r="G491" s="83"/>
      <c r="H491" s="83"/>
      <c r="I491" s="83"/>
      <c r="J491" s="83"/>
      <c r="K491" s="83"/>
      <c r="L491" s="83"/>
      <c r="M491" s="84"/>
      <c r="N491" s="84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>
      <c r="A492" s="83"/>
      <c r="B492" s="83"/>
      <c r="C492" s="83"/>
      <c r="D492" s="134"/>
      <c r="E492" s="138"/>
      <c r="F492" s="83"/>
      <c r="G492" s="83"/>
      <c r="H492" s="83"/>
      <c r="I492" s="83"/>
      <c r="J492" s="83"/>
      <c r="K492" s="83"/>
      <c r="L492" s="83"/>
      <c r="M492" s="84"/>
      <c r="N492" s="84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>
      <c r="A493" s="83"/>
      <c r="B493" s="83"/>
      <c r="C493" s="83"/>
      <c r="D493" s="134"/>
      <c r="E493" s="138"/>
      <c r="F493" s="83"/>
      <c r="G493" s="83"/>
      <c r="H493" s="83"/>
      <c r="I493" s="83"/>
      <c r="J493" s="83"/>
      <c r="K493" s="83"/>
      <c r="L493" s="83"/>
      <c r="M493" s="84"/>
      <c r="N493" s="84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>
      <c r="A494" s="83"/>
      <c r="B494" s="83"/>
      <c r="C494" s="83"/>
      <c r="D494" s="134"/>
      <c r="E494" s="138"/>
      <c r="F494" s="83"/>
      <c r="G494" s="83"/>
      <c r="H494" s="83"/>
      <c r="I494" s="83"/>
      <c r="J494" s="83"/>
      <c r="K494" s="83"/>
      <c r="L494" s="83"/>
      <c r="M494" s="84"/>
      <c r="N494" s="84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>
      <c r="A495" s="83"/>
      <c r="B495" s="83"/>
      <c r="C495" s="83"/>
      <c r="D495" s="134"/>
      <c r="E495" s="138"/>
      <c r="F495" s="83"/>
      <c r="G495" s="83"/>
      <c r="H495" s="83"/>
      <c r="I495" s="83"/>
      <c r="J495" s="83"/>
      <c r="K495" s="83"/>
      <c r="L495" s="83"/>
      <c r="M495" s="84"/>
      <c r="N495" s="84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>
      <c r="A496" s="83"/>
      <c r="B496" s="83"/>
      <c r="C496" s="83"/>
      <c r="D496" s="134"/>
      <c r="E496" s="138"/>
      <c r="F496" s="83"/>
      <c r="G496" s="83"/>
      <c r="H496" s="83"/>
      <c r="I496" s="83"/>
      <c r="J496" s="83"/>
      <c r="K496" s="83"/>
      <c r="L496" s="83"/>
      <c r="M496" s="84"/>
      <c r="N496" s="84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>
      <c r="A497" s="83"/>
      <c r="B497" s="83"/>
      <c r="C497" s="83"/>
      <c r="D497" s="134"/>
      <c r="E497" s="138"/>
      <c r="F497" s="83"/>
      <c r="G497" s="83"/>
      <c r="H497" s="83"/>
      <c r="I497" s="83"/>
      <c r="J497" s="83"/>
      <c r="K497" s="83"/>
      <c r="L497" s="83"/>
      <c r="M497" s="84"/>
      <c r="N497" s="84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>
      <c r="A498" s="83"/>
      <c r="B498" s="83"/>
      <c r="C498" s="83"/>
      <c r="D498" s="134"/>
      <c r="E498" s="138"/>
      <c r="F498" s="83"/>
      <c r="G498" s="83"/>
      <c r="H498" s="83"/>
      <c r="I498" s="83"/>
      <c r="J498" s="83"/>
      <c r="K498" s="83"/>
      <c r="L498" s="83"/>
      <c r="M498" s="84"/>
      <c r="N498" s="84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>
      <c r="A499" s="83"/>
      <c r="B499" s="83"/>
      <c r="C499" s="83"/>
      <c r="D499" s="134"/>
      <c r="E499" s="138"/>
      <c r="F499" s="83"/>
      <c r="G499" s="83"/>
      <c r="H499" s="83"/>
      <c r="I499" s="83"/>
      <c r="J499" s="83"/>
      <c r="K499" s="83"/>
      <c r="L499" s="83"/>
      <c r="M499" s="84"/>
      <c r="N499" s="84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>
      <c r="A500" s="83"/>
      <c r="B500" s="83"/>
      <c r="C500" s="83"/>
      <c r="D500" s="134"/>
      <c r="E500" s="138"/>
      <c r="F500" s="83"/>
      <c r="G500" s="83"/>
      <c r="H500" s="83"/>
      <c r="I500" s="83"/>
      <c r="J500" s="83"/>
      <c r="K500" s="83"/>
      <c r="L500" s="83"/>
      <c r="M500" s="84"/>
      <c r="N500" s="84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>
      <c r="A501" s="83"/>
      <c r="B501" s="83"/>
      <c r="C501" s="83"/>
      <c r="D501" s="134"/>
      <c r="E501" s="138"/>
      <c r="F501" s="83"/>
      <c r="G501" s="83"/>
      <c r="H501" s="83"/>
      <c r="I501" s="83"/>
      <c r="J501" s="83"/>
      <c r="K501" s="83"/>
      <c r="L501" s="83"/>
      <c r="M501" s="84"/>
      <c r="N501" s="84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>
      <c r="A502" s="83"/>
      <c r="B502" s="83"/>
      <c r="C502" s="83"/>
      <c r="D502" s="134"/>
      <c r="E502" s="138"/>
      <c r="F502" s="83"/>
      <c r="G502" s="83"/>
      <c r="H502" s="83"/>
      <c r="I502" s="83"/>
      <c r="J502" s="83"/>
      <c r="K502" s="83"/>
      <c r="L502" s="83"/>
      <c r="M502" s="84"/>
      <c r="N502" s="84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>
      <c r="A503" s="83"/>
      <c r="B503" s="83"/>
      <c r="C503" s="83"/>
      <c r="D503" s="134"/>
      <c r="E503" s="138"/>
      <c r="F503" s="83"/>
      <c r="G503" s="83"/>
      <c r="H503" s="83"/>
      <c r="I503" s="83"/>
      <c r="J503" s="83"/>
      <c r="K503" s="83"/>
      <c r="L503" s="83"/>
      <c r="M503" s="84"/>
      <c r="N503" s="84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>
      <c r="A504" s="83"/>
      <c r="B504" s="83"/>
      <c r="C504" s="83"/>
      <c r="D504" s="134"/>
      <c r="E504" s="138"/>
      <c r="F504" s="83"/>
      <c r="G504" s="83"/>
      <c r="H504" s="83"/>
      <c r="I504" s="83"/>
      <c r="J504" s="83"/>
      <c r="K504" s="83"/>
      <c r="L504" s="83"/>
      <c r="M504" s="84"/>
      <c r="N504" s="84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>
      <c r="A505" s="83"/>
      <c r="B505" s="83"/>
      <c r="C505" s="83"/>
      <c r="D505" s="134"/>
      <c r="E505" s="138"/>
      <c r="F505" s="83"/>
      <c r="G505" s="83"/>
      <c r="H505" s="83"/>
      <c r="I505" s="83"/>
      <c r="J505" s="83"/>
      <c r="K505" s="83"/>
      <c r="L505" s="83"/>
      <c r="M505" s="84"/>
      <c r="N505" s="84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>
      <c r="A506" s="83"/>
      <c r="B506" s="83"/>
      <c r="C506" s="83"/>
      <c r="D506" s="134"/>
      <c r="E506" s="138"/>
      <c r="F506" s="83"/>
      <c r="G506" s="83"/>
      <c r="H506" s="83"/>
      <c r="I506" s="83"/>
      <c r="J506" s="83"/>
      <c r="K506" s="83"/>
      <c r="L506" s="83"/>
      <c r="M506" s="84"/>
      <c r="N506" s="84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>
      <c r="A507" s="83"/>
      <c r="B507" s="83"/>
      <c r="C507" s="83"/>
      <c r="D507" s="134"/>
      <c r="E507" s="138"/>
      <c r="F507" s="83"/>
      <c r="G507" s="83"/>
      <c r="H507" s="83"/>
      <c r="I507" s="83"/>
      <c r="J507" s="83"/>
      <c r="K507" s="83"/>
      <c r="L507" s="83"/>
      <c r="M507" s="84"/>
      <c r="N507" s="84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>
      <c r="A508" s="83"/>
      <c r="B508" s="83"/>
      <c r="C508" s="83"/>
      <c r="D508" s="134"/>
      <c r="E508" s="138"/>
      <c r="F508" s="83"/>
      <c r="G508" s="83"/>
      <c r="H508" s="83"/>
      <c r="I508" s="83"/>
      <c r="J508" s="83"/>
      <c r="K508" s="83"/>
      <c r="L508" s="83"/>
      <c r="M508" s="84"/>
      <c r="N508" s="84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>
      <c r="A509" s="83"/>
      <c r="B509" s="83"/>
      <c r="C509" s="83"/>
      <c r="D509" s="134"/>
      <c r="E509" s="138"/>
      <c r="F509" s="83"/>
      <c r="G509" s="83"/>
      <c r="H509" s="83"/>
      <c r="I509" s="83"/>
      <c r="J509" s="83"/>
      <c r="K509" s="83"/>
      <c r="L509" s="83"/>
      <c r="M509" s="84"/>
      <c r="N509" s="84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>
      <c r="A510" s="83"/>
      <c r="B510" s="83"/>
      <c r="C510" s="83"/>
      <c r="D510" s="134"/>
      <c r="E510" s="138"/>
      <c r="F510" s="83"/>
      <c r="G510" s="83"/>
      <c r="H510" s="83"/>
      <c r="I510" s="83"/>
      <c r="J510" s="83"/>
      <c r="K510" s="83"/>
      <c r="L510" s="83"/>
      <c r="M510" s="84"/>
      <c r="N510" s="84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>
      <c r="A511" s="83"/>
      <c r="B511" s="83"/>
      <c r="C511" s="83"/>
      <c r="D511" s="134"/>
      <c r="E511" s="138"/>
      <c r="F511" s="83"/>
      <c r="G511" s="83"/>
      <c r="H511" s="83"/>
      <c r="I511" s="83"/>
      <c r="J511" s="83"/>
      <c r="K511" s="83"/>
      <c r="L511" s="83"/>
      <c r="M511" s="84"/>
      <c r="N511" s="84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>
      <c r="A512" s="83"/>
      <c r="B512" s="83"/>
      <c r="C512" s="83"/>
      <c r="D512" s="134"/>
      <c r="E512" s="138"/>
      <c r="F512" s="83"/>
      <c r="G512" s="83"/>
      <c r="H512" s="83"/>
      <c r="I512" s="83"/>
      <c r="J512" s="83"/>
      <c r="K512" s="83"/>
      <c r="L512" s="83"/>
      <c r="M512" s="84"/>
      <c r="N512" s="84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>
      <c r="A513" s="83"/>
      <c r="B513" s="83"/>
      <c r="C513" s="83"/>
      <c r="D513" s="134"/>
      <c r="E513" s="138"/>
      <c r="F513" s="83"/>
      <c r="G513" s="83"/>
      <c r="H513" s="83"/>
      <c r="I513" s="83"/>
      <c r="J513" s="83"/>
      <c r="K513" s="83"/>
      <c r="L513" s="83"/>
      <c r="M513" s="84"/>
      <c r="N513" s="84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>
      <c r="A514" s="83"/>
      <c r="B514" s="83"/>
      <c r="C514" s="83"/>
      <c r="D514" s="134"/>
      <c r="E514" s="138"/>
      <c r="F514" s="83"/>
      <c r="G514" s="83"/>
      <c r="H514" s="83"/>
      <c r="I514" s="83"/>
      <c r="J514" s="83"/>
      <c r="K514" s="83"/>
      <c r="L514" s="83"/>
      <c r="M514" s="84"/>
      <c r="N514" s="84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>
      <c r="A515" s="83"/>
      <c r="B515" s="83"/>
      <c r="C515" s="83"/>
      <c r="D515" s="134"/>
      <c r="E515" s="138"/>
      <c r="F515" s="83"/>
      <c r="G515" s="83"/>
      <c r="H515" s="83"/>
      <c r="I515" s="83"/>
      <c r="J515" s="83"/>
      <c r="K515" s="83"/>
      <c r="L515" s="83"/>
      <c r="M515" s="84"/>
      <c r="N515" s="84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>
      <c r="A516" s="83"/>
      <c r="B516" s="83"/>
      <c r="C516" s="83"/>
      <c r="D516" s="134"/>
      <c r="E516" s="138"/>
      <c r="F516" s="83"/>
      <c r="G516" s="83"/>
      <c r="H516" s="83"/>
      <c r="I516" s="83"/>
      <c r="J516" s="83"/>
      <c r="K516" s="83"/>
      <c r="L516" s="83"/>
      <c r="M516" s="84"/>
      <c r="N516" s="84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>
      <c r="A517" s="83"/>
      <c r="B517" s="83"/>
      <c r="C517" s="83"/>
      <c r="D517" s="134"/>
      <c r="E517" s="138"/>
      <c r="F517" s="83"/>
      <c r="G517" s="83"/>
      <c r="H517" s="83"/>
      <c r="I517" s="83"/>
      <c r="J517" s="83"/>
      <c r="K517" s="83"/>
      <c r="L517" s="83"/>
      <c r="M517" s="84"/>
      <c r="N517" s="84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>
      <c r="A518" s="83"/>
      <c r="B518" s="83"/>
      <c r="C518" s="83"/>
      <c r="D518" s="134"/>
      <c r="E518" s="138"/>
      <c r="F518" s="83"/>
      <c r="G518" s="83"/>
      <c r="H518" s="83"/>
      <c r="I518" s="83"/>
      <c r="J518" s="83"/>
      <c r="K518" s="83"/>
      <c r="L518" s="83"/>
      <c r="M518" s="84"/>
      <c r="N518" s="84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>
      <c r="A519" s="83"/>
      <c r="B519" s="83"/>
      <c r="C519" s="83"/>
      <c r="D519" s="134"/>
      <c r="E519" s="138"/>
      <c r="F519" s="83"/>
      <c r="G519" s="83"/>
      <c r="H519" s="83"/>
      <c r="I519" s="83"/>
      <c r="J519" s="83"/>
      <c r="K519" s="83"/>
      <c r="L519" s="83"/>
      <c r="M519" s="84"/>
      <c r="N519" s="84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>
      <c r="A520" s="83"/>
      <c r="B520" s="83"/>
      <c r="C520" s="83"/>
      <c r="D520" s="134"/>
      <c r="E520" s="138"/>
      <c r="F520" s="83"/>
      <c r="G520" s="83"/>
      <c r="H520" s="83"/>
      <c r="I520" s="83"/>
      <c r="J520" s="83"/>
      <c r="K520" s="83"/>
      <c r="L520" s="83"/>
      <c r="M520" s="84"/>
      <c r="N520" s="84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>
      <c r="A521" s="83"/>
      <c r="B521" s="83"/>
      <c r="C521" s="83"/>
      <c r="D521" s="134"/>
      <c r="E521" s="138"/>
      <c r="F521" s="83"/>
      <c r="G521" s="83"/>
      <c r="H521" s="83"/>
      <c r="I521" s="83"/>
      <c r="J521" s="83"/>
      <c r="K521" s="83"/>
      <c r="L521" s="83"/>
      <c r="M521" s="84"/>
      <c r="N521" s="84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>
      <c r="A522" s="83"/>
      <c r="B522" s="83"/>
      <c r="C522" s="83"/>
      <c r="D522" s="134"/>
      <c r="E522" s="138"/>
      <c r="F522" s="83"/>
      <c r="G522" s="83"/>
      <c r="H522" s="83"/>
      <c r="I522" s="83"/>
      <c r="J522" s="83"/>
      <c r="K522" s="83"/>
      <c r="L522" s="83"/>
      <c r="M522" s="84"/>
      <c r="N522" s="84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>
      <c r="A523" s="83"/>
      <c r="B523" s="83"/>
      <c r="C523" s="83"/>
      <c r="D523" s="134"/>
      <c r="E523" s="138"/>
      <c r="F523" s="83"/>
      <c r="G523" s="83"/>
      <c r="H523" s="83"/>
      <c r="I523" s="83"/>
      <c r="J523" s="83"/>
      <c r="K523" s="83"/>
      <c r="L523" s="83"/>
      <c r="M523" s="84"/>
      <c r="N523" s="84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>
      <c r="A524" s="83"/>
      <c r="B524" s="83"/>
      <c r="C524" s="83"/>
      <c r="D524" s="134"/>
      <c r="E524" s="138"/>
      <c r="F524" s="83"/>
      <c r="G524" s="83"/>
      <c r="H524" s="83"/>
      <c r="I524" s="83"/>
      <c r="J524" s="83"/>
      <c r="K524" s="83"/>
      <c r="L524" s="83"/>
      <c r="M524" s="84"/>
      <c r="N524" s="84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>
      <c r="A525" s="83"/>
      <c r="B525" s="83"/>
      <c r="C525" s="83"/>
      <c r="D525" s="134"/>
      <c r="E525" s="138"/>
      <c r="F525" s="83"/>
      <c r="G525" s="83"/>
      <c r="H525" s="83"/>
      <c r="I525" s="83"/>
      <c r="J525" s="83"/>
      <c r="K525" s="83"/>
      <c r="L525" s="83"/>
      <c r="M525" s="84"/>
      <c r="N525" s="84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>
      <c r="A526" s="83"/>
      <c r="B526" s="83"/>
      <c r="C526" s="83"/>
      <c r="D526" s="134"/>
      <c r="E526" s="138"/>
      <c r="F526" s="83"/>
      <c r="G526" s="83"/>
      <c r="H526" s="83"/>
      <c r="I526" s="83"/>
      <c r="J526" s="83"/>
      <c r="K526" s="83"/>
      <c r="L526" s="83"/>
      <c r="M526" s="84"/>
      <c r="N526" s="84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>
      <c r="A527" s="83"/>
      <c r="B527" s="83"/>
      <c r="C527" s="83"/>
      <c r="D527" s="134"/>
      <c r="E527" s="138"/>
      <c r="F527" s="83"/>
      <c r="G527" s="83"/>
      <c r="H527" s="83"/>
      <c r="I527" s="83"/>
      <c r="J527" s="83"/>
      <c r="K527" s="83"/>
      <c r="L527" s="83"/>
      <c r="M527" s="84"/>
      <c r="N527" s="84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>
      <c r="A528" s="83"/>
      <c r="B528" s="83"/>
      <c r="C528" s="83"/>
      <c r="D528" s="134"/>
      <c r="E528" s="138"/>
      <c r="F528" s="83"/>
      <c r="G528" s="83"/>
      <c r="H528" s="83"/>
      <c r="I528" s="83"/>
      <c r="J528" s="83"/>
      <c r="K528" s="83"/>
      <c r="L528" s="83"/>
      <c r="M528" s="84"/>
      <c r="N528" s="84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>
      <c r="A529" s="83"/>
      <c r="B529" s="83"/>
      <c r="C529" s="83"/>
      <c r="D529" s="134"/>
      <c r="E529" s="138"/>
      <c r="F529" s="83"/>
      <c r="G529" s="83"/>
      <c r="H529" s="83"/>
      <c r="I529" s="83"/>
      <c r="J529" s="83"/>
      <c r="K529" s="83"/>
      <c r="L529" s="83"/>
      <c r="M529" s="84"/>
      <c r="N529" s="84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>
      <c r="A530" s="83"/>
      <c r="B530" s="83"/>
      <c r="C530" s="83"/>
      <c r="D530" s="134"/>
      <c r="E530" s="138"/>
      <c r="F530" s="83"/>
      <c r="G530" s="83"/>
      <c r="H530" s="83"/>
      <c r="I530" s="83"/>
      <c r="J530" s="83"/>
      <c r="K530" s="83"/>
      <c r="L530" s="83"/>
      <c r="M530" s="84"/>
      <c r="N530" s="84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>
      <c r="A531" s="83"/>
      <c r="B531" s="83"/>
      <c r="C531" s="83"/>
      <c r="D531" s="134"/>
      <c r="E531" s="138"/>
      <c r="F531" s="83"/>
      <c r="G531" s="83"/>
      <c r="H531" s="83"/>
      <c r="I531" s="83"/>
      <c r="J531" s="83"/>
      <c r="K531" s="83"/>
      <c r="L531" s="83"/>
      <c r="M531" s="84"/>
      <c r="N531" s="84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>
      <c r="A532" s="83"/>
      <c r="B532" s="83"/>
      <c r="C532" s="83"/>
      <c r="D532" s="134"/>
      <c r="E532" s="138"/>
      <c r="F532" s="83"/>
      <c r="G532" s="83"/>
      <c r="H532" s="83"/>
      <c r="I532" s="83"/>
      <c r="J532" s="83"/>
      <c r="K532" s="83"/>
      <c r="L532" s="83"/>
      <c r="M532" s="84"/>
      <c r="N532" s="84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>
      <c r="A533" s="83"/>
      <c r="B533" s="83"/>
      <c r="C533" s="83"/>
      <c r="D533" s="134"/>
      <c r="E533" s="138"/>
      <c r="F533" s="83"/>
      <c r="G533" s="83"/>
      <c r="H533" s="83"/>
      <c r="I533" s="83"/>
      <c r="J533" s="83"/>
      <c r="K533" s="83"/>
      <c r="L533" s="83"/>
      <c r="M533" s="84"/>
      <c r="N533" s="84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>
      <c r="A534" s="83"/>
      <c r="B534" s="83"/>
      <c r="C534" s="83"/>
      <c r="D534" s="134"/>
      <c r="E534" s="138"/>
      <c r="F534" s="83"/>
      <c r="G534" s="83"/>
      <c r="H534" s="83"/>
      <c r="I534" s="83"/>
      <c r="J534" s="83"/>
      <c r="K534" s="83"/>
      <c r="L534" s="83"/>
      <c r="M534" s="84"/>
      <c r="N534" s="84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>
      <c r="A535" s="83"/>
      <c r="B535" s="83"/>
      <c r="C535" s="83"/>
      <c r="D535" s="134"/>
      <c r="E535" s="138"/>
      <c r="F535" s="83"/>
      <c r="G535" s="83"/>
      <c r="H535" s="83"/>
      <c r="I535" s="83"/>
      <c r="J535" s="83"/>
      <c r="K535" s="83"/>
      <c r="L535" s="83"/>
      <c r="M535" s="84"/>
      <c r="N535" s="84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>
      <c r="A536" s="83"/>
      <c r="B536" s="83"/>
      <c r="C536" s="83"/>
      <c r="D536" s="134"/>
      <c r="E536" s="138"/>
      <c r="F536" s="83"/>
      <c r="G536" s="83"/>
      <c r="H536" s="83"/>
      <c r="I536" s="83"/>
      <c r="J536" s="83"/>
      <c r="K536" s="83"/>
      <c r="L536" s="83"/>
      <c r="M536" s="84"/>
      <c r="N536" s="84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>
      <c r="A537" s="83"/>
      <c r="B537" s="83"/>
      <c r="C537" s="83"/>
      <c r="D537" s="134"/>
      <c r="E537" s="138"/>
      <c r="F537" s="83"/>
      <c r="G537" s="83"/>
      <c r="H537" s="83"/>
      <c r="I537" s="83"/>
      <c r="J537" s="83"/>
      <c r="K537" s="83"/>
      <c r="L537" s="83"/>
      <c r="M537" s="84"/>
      <c r="N537" s="84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>
      <c r="A538" s="83"/>
      <c r="B538" s="83"/>
      <c r="C538" s="83"/>
      <c r="D538" s="134"/>
      <c r="E538" s="138"/>
      <c r="F538" s="83"/>
      <c r="G538" s="83"/>
      <c r="H538" s="83"/>
      <c r="I538" s="83"/>
      <c r="J538" s="83"/>
      <c r="K538" s="83"/>
      <c r="L538" s="83"/>
      <c r="M538" s="84"/>
      <c r="N538" s="84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>
      <c r="A539" s="83"/>
      <c r="B539" s="83"/>
      <c r="C539" s="83"/>
      <c r="D539" s="134"/>
      <c r="E539" s="138"/>
      <c r="F539" s="83"/>
      <c r="G539" s="83"/>
      <c r="H539" s="83"/>
      <c r="I539" s="83"/>
      <c r="J539" s="83"/>
      <c r="K539" s="83"/>
      <c r="L539" s="83"/>
      <c r="M539" s="84"/>
      <c r="N539" s="84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>
      <c r="A540" s="83"/>
      <c r="B540" s="83"/>
      <c r="C540" s="83"/>
      <c r="D540" s="134"/>
      <c r="E540" s="138"/>
      <c r="F540" s="83"/>
      <c r="G540" s="83"/>
      <c r="H540" s="83"/>
      <c r="I540" s="83"/>
      <c r="J540" s="83"/>
      <c r="K540" s="83"/>
      <c r="L540" s="83"/>
      <c r="M540" s="84"/>
      <c r="N540" s="84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>
      <c r="A541" s="83"/>
      <c r="B541" s="83"/>
      <c r="C541" s="83"/>
      <c r="D541" s="134"/>
      <c r="E541" s="138"/>
      <c r="F541" s="83"/>
      <c r="G541" s="83"/>
      <c r="H541" s="83"/>
      <c r="I541" s="83"/>
      <c r="J541" s="83"/>
      <c r="K541" s="83"/>
      <c r="L541" s="83"/>
      <c r="M541" s="84"/>
      <c r="N541" s="84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>
      <c r="A542" s="83"/>
      <c r="B542" s="83"/>
      <c r="C542" s="83"/>
      <c r="D542" s="134"/>
      <c r="E542" s="138"/>
      <c r="F542" s="83"/>
      <c r="G542" s="83"/>
      <c r="H542" s="83"/>
      <c r="I542" s="83"/>
      <c r="J542" s="83"/>
      <c r="K542" s="83"/>
      <c r="L542" s="83"/>
      <c r="M542" s="84"/>
      <c r="N542" s="84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>
      <c r="A543" s="83"/>
      <c r="B543" s="83"/>
      <c r="C543" s="83"/>
      <c r="D543" s="134"/>
      <c r="E543" s="138"/>
      <c r="F543" s="83"/>
      <c r="G543" s="83"/>
      <c r="H543" s="83"/>
      <c r="I543" s="83"/>
      <c r="J543" s="83"/>
      <c r="K543" s="83"/>
      <c r="L543" s="83"/>
      <c r="M543" s="84"/>
      <c r="N543" s="84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>
      <c r="A544" s="83"/>
      <c r="B544" s="83"/>
      <c r="C544" s="83"/>
      <c r="D544" s="134"/>
      <c r="E544" s="138"/>
      <c r="F544" s="83"/>
      <c r="G544" s="83"/>
      <c r="H544" s="83"/>
      <c r="I544" s="83"/>
      <c r="J544" s="83"/>
      <c r="K544" s="83"/>
      <c r="L544" s="83"/>
      <c r="M544" s="84"/>
      <c r="N544" s="84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>
      <c r="A545" s="83"/>
      <c r="B545" s="83"/>
      <c r="C545" s="83"/>
      <c r="D545" s="134"/>
      <c r="E545" s="138"/>
      <c r="F545" s="83"/>
      <c r="G545" s="83"/>
      <c r="H545" s="83"/>
      <c r="I545" s="83"/>
      <c r="J545" s="83"/>
      <c r="K545" s="83"/>
      <c r="L545" s="83"/>
      <c r="M545" s="84"/>
      <c r="N545" s="84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>
      <c r="A546" s="83"/>
      <c r="B546" s="83"/>
      <c r="C546" s="83"/>
      <c r="D546" s="134"/>
      <c r="E546" s="138"/>
      <c r="F546" s="83"/>
      <c r="G546" s="83"/>
      <c r="H546" s="83"/>
      <c r="I546" s="83"/>
      <c r="J546" s="83"/>
      <c r="K546" s="83"/>
      <c r="L546" s="83"/>
      <c r="M546" s="84"/>
      <c r="N546" s="84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>
      <c r="A547" s="83"/>
      <c r="B547" s="83"/>
      <c r="C547" s="83"/>
      <c r="D547" s="134"/>
      <c r="E547" s="138"/>
      <c r="F547" s="83"/>
      <c r="G547" s="83"/>
      <c r="H547" s="83"/>
      <c r="I547" s="83"/>
      <c r="J547" s="83"/>
      <c r="K547" s="83"/>
      <c r="L547" s="83"/>
      <c r="M547" s="84"/>
      <c r="N547" s="84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>
      <c r="A548" s="83"/>
      <c r="B548" s="83"/>
      <c r="C548" s="83"/>
      <c r="D548" s="134"/>
      <c r="E548" s="138"/>
      <c r="F548" s="83"/>
      <c r="G548" s="83"/>
      <c r="H548" s="83"/>
      <c r="I548" s="83"/>
      <c r="J548" s="83"/>
      <c r="K548" s="83"/>
      <c r="L548" s="83"/>
      <c r="M548" s="84"/>
      <c r="N548" s="84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>
      <c r="A549" s="83"/>
      <c r="B549" s="83"/>
      <c r="C549" s="83"/>
      <c r="D549" s="134"/>
      <c r="E549" s="138"/>
      <c r="F549" s="83"/>
      <c r="G549" s="83"/>
      <c r="H549" s="83"/>
      <c r="I549" s="83"/>
      <c r="J549" s="83"/>
      <c r="K549" s="83"/>
      <c r="L549" s="83"/>
      <c r="M549" s="84"/>
      <c r="N549" s="84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>
      <c r="A550" s="83"/>
      <c r="B550" s="83"/>
      <c r="C550" s="83"/>
      <c r="D550" s="134"/>
      <c r="E550" s="138"/>
      <c r="F550" s="83"/>
      <c r="G550" s="83"/>
      <c r="H550" s="83"/>
      <c r="I550" s="83"/>
      <c r="J550" s="83"/>
      <c r="K550" s="83"/>
      <c r="L550" s="83"/>
      <c r="M550" s="84"/>
      <c r="N550" s="84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>
      <c r="A551" s="83"/>
      <c r="B551" s="83"/>
      <c r="C551" s="83"/>
      <c r="D551" s="134"/>
      <c r="E551" s="138"/>
      <c r="F551" s="83"/>
      <c r="G551" s="83"/>
      <c r="H551" s="83"/>
      <c r="I551" s="83"/>
      <c r="J551" s="83"/>
      <c r="K551" s="83"/>
      <c r="L551" s="83"/>
      <c r="M551" s="84"/>
      <c r="N551" s="84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>
      <c r="A552" s="83"/>
      <c r="B552" s="83"/>
      <c r="C552" s="83"/>
      <c r="D552" s="134"/>
      <c r="E552" s="138"/>
      <c r="F552" s="83"/>
      <c r="G552" s="83"/>
      <c r="H552" s="83"/>
      <c r="I552" s="83"/>
      <c r="J552" s="83"/>
      <c r="K552" s="83"/>
      <c r="L552" s="83"/>
      <c r="M552" s="84"/>
      <c r="N552" s="84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>
      <c r="A553" s="83"/>
      <c r="B553" s="83"/>
      <c r="C553" s="83"/>
      <c r="D553" s="134"/>
      <c r="E553" s="138"/>
      <c r="F553" s="83"/>
      <c r="G553" s="83"/>
      <c r="H553" s="83"/>
      <c r="I553" s="83"/>
      <c r="J553" s="83"/>
      <c r="K553" s="83"/>
      <c r="L553" s="83"/>
      <c r="M553" s="84"/>
      <c r="N553" s="84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>
      <c r="A554" s="83"/>
      <c r="B554" s="83"/>
      <c r="C554" s="83"/>
      <c r="D554" s="134"/>
      <c r="E554" s="138"/>
      <c r="F554" s="83"/>
      <c r="G554" s="83"/>
      <c r="H554" s="83"/>
      <c r="I554" s="83"/>
      <c r="J554" s="83"/>
      <c r="K554" s="83"/>
      <c r="L554" s="83"/>
      <c r="M554" s="84"/>
      <c r="N554" s="84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>
      <c r="A555" s="83"/>
      <c r="B555" s="83"/>
      <c r="C555" s="83"/>
      <c r="D555" s="134"/>
      <c r="E555" s="138"/>
      <c r="F555" s="83"/>
      <c r="G555" s="83"/>
      <c r="H555" s="83"/>
      <c r="I555" s="83"/>
      <c r="J555" s="83"/>
      <c r="K555" s="83"/>
      <c r="L555" s="83"/>
      <c r="M555" s="84"/>
      <c r="N555" s="84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>
      <c r="A556" s="83"/>
      <c r="B556" s="83"/>
      <c r="C556" s="83"/>
      <c r="D556" s="134"/>
      <c r="E556" s="138"/>
      <c r="F556" s="83"/>
      <c r="G556" s="83"/>
      <c r="H556" s="83"/>
      <c r="I556" s="83"/>
      <c r="J556" s="83"/>
      <c r="K556" s="83"/>
      <c r="L556" s="83"/>
      <c r="M556" s="84"/>
      <c r="N556" s="84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>
      <c r="A557" s="83"/>
      <c r="B557" s="83"/>
      <c r="C557" s="83"/>
      <c r="D557" s="134"/>
      <c r="E557" s="138"/>
      <c r="F557" s="83"/>
      <c r="G557" s="83"/>
      <c r="H557" s="83"/>
      <c r="I557" s="83"/>
      <c r="J557" s="83"/>
      <c r="K557" s="83"/>
      <c r="L557" s="83"/>
      <c r="M557" s="84"/>
      <c r="N557" s="84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>
      <c r="A558" s="83"/>
      <c r="B558" s="83"/>
      <c r="C558" s="83"/>
      <c r="D558" s="134"/>
      <c r="E558" s="138"/>
      <c r="F558" s="83"/>
      <c r="G558" s="83"/>
      <c r="H558" s="83"/>
      <c r="I558" s="83"/>
      <c r="J558" s="83"/>
      <c r="K558" s="83"/>
      <c r="L558" s="83"/>
      <c r="M558" s="84"/>
      <c r="N558" s="84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>
      <c r="A559" s="83"/>
      <c r="B559" s="83"/>
      <c r="C559" s="83"/>
      <c r="D559" s="134"/>
      <c r="E559" s="138"/>
      <c r="F559" s="83"/>
      <c r="G559" s="83"/>
      <c r="H559" s="83"/>
      <c r="I559" s="83"/>
      <c r="J559" s="83"/>
      <c r="K559" s="83"/>
      <c r="L559" s="83"/>
      <c r="M559" s="84"/>
      <c r="N559" s="84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>
      <c r="A560" s="83"/>
      <c r="B560" s="83"/>
      <c r="C560" s="83"/>
      <c r="D560" s="134"/>
      <c r="E560" s="138"/>
      <c r="F560" s="83"/>
      <c r="G560" s="83"/>
      <c r="H560" s="83"/>
      <c r="I560" s="83"/>
      <c r="J560" s="83"/>
      <c r="K560" s="83"/>
      <c r="L560" s="83"/>
      <c r="M560" s="84"/>
      <c r="N560" s="84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>
      <c r="A561" s="83"/>
      <c r="B561" s="83"/>
      <c r="C561" s="83"/>
      <c r="D561" s="134"/>
      <c r="E561" s="138"/>
      <c r="F561" s="83"/>
      <c r="G561" s="83"/>
      <c r="H561" s="83"/>
      <c r="I561" s="83"/>
      <c r="J561" s="83"/>
      <c r="K561" s="83"/>
      <c r="L561" s="83"/>
      <c r="M561" s="84"/>
      <c r="N561" s="84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>
      <c r="A562" s="83"/>
      <c r="B562" s="83"/>
      <c r="C562" s="83"/>
      <c r="D562" s="134"/>
      <c r="E562" s="138"/>
      <c r="F562" s="83"/>
      <c r="G562" s="83"/>
      <c r="H562" s="83"/>
      <c r="I562" s="83"/>
      <c r="J562" s="83"/>
      <c r="K562" s="83"/>
      <c r="L562" s="83"/>
      <c r="M562" s="84"/>
      <c r="N562" s="84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>
      <c r="A563" s="83"/>
      <c r="B563" s="83"/>
      <c r="C563" s="83"/>
      <c r="D563" s="134"/>
      <c r="E563" s="138"/>
      <c r="F563" s="83"/>
      <c r="G563" s="83"/>
      <c r="H563" s="83"/>
      <c r="I563" s="83"/>
      <c r="J563" s="83"/>
      <c r="K563" s="83"/>
      <c r="L563" s="83"/>
      <c r="M563" s="84"/>
      <c r="N563" s="84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>
      <c r="A564" s="83"/>
      <c r="B564" s="83"/>
      <c r="C564" s="83"/>
      <c r="D564" s="134"/>
      <c r="E564" s="138"/>
      <c r="F564" s="83"/>
      <c r="G564" s="83"/>
      <c r="H564" s="83"/>
      <c r="I564" s="83"/>
      <c r="J564" s="83"/>
      <c r="K564" s="83"/>
      <c r="L564" s="83"/>
      <c r="M564" s="84"/>
      <c r="N564" s="84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>
      <c r="A565" s="83"/>
      <c r="B565" s="83"/>
      <c r="C565" s="83"/>
      <c r="D565" s="134"/>
      <c r="E565" s="138"/>
      <c r="F565" s="83"/>
      <c r="G565" s="83"/>
      <c r="H565" s="83"/>
      <c r="I565" s="83"/>
      <c r="J565" s="83"/>
      <c r="K565" s="83"/>
      <c r="L565" s="83"/>
      <c r="M565" s="84"/>
      <c r="N565" s="84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>
      <c r="A566" s="83"/>
      <c r="B566" s="83"/>
      <c r="C566" s="83"/>
      <c r="D566" s="134"/>
      <c r="E566" s="138"/>
      <c r="F566" s="83"/>
      <c r="G566" s="83"/>
      <c r="H566" s="83"/>
      <c r="I566" s="83"/>
      <c r="J566" s="83"/>
      <c r="K566" s="83"/>
      <c r="L566" s="83"/>
      <c r="M566" s="84"/>
      <c r="N566" s="84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>
      <c r="A567" s="83"/>
      <c r="B567" s="83"/>
      <c r="C567" s="83"/>
      <c r="D567" s="134"/>
      <c r="E567" s="138"/>
      <c r="F567" s="83"/>
      <c r="G567" s="83"/>
      <c r="H567" s="83"/>
      <c r="I567" s="83"/>
      <c r="J567" s="83"/>
      <c r="K567" s="83"/>
      <c r="L567" s="83"/>
      <c r="M567" s="84"/>
      <c r="N567" s="84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>
      <c r="A568" s="83"/>
      <c r="B568" s="91"/>
      <c r="C568" s="83"/>
      <c r="D568" s="134"/>
      <c r="E568" s="138"/>
      <c r="F568" s="83"/>
      <c r="G568" s="83"/>
      <c r="H568" s="83"/>
      <c r="I568" s="83"/>
      <c r="J568" s="83"/>
      <c r="K568" s="83"/>
      <c r="L568" s="83"/>
      <c r="M568" s="84"/>
      <c r="N568" s="84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>
      <c r="A569" s="83"/>
      <c r="B569" s="83"/>
      <c r="C569" s="83"/>
      <c r="D569" s="134"/>
      <c r="E569" s="138"/>
      <c r="F569" s="83"/>
      <c r="G569" s="83"/>
      <c r="H569" s="83"/>
      <c r="I569" s="83"/>
      <c r="J569" s="83"/>
      <c r="K569" s="83"/>
      <c r="L569" s="83"/>
      <c r="M569" s="84"/>
      <c r="N569" s="84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>
      <c r="A570" s="83"/>
      <c r="B570" s="83"/>
      <c r="C570" s="83"/>
      <c r="D570" s="134"/>
      <c r="E570" s="138"/>
      <c r="F570" s="83"/>
      <c r="G570" s="83"/>
      <c r="H570" s="83"/>
      <c r="I570" s="83"/>
      <c r="J570" s="83"/>
      <c r="K570" s="83"/>
      <c r="L570" s="83"/>
      <c r="M570" s="84"/>
      <c r="N570" s="84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>
      <c r="A571" s="83"/>
      <c r="B571" s="83"/>
      <c r="C571" s="83"/>
      <c r="D571" s="134"/>
      <c r="E571" s="138"/>
      <c r="F571" s="83"/>
      <c r="G571" s="83"/>
      <c r="H571" s="83"/>
      <c r="I571" s="83"/>
      <c r="J571" s="83"/>
      <c r="K571" s="83"/>
      <c r="L571" s="83"/>
      <c r="M571" s="84"/>
      <c r="N571" s="84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>
      <c r="A572" s="83"/>
      <c r="B572" s="83"/>
      <c r="C572" s="83"/>
      <c r="D572" s="134"/>
      <c r="E572" s="138"/>
      <c r="F572" s="83"/>
      <c r="G572" s="83"/>
      <c r="H572" s="83"/>
      <c r="I572" s="83"/>
      <c r="J572" s="83"/>
      <c r="K572" s="83"/>
      <c r="L572" s="83"/>
      <c r="M572" s="84"/>
      <c r="N572" s="84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>
      <c r="A573" s="83"/>
      <c r="B573" s="83"/>
      <c r="C573" s="83"/>
      <c r="D573" s="134"/>
      <c r="E573" s="138"/>
      <c r="F573" s="83"/>
      <c r="G573" s="83"/>
      <c r="H573" s="83"/>
      <c r="I573" s="83"/>
      <c r="J573" s="83"/>
      <c r="K573" s="83"/>
      <c r="L573" s="83"/>
      <c r="M573" s="84"/>
      <c r="N573" s="84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>
      <c r="A574" s="83"/>
      <c r="B574" s="83"/>
      <c r="C574" s="83"/>
      <c r="D574" s="134"/>
      <c r="E574" s="138"/>
      <c r="F574" s="83"/>
      <c r="G574" s="83"/>
      <c r="H574" s="83"/>
      <c r="I574" s="83"/>
      <c r="J574" s="83"/>
      <c r="K574" s="83"/>
      <c r="L574" s="83"/>
      <c r="M574" s="84"/>
      <c r="N574" s="84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>
      <c r="A575" s="83"/>
      <c r="B575" s="83"/>
      <c r="C575" s="83"/>
      <c r="D575" s="134"/>
      <c r="E575" s="138"/>
      <c r="F575" s="83"/>
      <c r="G575" s="83"/>
      <c r="H575" s="83"/>
      <c r="I575" s="83"/>
      <c r="J575" s="83"/>
      <c r="K575" s="83"/>
      <c r="L575" s="83"/>
      <c r="M575" s="84"/>
      <c r="N575" s="84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>
      <c r="A576" s="83"/>
      <c r="B576" s="83"/>
      <c r="C576" s="83"/>
      <c r="D576" s="134"/>
      <c r="E576" s="138"/>
      <c r="F576" s="83"/>
      <c r="G576" s="83"/>
      <c r="H576" s="83"/>
      <c r="I576" s="83"/>
      <c r="J576" s="83"/>
      <c r="K576" s="83"/>
      <c r="L576" s="83"/>
      <c r="M576" s="84"/>
      <c r="N576" s="84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>
      <c r="A577" s="83"/>
      <c r="B577" s="83"/>
      <c r="C577" s="83"/>
      <c r="D577" s="134"/>
      <c r="E577" s="138"/>
      <c r="F577" s="83"/>
      <c r="G577" s="83"/>
      <c r="H577" s="83"/>
      <c r="I577" s="83"/>
      <c r="J577" s="83"/>
      <c r="K577" s="83"/>
      <c r="L577" s="83"/>
      <c r="M577" s="84"/>
      <c r="N577" s="84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>
      <c r="A578" s="83"/>
      <c r="B578" s="83"/>
      <c r="C578" s="83"/>
      <c r="D578" s="134"/>
      <c r="E578" s="138"/>
      <c r="F578" s="83"/>
      <c r="G578" s="83"/>
      <c r="H578" s="83"/>
      <c r="I578" s="83"/>
      <c r="J578" s="83"/>
      <c r="K578" s="83"/>
      <c r="L578" s="83"/>
      <c r="M578" s="84"/>
      <c r="N578" s="84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>
      <c r="A579" s="83"/>
      <c r="B579" s="83"/>
      <c r="C579" s="83"/>
      <c r="D579" s="134"/>
      <c r="E579" s="138"/>
      <c r="F579" s="83"/>
      <c r="G579" s="83"/>
      <c r="H579" s="83"/>
      <c r="I579" s="83"/>
      <c r="J579" s="83"/>
      <c r="K579" s="83"/>
      <c r="L579" s="83"/>
      <c r="M579" s="84"/>
      <c r="N579" s="84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>
      <c r="A580" s="83"/>
      <c r="B580" s="83"/>
      <c r="C580" s="83"/>
      <c r="D580" s="134"/>
      <c r="E580" s="138"/>
      <c r="F580" s="83"/>
      <c r="G580" s="83"/>
      <c r="H580" s="83"/>
      <c r="I580" s="83"/>
      <c r="J580" s="83"/>
      <c r="K580" s="83"/>
      <c r="L580" s="83"/>
      <c r="M580" s="84"/>
      <c r="N580" s="84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>
      <c r="A581" s="83"/>
      <c r="B581" s="83"/>
      <c r="C581" s="83"/>
      <c r="D581" s="134"/>
      <c r="E581" s="138"/>
      <c r="F581" s="83"/>
      <c r="G581" s="83"/>
      <c r="H581" s="83"/>
      <c r="I581" s="83"/>
      <c r="J581" s="83"/>
      <c r="K581" s="83"/>
      <c r="L581" s="83"/>
      <c r="M581" s="84"/>
      <c r="N581" s="84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>
      <c r="A582" s="83"/>
      <c r="B582" s="83"/>
      <c r="C582" s="83"/>
      <c r="D582" s="134"/>
      <c r="E582" s="138"/>
      <c r="F582" s="83"/>
      <c r="G582" s="83"/>
      <c r="H582" s="83"/>
      <c r="I582" s="83"/>
      <c r="J582" s="83"/>
      <c r="K582" s="83"/>
      <c r="L582" s="83"/>
      <c r="M582" s="84"/>
      <c r="N582" s="84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>
      <c r="A583" s="83"/>
      <c r="B583" s="83"/>
      <c r="C583" s="83"/>
      <c r="D583" s="134"/>
      <c r="E583" s="138"/>
      <c r="F583" s="83"/>
      <c r="G583" s="83"/>
      <c r="H583" s="83"/>
      <c r="I583" s="83"/>
      <c r="J583" s="83"/>
      <c r="K583" s="83"/>
      <c r="L583" s="83"/>
      <c r="M583" s="84"/>
      <c r="N583" s="84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>
      <c r="A584" s="83"/>
      <c r="B584" s="83"/>
      <c r="C584" s="83"/>
      <c r="D584" s="134"/>
      <c r="E584" s="138"/>
      <c r="F584" s="83"/>
      <c r="G584" s="83"/>
      <c r="H584" s="83"/>
      <c r="I584" s="83"/>
      <c r="J584" s="83"/>
      <c r="K584" s="83"/>
      <c r="L584" s="83"/>
      <c r="M584" s="84"/>
      <c r="N584" s="84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>
      <c r="A585" s="83"/>
      <c r="B585" s="83"/>
      <c r="C585" s="83"/>
      <c r="D585" s="134"/>
      <c r="E585" s="138"/>
      <c r="F585" s="83"/>
      <c r="G585" s="83"/>
      <c r="H585" s="83"/>
      <c r="I585" s="83"/>
      <c r="J585" s="83"/>
      <c r="K585" s="83"/>
      <c r="L585" s="83"/>
      <c r="M585" s="84"/>
      <c r="N585" s="84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>
      <c r="A586" s="83"/>
      <c r="B586" s="83"/>
      <c r="C586" s="83"/>
      <c r="D586" s="134"/>
      <c r="E586" s="138"/>
      <c r="F586" s="83"/>
      <c r="G586" s="83"/>
      <c r="H586" s="83"/>
      <c r="I586" s="83"/>
      <c r="J586" s="83"/>
      <c r="K586" s="83"/>
      <c r="L586" s="83"/>
      <c r="M586" s="84"/>
      <c r="N586" s="84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>
      <c r="A587" s="83"/>
      <c r="B587" s="83"/>
      <c r="C587" s="83"/>
      <c r="D587" s="134"/>
      <c r="E587" s="138"/>
      <c r="F587" s="83"/>
      <c r="G587" s="83"/>
      <c r="H587" s="83"/>
      <c r="I587" s="83"/>
      <c r="J587" s="83"/>
      <c r="K587" s="83"/>
      <c r="L587" s="83"/>
      <c r="M587" s="84"/>
      <c r="N587" s="84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>
      <c r="A588" s="83"/>
      <c r="B588" s="83"/>
      <c r="C588" s="83"/>
      <c r="D588" s="134"/>
      <c r="E588" s="138"/>
      <c r="F588" s="83"/>
      <c r="G588" s="83"/>
      <c r="H588" s="83"/>
      <c r="I588" s="83"/>
      <c r="J588" s="83"/>
      <c r="K588" s="83"/>
      <c r="L588" s="83"/>
      <c r="M588" s="84"/>
      <c r="N588" s="84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>
      <c r="A589" s="83"/>
      <c r="B589" s="83"/>
      <c r="C589" s="83"/>
      <c r="D589" s="134"/>
      <c r="E589" s="138"/>
      <c r="F589" s="83"/>
      <c r="G589" s="83"/>
      <c r="H589" s="83"/>
      <c r="I589" s="83"/>
      <c r="J589" s="83"/>
      <c r="K589" s="83"/>
      <c r="L589" s="83"/>
      <c r="M589" s="84"/>
      <c r="N589" s="84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>
      <c r="A590" s="83"/>
      <c r="B590" s="83"/>
      <c r="C590" s="83"/>
      <c r="D590" s="134"/>
      <c r="E590" s="138"/>
      <c r="F590" s="83"/>
      <c r="G590" s="83"/>
      <c r="H590" s="83"/>
      <c r="I590" s="83"/>
      <c r="J590" s="83"/>
      <c r="K590" s="83"/>
      <c r="L590" s="83"/>
      <c r="M590" s="84"/>
      <c r="N590" s="84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>
      <c r="A591" s="83"/>
      <c r="B591" s="83"/>
      <c r="C591" s="83"/>
      <c r="D591" s="134"/>
      <c r="E591" s="138"/>
      <c r="F591" s="83"/>
      <c r="G591" s="83"/>
      <c r="H591" s="83"/>
      <c r="I591" s="83"/>
      <c r="J591" s="83"/>
      <c r="K591" s="83"/>
      <c r="L591" s="83"/>
      <c r="M591" s="84"/>
      <c r="N591" s="84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>
      <c r="A592" s="83"/>
      <c r="B592" s="83"/>
      <c r="C592" s="83"/>
      <c r="D592" s="134"/>
      <c r="E592" s="138"/>
      <c r="F592" s="83"/>
      <c r="G592" s="83"/>
      <c r="H592" s="83"/>
      <c r="I592" s="83"/>
      <c r="J592" s="83"/>
      <c r="K592" s="83"/>
      <c r="L592" s="83"/>
      <c r="M592" s="84"/>
      <c r="N592" s="84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>
      <c r="A593" s="83"/>
      <c r="B593" s="83"/>
      <c r="C593" s="83"/>
      <c r="D593" s="134"/>
      <c r="E593" s="138"/>
      <c r="F593" s="83"/>
      <c r="G593" s="83"/>
      <c r="H593" s="83"/>
      <c r="I593" s="83"/>
      <c r="J593" s="83"/>
      <c r="K593" s="83"/>
      <c r="L593" s="83"/>
      <c r="M593" s="84"/>
      <c r="N593" s="84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>
      <c r="A594" s="83"/>
      <c r="B594" s="83"/>
      <c r="C594" s="83"/>
      <c r="D594" s="134"/>
      <c r="E594" s="138"/>
      <c r="F594" s="83"/>
      <c r="G594" s="83"/>
      <c r="H594" s="83"/>
      <c r="I594" s="83"/>
      <c r="J594" s="83"/>
      <c r="K594" s="83"/>
      <c r="L594" s="83"/>
      <c r="M594" s="84"/>
      <c r="N594" s="84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>
      <c r="A595" s="83"/>
      <c r="B595" s="83"/>
      <c r="C595" s="83"/>
      <c r="D595" s="134"/>
      <c r="E595" s="138"/>
      <c r="F595" s="83"/>
      <c r="G595" s="83"/>
      <c r="H595" s="83"/>
      <c r="I595" s="83"/>
      <c r="J595" s="83"/>
      <c r="K595" s="83"/>
      <c r="L595" s="83"/>
      <c r="M595" s="84"/>
      <c r="N595" s="84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>
      <c r="A596" s="83"/>
      <c r="B596" s="83"/>
      <c r="C596" s="83"/>
      <c r="D596" s="134"/>
      <c r="E596" s="138"/>
      <c r="F596" s="83"/>
      <c r="G596" s="83"/>
      <c r="H596" s="83"/>
      <c r="I596" s="83"/>
      <c r="J596" s="83"/>
      <c r="K596" s="83"/>
      <c r="L596" s="83"/>
      <c r="M596" s="84"/>
      <c r="N596" s="84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>
      <c r="A597" s="83"/>
      <c r="B597" s="83"/>
      <c r="C597" s="83"/>
      <c r="D597" s="134"/>
      <c r="E597" s="138"/>
      <c r="F597" s="83"/>
      <c r="G597" s="83"/>
      <c r="H597" s="83"/>
      <c r="I597" s="83"/>
      <c r="J597" s="83"/>
      <c r="K597" s="83"/>
      <c r="L597" s="83"/>
      <c r="M597" s="84"/>
      <c r="N597" s="84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>
      <c r="A598" s="83"/>
      <c r="B598" s="83"/>
      <c r="C598" s="83"/>
      <c r="D598" s="134"/>
      <c r="E598" s="138"/>
      <c r="F598" s="83"/>
      <c r="G598" s="83"/>
      <c r="H598" s="83"/>
      <c r="I598" s="83"/>
      <c r="J598" s="83"/>
      <c r="K598" s="83"/>
      <c r="L598" s="83"/>
      <c r="M598" s="84"/>
      <c r="N598" s="84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>
      <c r="A599" s="83"/>
      <c r="B599" s="83"/>
      <c r="C599" s="83"/>
      <c r="D599" s="134"/>
      <c r="E599" s="138"/>
      <c r="F599" s="83"/>
      <c r="G599" s="83"/>
      <c r="H599" s="83"/>
      <c r="I599" s="83"/>
      <c r="J599" s="83"/>
      <c r="K599" s="83"/>
      <c r="L599" s="83"/>
      <c r="M599" s="84"/>
      <c r="N599" s="84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>
      <c r="A600" s="83"/>
      <c r="B600" s="83"/>
      <c r="C600" s="83"/>
      <c r="D600" s="134"/>
      <c r="E600" s="138"/>
      <c r="F600" s="83"/>
      <c r="G600" s="83"/>
      <c r="H600" s="83"/>
      <c r="I600" s="83"/>
      <c r="J600" s="83"/>
      <c r="K600" s="83"/>
      <c r="L600" s="83"/>
      <c r="M600" s="84"/>
      <c r="N600" s="84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>
      <c r="A601" s="83"/>
      <c r="B601" s="83"/>
      <c r="C601" s="83"/>
      <c r="D601" s="134"/>
      <c r="E601" s="138"/>
      <c r="F601" s="83"/>
      <c r="G601" s="83"/>
      <c r="H601" s="83"/>
      <c r="I601" s="83"/>
      <c r="J601" s="83"/>
      <c r="K601" s="83"/>
      <c r="L601" s="83"/>
      <c r="M601" s="84"/>
      <c r="N601" s="84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>
      <c r="A602" s="83"/>
      <c r="B602" s="83"/>
      <c r="C602" s="83"/>
      <c r="D602" s="134"/>
      <c r="E602" s="138"/>
      <c r="F602" s="83"/>
      <c r="G602" s="83"/>
      <c r="H602" s="83"/>
      <c r="I602" s="83"/>
      <c r="J602" s="83"/>
      <c r="K602" s="83"/>
      <c r="L602" s="83"/>
      <c r="M602" s="84"/>
      <c r="N602" s="84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>
      <c r="A603" s="83"/>
      <c r="B603" s="83"/>
      <c r="C603" s="83"/>
      <c r="D603" s="134"/>
      <c r="E603" s="138"/>
      <c r="F603" s="83"/>
      <c r="G603" s="83"/>
      <c r="H603" s="83"/>
      <c r="I603" s="83"/>
      <c r="J603" s="83"/>
      <c r="K603" s="83"/>
      <c r="L603" s="83"/>
      <c r="M603" s="84"/>
      <c r="N603" s="84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>
      <c r="A604" s="83"/>
      <c r="B604" s="83"/>
      <c r="C604" s="83"/>
      <c r="D604" s="134"/>
      <c r="E604" s="138"/>
      <c r="F604" s="83"/>
      <c r="G604" s="83"/>
      <c r="H604" s="83"/>
      <c r="I604" s="83"/>
      <c r="J604" s="83"/>
      <c r="K604" s="83"/>
      <c r="L604" s="83"/>
      <c r="M604" s="84"/>
      <c r="N604" s="84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>
      <c r="A605" s="83"/>
      <c r="B605" s="83"/>
      <c r="C605" s="83"/>
      <c r="D605" s="134"/>
      <c r="E605" s="138"/>
      <c r="F605" s="83"/>
      <c r="G605" s="83"/>
      <c r="H605" s="83"/>
      <c r="I605" s="83"/>
      <c r="J605" s="83"/>
      <c r="K605" s="83"/>
      <c r="L605" s="83"/>
      <c r="M605" s="84"/>
      <c r="N605" s="84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>
      <c r="A606" s="83"/>
      <c r="B606" s="83"/>
      <c r="C606" s="83"/>
      <c r="D606" s="134"/>
      <c r="E606" s="138"/>
      <c r="F606" s="83"/>
      <c r="G606" s="83"/>
      <c r="H606" s="83"/>
      <c r="I606" s="83"/>
      <c r="J606" s="83"/>
      <c r="K606" s="83"/>
      <c r="L606" s="83"/>
      <c r="M606" s="84"/>
      <c r="N606" s="84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>
      <c r="A607" s="83"/>
      <c r="B607" s="83"/>
      <c r="C607" s="83"/>
      <c r="D607" s="134"/>
      <c r="E607" s="138"/>
      <c r="F607" s="83"/>
      <c r="G607" s="83"/>
      <c r="H607" s="83"/>
      <c r="I607" s="83"/>
      <c r="J607" s="83"/>
      <c r="K607" s="83"/>
      <c r="L607" s="83"/>
      <c r="M607" s="84"/>
      <c r="N607" s="84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>
      <c r="A608" s="83"/>
      <c r="B608" s="83"/>
      <c r="C608" s="83"/>
      <c r="D608" s="134"/>
      <c r="E608" s="138"/>
      <c r="F608" s="83"/>
      <c r="G608" s="83"/>
      <c r="H608" s="83"/>
      <c r="I608" s="83"/>
      <c r="J608" s="83"/>
      <c r="K608" s="83"/>
      <c r="L608" s="83"/>
      <c r="M608" s="84"/>
      <c r="N608" s="84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>
      <c r="A609" s="83"/>
      <c r="B609" s="83"/>
      <c r="C609" s="83"/>
      <c r="D609" s="134"/>
      <c r="E609" s="138"/>
      <c r="F609" s="83"/>
      <c r="G609" s="83"/>
      <c r="H609" s="83"/>
      <c r="I609" s="83"/>
      <c r="J609" s="83"/>
      <c r="K609" s="83"/>
      <c r="L609" s="83"/>
      <c r="M609" s="84"/>
      <c r="N609" s="84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>
      <c r="A610" s="83"/>
      <c r="B610" s="83"/>
      <c r="C610" s="83"/>
      <c r="D610" s="134"/>
      <c r="E610" s="138"/>
      <c r="F610" s="83"/>
      <c r="G610" s="83"/>
      <c r="H610" s="83"/>
      <c r="I610" s="83"/>
      <c r="J610" s="83"/>
      <c r="K610" s="83"/>
      <c r="L610" s="83"/>
      <c r="M610" s="84"/>
      <c r="N610" s="84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>
      <c r="A611" s="83"/>
      <c r="B611" s="83"/>
      <c r="C611" s="83"/>
      <c r="D611" s="134"/>
      <c r="E611" s="138"/>
      <c r="F611" s="83"/>
      <c r="G611" s="83"/>
      <c r="H611" s="83"/>
      <c r="I611" s="83"/>
      <c r="J611" s="83"/>
      <c r="K611" s="83"/>
      <c r="L611" s="83"/>
      <c r="M611" s="84"/>
      <c r="N611" s="84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>
      <c r="A612" s="83"/>
      <c r="B612" s="83"/>
      <c r="C612" s="83"/>
      <c r="D612" s="134"/>
      <c r="E612" s="138"/>
      <c r="F612" s="83"/>
      <c r="G612" s="83"/>
      <c r="H612" s="83"/>
      <c r="I612" s="83"/>
      <c r="J612" s="83"/>
      <c r="K612" s="83"/>
      <c r="L612" s="83"/>
      <c r="M612" s="84"/>
      <c r="N612" s="84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>
      <c r="A613" s="83"/>
      <c r="B613" s="83"/>
      <c r="C613" s="83"/>
      <c r="D613" s="134"/>
      <c r="E613" s="138"/>
      <c r="F613" s="83"/>
      <c r="G613" s="83"/>
      <c r="H613" s="83"/>
      <c r="I613" s="83"/>
      <c r="J613" s="83"/>
      <c r="K613" s="83"/>
      <c r="L613" s="83"/>
      <c r="M613" s="84"/>
      <c r="N613" s="84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>
      <c r="A614" s="83"/>
      <c r="B614" s="83"/>
      <c r="C614" s="83"/>
      <c r="D614" s="134"/>
      <c r="E614" s="138"/>
      <c r="F614" s="83"/>
      <c r="G614" s="83"/>
      <c r="H614" s="83"/>
      <c r="I614" s="83"/>
      <c r="J614" s="83"/>
      <c r="K614" s="83"/>
      <c r="L614" s="83"/>
      <c r="M614" s="84"/>
      <c r="N614" s="84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>
      <c r="A615" s="83"/>
      <c r="B615" s="83"/>
      <c r="C615" s="83"/>
      <c r="D615" s="134"/>
      <c r="E615" s="138"/>
      <c r="F615" s="83"/>
      <c r="G615" s="83"/>
      <c r="H615" s="83"/>
      <c r="I615" s="83"/>
      <c r="J615" s="83"/>
      <c r="K615" s="83"/>
      <c r="L615" s="83"/>
      <c r="M615" s="84"/>
      <c r="N615" s="84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>
      <c r="A616" s="83"/>
      <c r="B616" s="83"/>
      <c r="C616" s="83"/>
      <c r="D616" s="134"/>
      <c r="E616" s="138"/>
      <c r="F616" s="83"/>
      <c r="G616" s="83"/>
      <c r="H616" s="83"/>
      <c r="I616" s="83"/>
      <c r="J616" s="83"/>
      <c r="K616" s="83"/>
      <c r="L616" s="83"/>
      <c r="M616" s="84"/>
      <c r="N616" s="84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>
      <c r="A617" s="83"/>
      <c r="B617" s="83"/>
      <c r="C617" s="83"/>
      <c r="D617" s="134"/>
      <c r="E617" s="138"/>
      <c r="F617" s="83"/>
      <c r="G617" s="83"/>
      <c r="H617" s="83"/>
      <c r="I617" s="83"/>
      <c r="J617" s="83"/>
      <c r="K617" s="83"/>
      <c r="L617" s="83"/>
      <c r="M617" s="84"/>
      <c r="N617" s="84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>
      <c r="A618" s="83"/>
      <c r="B618" s="83"/>
      <c r="C618" s="83"/>
      <c r="D618" s="134"/>
      <c r="E618" s="138"/>
      <c r="F618" s="83"/>
      <c r="G618" s="83"/>
      <c r="H618" s="83"/>
      <c r="I618" s="83"/>
      <c r="J618" s="83"/>
      <c r="K618" s="83"/>
      <c r="L618" s="83"/>
      <c r="M618" s="84"/>
      <c r="N618" s="84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>
      <c r="A619" s="83"/>
      <c r="B619" s="83"/>
      <c r="C619" s="83"/>
      <c r="D619" s="134"/>
      <c r="E619" s="138"/>
      <c r="F619" s="83"/>
      <c r="G619" s="83"/>
      <c r="H619" s="83"/>
      <c r="I619" s="83"/>
      <c r="J619" s="83"/>
      <c r="K619" s="83"/>
      <c r="L619" s="83"/>
      <c r="M619" s="84"/>
      <c r="N619" s="84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>
      <c r="A620" s="83"/>
      <c r="B620" s="83"/>
      <c r="C620" s="83"/>
      <c r="D620" s="134"/>
      <c r="E620" s="138"/>
      <c r="F620" s="83"/>
      <c r="G620" s="83"/>
      <c r="H620" s="83"/>
      <c r="I620" s="83"/>
      <c r="J620" s="83"/>
      <c r="K620" s="83"/>
      <c r="L620" s="83"/>
      <c r="M620" s="84"/>
      <c r="N620" s="84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>
      <c r="A621" s="83"/>
      <c r="B621" s="83"/>
      <c r="C621" s="83"/>
      <c r="D621" s="134"/>
      <c r="E621" s="138"/>
      <c r="F621" s="83"/>
      <c r="G621" s="83"/>
      <c r="H621" s="83"/>
      <c r="I621" s="83"/>
      <c r="J621" s="83"/>
      <c r="K621" s="83"/>
      <c r="L621" s="83"/>
      <c r="M621" s="84"/>
      <c r="N621" s="84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>
      <c r="A622" s="83"/>
      <c r="B622" s="83"/>
      <c r="C622" s="83"/>
      <c r="D622" s="134"/>
      <c r="E622" s="138"/>
      <c r="F622" s="83"/>
      <c r="G622" s="83"/>
      <c r="H622" s="83"/>
      <c r="I622" s="83"/>
      <c r="J622" s="83"/>
      <c r="K622" s="83"/>
      <c r="L622" s="83"/>
      <c r="M622" s="84"/>
      <c r="N622" s="84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>
      <c r="A623" s="83"/>
      <c r="B623" s="83"/>
      <c r="C623" s="83"/>
      <c r="D623" s="134"/>
      <c r="E623" s="138"/>
      <c r="F623" s="83"/>
      <c r="G623" s="83"/>
      <c r="H623" s="83"/>
      <c r="I623" s="83"/>
      <c r="J623" s="83"/>
      <c r="K623" s="83"/>
      <c r="L623" s="83"/>
      <c r="M623" s="84"/>
      <c r="N623" s="84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>
      <c r="A624" s="83"/>
      <c r="B624" s="83"/>
      <c r="C624" s="83"/>
      <c r="D624" s="134"/>
      <c r="E624" s="138"/>
      <c r="F624" s="83"/>
      <c r="G624" s="83"/>
      <c r="H624" s="83"/>
      <c r="I624" s="83"/>
      <c r="J624" s="83"/>
      <c r="K624" s="83"/>
      <c r="L624" s="83"/>
      <c r="M624" s="84"/>
      <c r="N624" s="84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>
      <c r="A625" s="83"/>
      <c r="B625" s="83"/>
      <c r="C625" s="83"/>
      <c r="D625" s="134"/>
      <c r="E625" s="138"/>
      <c r="F625" s="83"/>
      <c r="G625" s="83"/>
      <c r="H625" s="83"/>
      <c r="I625" s="83"/>
      <c r="J625" s="83"/>
      <c r="K625" s="83"/>
      <c r="L625" s="83"/>
      <c r="M625" s="84"/>
      <c r="N625" s="84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>
      <c r="A626" s="83"/>
      <c r="B626" s="83"/>
      <c r="C626" s="83"/>
      <c r="D626" s="134"/>
      <c r="E626" s="138"/>
      <c r="F626" s="83"/>
      <c r="G626" s="83"/>
      <c r="H626" s="83"/>
      <c r="I626" s="83"/>
      <c r="J626" s="83"/>
      <c r="K626" s="83"/>
      <c r="L626" s="83"/>
      <c r="M626" s="84"/>
      <c r="N626" s="84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>
      <c r="A627" s="83"/>
      <c r="B627" s="83"/>
      <c r="C627" s="83"/>
      <c r="D627" s="134"/>
      <c r="E627" s="138"/>
      <c r="F627" s="83"/>
      <c r="G627" s="83"/>
      <c r="H627" s="83"/>
      <c r="I627" s="83"/>
      <c r="J627" s="83"/>
      <c r="K627" s="83"/>
      <c r="L627" s="83"/>
      <c r="M627" s="84"/>
      <c r="N627" s="84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>
      <c r="A628" s="83"/>
      <c r="B628" s="83"/>
      <c r="C628" s="83"/>
      <c r="D628" s="134"/>
      <c r="E628" s="138"/>
      <c r="F628" s="83"/>
      <c r="G628" s="83"/>
      <c r="H628" s="83"/>
      <c r="I628" s="83"/>
      <c r="J628" s="83"/>
      <c r="K628" s="83"/>
      <c r="L628" s="83"/>
      <c r="M628" s="84"/>
      <c r="N628" s="84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>
      <c r="A629" s="83"/>
      <c r="B629" s="83"/>
      <c r="C629" s="83"/>
      <c r="D629" s="134"/>
      <c r="E629" s="138"/>
      <c r="F629" s="83"/>
      <c r="G629" s="83"/>
      <c r="H629" s="83"/>
      <c r="I629" s="83"/>
      <c r="J629" s="83"/>
      <c r="K629" s="83"/>
      <c r="L629" s="83"/>
      <c r="M629" s="84"/>
      <c r="N629" s="84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>
      <c r="A630" s="83"/>
      <c r="B630" s="83"/>
      <c r="C630" s="83"/>
      <c r="D630" s="134"/>
      <c r="E630" s="138"/>
      <c r="F630" s="83"/>
      <c r="G630" s="83"/>
      <c r="H630" s="83"/>
      <c r="I630" s="83"/>
      <c r="J630" s="83"/>
      <c r="K630" s="83"/>
      <c r="L630" s="83"/>
      <c r="M630" s="84"/>
      <c r="N630" s="84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>
      <c r="A631" s="83"/>
      <c r="B631" s="83"/>
      <c r="C631" s="83"/>
      <c r="D631" s="134"/>
      <c r="E631" s="138"/>
      <c r="F631" s="83"/>
      <c r="G631" s="83"/>
      <c r="H631" s="83"/>
      <c r="I631" s="83"/>
      <c r="J631" s="83"/>
      <c r="K631" s="83"/>
      <c r="L631" s="83"/>
      <c r="M631" s="84"/>
      <c r="N631" s="84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>
      <c r="A632" s="83"/>
      <c r="B632" s="83"/>
      <c r="C632" s="83"/>
      <c r="D632" s="134"/>
      <c r="E632" s="138"/>
      <c r="F632" s="83"/>
      <c r="G632" s="83"/>
      <c r="H632" s="83"/>
      <c r="I632" s="83"/>
      <c r="J632" s="83"/>
      <c r="K632" s="83"/>
      <c r="L632" s="83"/>
      <c r="M632" s="84"/>
      <c r="N632" s="84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>
      <c r="A633" s="83"/>
      <c r="B633" s="83"/>
      <c r="C633" s="83"/>
      <c r="D633" s="134"/>
      <c r="E633" s="138"/>
      <c r="F633" s="83"/>
      <c r="G633" s="83"/>
      <c r="H633" s="83"/>
      <c r="I633" s="83"/>
      <c r="J633" s="83"/>
      <c r="K633" s="83"/>
      <c r="L633" s="83"/>
      <c r="M633" s="84"/>
      <c r="N633" s="84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>
      <c r="A634" s="83"/>
      <c r="B634" s="83"/>
      <c r="C634" s="83"/>
      <c r="D634" s="134"/>
      <c r="E634" s="138"/>
      <c r="F634" s="83"/>
      <c r="G634" s="83"/>
      <c r="H634" s="83"/>
      <c r="I634" s="83"/>
      <c r="J634" s="83"/>
      <c r="K634" s="83"/>
      <c r="L634" s="83"/>
      <c r="M634" s="84"/>
      <c r="N634" s="84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>
      <c r="A635" s="83"/>
      <c r="B635" s="83"/>
      <c r="C635" s="83"/>
      <c r="D635" s="134"/>
      <c r="E635" s="138"/>
      <c r="F635" s="83"/>
      <c r="G635" s="83"/>
      <c r="H635" s="83"/>
      <c r="I635" s="83"/>
      <c r="J635" s="83"/>
      <c r="K635" s="83"/>
      <c r="L635" s="83"/>
      <c r="M635" s="84"/>
      <c r="N635" s="84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>
      <c r="A636" s="83"/>
      <c r="B636" s="83"/>
      <c r="C636" s="83"/>
      <c r="D636" s="134"/>
      <c r="E636" s="138"/>
      <c r="F636" s="83"/>
      <c r="G636" s="83"/>
      <c r="H636" s="83"/>
      <c r="I636" s="83"/>
      <c r="J636" s="83"/>
      <c r="K636" s="83"/>
      <c r="L636" s="83"/>
      <c r="M636" s="84"/>
      <c r="N636" s="84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>
      <c r="A637" s="83"/>
      <c r="B637" s="83"/>
      <c r="C637" s="83"/>
      <c r="D637" s="134"/>
      <c r="E637" s="138"/>
      <c r="F637" s="83"/>
      <c r="G637" s="83"/>
      <c r="H637" s="83"/>
      <c r="I637" s="83"/>
      <c r="J637" s="83"/>
      <c r="K637" s="83"/>
      <c r="L637" s="83"/>
      <c r="M637" s="84"/>
      <c r="N637" s="84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>
      <c r="A638" s="83"/>
      <c r="B638" s="83"/>
      <c r="C638" s="83"/>
      <c r="D638" s="134"/>
      <c r="E638" s="138"/>
      <c r="F638" s="83"/>
      <c r="G638" s="83"/>
      <c r="H638" s="83"/>
      <c r="I638" s="83"/>
      <c r="J638" s="83"/>
      <c r="K638" s="83"/>
      <c r="L638" s="83"/>
      <c r="M638" s="84"/>
      <c r="N638" s="84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>
      <c r="A639" s="83"/>
      <c r="B639" s="83"/>
      <c r="C639" s="83"/>
      <c r="D639" s="134"/>
      <c r="E639" s="138"/>
      <c r="F639" s="83"/>
      <c r="G639" s="83"/>
      <c r="H639" s="83"/>
      <c r="I639" s="83"/>
      <c r="J639" s="83"/>
      <c r="K639" s="83"/>
      <c r="L639" s="83"/>
      <c r="M639" s="84"/>
      <c r="N639" s="84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>
      <c r="A640" s="83"/>
      <c r="B640" s="83"/>
      <c r="C640" s="83"/>
      <c r="D640" s="134"/>
      <c r="E640" s="138"/>
      <c r="F640" s="83"/>
      <c r="G640" s="83"/>
      <c r="H640" s="83"/>
      <c r="I640" s="83"/>
      <c r="J640" s="83"/>
      <c r="K640" s="83"/>
      <c r="L640" s="83"/>
      <c r="M640" s="84"/>
      <c r="N640" s="84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>
      <c r="A641" s="83"/>
      <c r="B641" s="83"/>
      <c r="C641" s="83"/>
      <c r="D641" s="134"/>
      <c r="E641" s="138"/>
      <c r="F641" s="83"/>
      <c r="G641" s="83"/>
      <c r="H641" s="83"/>
      <c r="I641" s="83"/>
      <c r="J641" s="83"/>
      <c r="K641" s="83"/>
      <c r="L641" s="83"/>
      <c r="M641" s="84"/>
      <c r="N641" s="84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>
      <c r="A642" s="83"/>
      <c r="B642" s="83"/>
      <c r="C642" s="83"/>
      <c r="D642" s="134"/>
      <c r="E642" s="138"/>
      <c r="F642" s="83"/>
      <c r="G642" s="83"/>
      <c r="H642" s="83"/>
      <c r="I642" s="83"/>
      <c r="J642" s="83"/>
      <c r="K642" s="83"/>
      <c r="L642" s="83"/>
      <c r="M642" s="84"/>
      <c r="N642" s="84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>
      <c r="A643" s="83"/>
      <c r="B643" s="83"/>
      <c r="C643" s="83"/>
      <c r="D643" s="134"/>
      <c r="E643" s="138"/>
      <c r="F643" s="83"/>
      <c r="G643" s="83"/>
      <c r="H643" s="83"/>
      <c r="I643" s="83"/>
      <c r="J643" s="83"/>
      <c r="K643" s="83"/>
      <c r="L643" s="83"/>
      <c r="M643" s="84"/>
      <c r="N643" s="84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>
      <c r="A644" s="83"/>
      <c r="B644" s="83"/>
      <c r="C644" s="83"/>
      <c r="D644" s="134"/>
      <c r="E644" s="138"/>
      <c r="F644" s="83"/>
      <c r="G644" s="83"/>
      <c r="H644" s="83"/>
      <c r="I644" s="83"/>
      <c r="J644" s="83"/>
      <c r="K644" s="83"/>
      <c r="L644" s="83"/>
      <c r="M644" s="84"/>
      <c r="N644" s="84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>
      <c r="A645" s="83"/>
      <c r="B645" s="83"/>
      <c r="C645" s="83"/>
      <c r="D645" s="134"/>
      <c r="E645" s="138"/>
      <c r="F645" s="83"/>
      <c r="G645" s="83"/>
      <c r="H645" s="83"/>
      <c r="I645" s="83"/>
      <c r="J645" s="83"/>
      <c r="K645" s="83"/>
      <c r="L645" s="83"/>
      <c r="M645" s="84"/>
      <c r="N645" s="84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>
      <c r="A646" s="83"/>
      <c r="B646" s="83"/>
      <c r="C646" s="83"/>
      <c r="D646" s="134"/>
      <c r="E646" s="138"/>
      <c r="F646" s="83"/>
      <c r="G646" s="83"/>
      <c r="H646" s="83"/>
      <c r="I646" s="83"/>
      <c r="J646" s="83"/>
      <c r="K646" s="83"/>
      <c r="L646" s="83"/>
      <c r="M646" s="84"/>
      <c r="N646" s="84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>
      <c r="A647" s="83"/>
      <c r="B647" s="83"/>
      <c r="C647" s="83"/>
      <c r="D647" s="134"/>
      <c r="E647" s="138"/>
      <c r="F647" s="83"/>
      <c r="G647" s="83"/>
      <c r="H647" s="83"/>
      <c r="I647" s="83"/>
      <c r="J647" s="83"/>
      <c r="K647" s="83"/>
      <c r="L647" s="83"/>
      <c r="M647" s="84"/>
      <c r="N647" s="84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>
      <c r="A648" s="83"/>
      <c r="B648" s="83"/>
      <c r="C648" s="83"/>
      <c r="D648" s="134"/>
      <c r="E648" s="138"/>
      <c r="F648" s="83"/>
      <c r="G648" s="83"/>
      <c r="H648" s="83"/>
      <c r="I648" s="83"/>
      <c r="J648" s="83"/>
      <c r="K648" s="83"/>
      <c r="L648" s="83"/>
      <c r="M648" s="84"/>
      <c r="N648" s="84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>
      <c r="A649" s="83"/>
      <c r="B649" s="83"/>
      <c r="C649" s="83"/>
      <c r="D649" s="134"/>
      <c r="E649" s="138"/>
      <c r="F649" s="83"/>
      <c r="G649" s="83"/>
      <c r="H649" s="83"/>
      <c r="I649" s="83"/>
      <c r="J649" s="83"/>
      <c r="K649" s="83"/>
      <c r="L649" s="83"/>
      <c r="M649" s="84"/>
      <c r="N649" s="84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>
      <c r="A650" s="83"/>
      <c r="B650" s="83"/>
      <c r="C650" s="83"/>
      <c r="D650" s="134"/>
      <c r="E650" s="138"/>
      <c r="F650" s="83"/>
      <c r="G650" s="83"/>
      <c r="H650" s="83"/>
      <c r="I650" s="83"/>
      <c r="J650" s="83"/>
      <c r="K650" s="83"/>
      <c r="L650" s="83"/>
      <c r="M650" s="84"/>
      <c r="N650" s="84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>
      <c r="A651" s="83"/>
      <c r="B651" s="83"/>
      <c r="C651" s="83"/>
      <c r="D651" s="134"/>
      <c r="E651" s="138"/>
      <c r="F651" s="83"/>
      <c r="G651" s="83"/>
      <c r="H651" s="83"/>
      <c r="I651" s="83"/>
      <c r="J651" s="83"/>
      <c r="K651" s="83"/>
      <c r="L651" s="83"/>
      <c r="M651" s="84"/>
      <c r="N651" s="84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>
      <c r="A652" s="83"/>
      <c r="B652" s="83"/>
      <c r="C652" s="83"/>
      <c r="D652" s="134"/>
      <c r="E652" s="138"/>
      <c r="F652" s="83"/>
      <c r="G652" s="83"/>
      <c r="H652" s="83"/>
      <c r="I652" s="83"/>
      <c r="J652" s="83"/>
      <c r="K652" s="83"/>
      <c r="L652" s="83"/>
      <c r="M652" s="84"/>
      <c r="N652" s="84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>
      <c r="A653" s="83"/>
      <c r="B653" s="83"/>
      <c r="C653" s="83"/>
      <c r="D653" s="134"/>
      <c r="E653" s="138"/>
      <c r="F653" s="83"/>
      <c r="G653" s="83"/>
      <c r="H653" s="83"/>
      <c r="I653" s="83"/>
      <c r="J653" s="83"/>
      <c r="K653" s="83"/>
      <c r="L653" s="83"/>
      <c r="M653" s="84"/>
      <c r="N653" s="84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>
      <c r="A654" s="83"/>
      <c r="B654" s="83"/>
      <c r="C654" s="83"/>
      <c r="D654" s="134"/>
      <c r="E654" s="138"/>
      <c r="F654" s="83"/>
      <c r="G654" s="83"/>
      <c r="H654" s="83"/>
      <c r="I654" s="83"/>
      <c r="J654" s="83"/>
      <c r="K654" s="83"/>
      <c r="L654" s="83"/>
      <c r="M654" s="84"/>
      <c r="N654" s="84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>
      <c r="A655" s="83"/>
      <c r="B655" s="83"/>
      <c r="C655" s="83"/>
      <c r="D655" s="134"/>
      <c r="E655" s="138"/>
      <c r="F655" s="83"/>
      <c r="G655" s="83"/>
      <c r="H655" s="83"/>
      <c r="I655" s="83"/>
      <c r="J655" s="83"/>
      <c r="K655" s="83"/>
      <c r="L655" s="83"/>
      <c r="M655" s="84"/>
      <c r="N655" s="84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>
      <c r="A656" s="83"/>
      <c r="B656" s="83"/>
      <c r="C656" s="83"/>
      <c r="D656" s="134"/>
      <c r="E656" s="138"/>
      <c r="F656" s="83"/>
      <c r="G656" s="83"/>
      <c r="H656" s="83"/>
      <c r="I656" s="83"/>
      <c r="J656" s="83"/>
      <c r="K656" s="83"/>
      <c r="L656" s="83"/>
      <c r="M656" s="84"/>
      <c r="N656" s="84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>
      <c r="A657" s="83"/>
      <c r="B657" s="83"/>
      <c r="C657" s="83"/>
      <c r="D657" s="134"/>
      <c r="E657" s="138"/>
      <c r="F657" s="83"/>
      <c r="G657" s="83"/>
      <c r="H657" s="83"/>
      <c r="I657" s="83"/>
      <c r="J657" s="83"/>
      <c r="K657" s="83"/>
      <c r="L657" s="83"/>
      <c r="M657" s="84"/>
      <c r="N657" s="84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>
      <c r="A658" s="83"/>
      <c r="B658" s="83"/>
      <c r="C658" s="83"/>
      <c r="D658" s="134"/>
      <c r="E658" s="138"/>
      <c r="F658" s="83"/>
      <c r="G658" s="83"/>
      <c r="H658" s="83"/>
      <c r="I658" s="83"/>
      <c r="J658" s="83"/>
      <c r="K658" s="83"/>
      <c r="L658" s="83"/>
      <c r="M658" s="84"/>
      <c r="N658" s="84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>
      <c r="A659" s="83"/>
      <c r="B659" s="83"/>
      <c r="C659" s="83"/>
      <c r="D659" s="134"/>
      <c r="E659" s="138"/>
      <c r="F659" s="83"/>
      <c r="G659" s="83"/>
      <c r="H659" s="83"/>
      <c r="I659" s="83"/>
      <c r="J659" s="83"/>
      <c r="K659" s="83"/>
      <c r="L659" s="83"/>
      <c r="M659" s="84"/>
      <c r="N659" s="84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>
      <c r="A660" s="83"/>
      <c r="B660" s="83"/>
      <c r="C660" s="83"/>
      <c r="D660" s="134"/>
      <c r="E660" s="138"/>
      <c r="F660" s="83"/>
      <c r="G660" s="83"/>
      <c r="H660" s="83"/>
      <c r="I660" s="83"/>
      <c r="J660" s="83"/>
      <c r="K660" s="83"/>
      <c r="L660" s="83"/>
      <c r="M660" s="84"/>
      <c r="N660" s="84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>
      <c r="A661" s="83"/>
      <c r="B661" s="83"/>
      <c r="C661" s="83"/>
      <c r="D661" s="134"/>
      <c r="E661" s="138"/>
      <c r="F661" s="83"/>
      <c r="G661" s="83"/>
      <c r="H661" s="83"/>
      <c r="I661" s="83"/>
      <c r="J661" s="83"/>
      <c r="K661" s="83"/>
      <c r="L661" s="83"/>
      <c r="M661" s="84"/>
      <c r="N661" s="84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>
      <c r="A662" s="83"/>
      <c r="B662" s="83"/>
      <c r="C662" s="83"/>
      <c r="D662" s="134"/>
      <c r="E662" s="138"/>
      <c r="F662" s="83"/>
      <c r="G662" s="83"/>
      <c r="H662" s="83"/>
      <c r="I662" s="83"/>
      <c r="J662" s="83"/>
      <c r="K662" s="83"/>
      <c r="L662" s="83"/>
      <c r="M662" s="84"/>
      <c r="N662" s="84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>
      <c r="A663" s="83"/>
      <c r="B663" s="83"/>
      <c r="C663" s="83"/>
      <c r="D663" s="134"/>
      <c r="E663" s="138"/>
      <c r="F663" s="83"/>
      <c r="G663" s="83"/>
      <c r="H663" s="83"/>
      <c r="I663" s="83"/>
      <c r="J663" s="83"/>
      <c r="K663" s="83"/>
      <c r="L663" s="83"/>
      <c r="M663" s="84"/>
      <c r="N663" s="84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>
      <c r="A664" s="83"/>
      <c r="B664" s="83"/>
      <c r="C664" s="83"/>
      <c r="D664" s="134"/>
      <c r="E664" s="138"/>
      <c r="F664" s="83"/>
      <c r="G664" s="83"/>
      <c r="H664" s="83"/>
      <c r="I664" s="83"/>
      <c r="J664" s="83"/>
      <c r="K664" s="83"/>
      <c r="L664" s="83"/>
      <c r="M664" s="84"/>
      <c r="N664" s="84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>
      <c r="A665" s="83"/>
      <c r="B665" s="83"/>
      <c r="C665" s="83"/>
      <c r="D665" s="134"/>
      <c r="E665" s="138"/>
      <c r="F665" s="83"/>
      <c r="G665" s="83"/>
      <c r="H665" s="83"/>
      <c r="I665" s="83"/>
      <c r="J665" s="83"/>
      <c r="K665" s="83"/>
      <c r="L665" s="83"/>
      <c r="M665" s="84"/>
      <c r="N665" s="84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>
      <c r="A666" s="83"/>
      <c r="B666" s="83"/>
      <c r="C666" s="83"/>
      <c r="D666" s="134"/>
      <c r="E666" s="138"/>
      <c r="F666" s="83"/>
      <c r="G666" s="83"/>
      <c r="H666" s="83"/>
      <c r="I666" s="83"/>
      <c r="J666" s="83"/>
      <c r="K666" s="83"/>
      <c r="L666" s="83"/>
      <c r="M666" s="84"/>
      <c r="N666" s="84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>
      <c r="A667" s="83"/>
      <c r="B667" s="83"/>
      <c r="C667" s="83"/>
      <c r="D667" s="134"/>
      <c r="E667" s="138"/>
      <c r="F667" s="83"/>
      <c r="G667" s="83"/>
      <c r="H667" s="83"/>
      <c r="I667" s="83"/>
      <c r="J667" s="83"/>
      <c r="K667" s="83"/>
      <c r="L667" s="83"/>
      <c r="M667" s="84"/>
      <c r="N667" s="84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>
      <c r="A668" s="83"/>
      <c r="B668" s="83"/>
      <c r="C668" s="83"/>
      <c r="D668" s="134"/>
      <c r="E668" s="138"/>
      <c r="F668" s="83"/>
      <c r="G668" s="83"/>
      <c r="H668" s="83"/>
      <c r="I668" s="83"/>
      <c r="J668" s="83"/>
      <c r="K668" s="83"/>
      <c r="L668" s="83"/>
      <c r="M668" s="84"/>
      <c r="N668" s="84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>
      <c r="A669" s="83"/>
      <c r="B669" s="83"/>
      <c r="C669" s="83"/>
      <c r="D669" s="134"/>
      <c r="E669" s="138"/>
      <c r="F669" s="83"/>
      <c r="G669" s="83"/>
      <c r="H669" s="83"/>
      <c r="I669" s="83"/>
      <c r="J669" s="83"/>
      <c r="K669" s="83"/>
      <c r="L669" s="83"/>
      <c r="M669" s="84"/>
      <c r="N669" s="84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>
      <c r="A670" s="83"/>
      <c r="B670" s="83"/>
      <c r="C670" s="83"/>
      <c r="D670" s="134"/>
      <c r="E670" s="138"/>
      <c r="F670" s="83"/>
      <c r="G670" s="83"/>
      <c r="H670" s="83"/>
      <c r="I670" s="83"/>
      <c r="J670" s="83"/>
      <c r="K670" s="83"/>
      <c r="L670" s="83"/>
      <c r="M670" s="84"/>
      <c r="N670" s="84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>
      <c r="A671" s="83"/>
      <c r="B671" s="83"/>
      <c r="C671" s="83"/>
      <c r="D671" s="134"/>
      <c r="E671" s="138"/>
      <c r="F671" s="83"/>
      <c r="G671" s="83"/>
      <c r="H671" s="83"/>
      <c r="I671" s="83"/>
      <c r="J671" s="83"/>
      <c r="K671" s="83"/>
      <c r="L671" s="83"/>
      <c r="M671" s="84"/>
      <c r="N671" s="84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>
      <c r="A672" s="83"/>
      <c r="B672" s="83"/>
      <c r="C672" s="83"/>
      <c r="D672" s="134"/>
      <c r="E672" s="138"/>
      <c r="F672" s="83"/>
      <c r="G672" s="83"/>
      <c r="H672" s="83"/>
      <c r="I672" s="83"/>
      <c r="J672" s="83"/>
      <c r="K672" s="83"/>
      <c r="L672" s="83"/>
      <c r="M672" s="84"/>
      <c r="N672" s="84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>
      <c r="A673" s="83"/>
      <c r="B673" s="83"/>
      <c r="C673" s="83"/>
      <c r="D673" s="134"/>
      <c r="E673" s="138"/>
      <c r="F673" s="83"/>
      <c r="G673" s="83"/>
      <c r="H673" s="83"/>
      <c r="I673" s="83"/>
      <c r="J673" s="83"/>
      <c r="K673" s="83"/>
      <c r="L673" s="83"/>
      <c r="M673" s="84"/>
      <c r="N673" s="84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>
      <c r="A674" s="83"/>
      <c r="B674" s="83"/>
      <c r="C674" s="83"/>
      <c r="D674" s="134"/>
      <c r="E674" s="138"/>
      <c r="F674" s="83"/>
      <c r="G674" s="83"/>
      <c r="H674" s="83"/>
      <c r="I674" s="83"/>
      <c r="J674" s="83"/>
      <c r="K674" s="83"/>
      <c r="L674" s="83"/>
      <c r="M674" s="84"/>
      <c r="N674" s="84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>
      <c r="A675" s="83"/>
      <c r="B675" s="83"/>
      <c r="C675" s="83"/>
      <c r="D675" s="134"/>
      <c r="E675" s="138"/>
      <c r="F675" s="83"/>
      <c r="G675" s="83"/>
      <c r="H675" s="83"/>
      <c r="I675" s="83"/>
      <c r="J675" s="83"/>
      <c r="K675" s="83"/>
      <c r="L675" s="83"/>
      <c r="M675" s="84"/>
      <c r="N675" s="84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>
      <c r="A676" s="83"/>
      <c r="B676" s="83"/>
      <c r="C676" s="83"/>
      <c r="D676" s="134"/>
      <c r="E676" s="138"/>
      <c r="F676" s="83"/>
      <c r="G676" s="83"/>
      <c r="H676" s="83"/>
      <c r="I676" s="83"/>
      <c r="J676" s="83"/>
      <c r="K676" s="83"/>
      <c r="L676" s="83"/>
      <c r="M676" s="84"/>
      <c r="N676" s="84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>
      <c r="A677" s="83"/>
      <c r="B677" s="83"/>
      <c r="C677" s="83"/>
      <c r="D677" s="134"/>
      <c r="E677" s="138"/>
      <c r="F677" s="83"/>
      <c r="G677" s="83"/>
      <c r="H677" s="83"/>
      <c r="I677" s="83"/>
      <c r="J677" s="83"/>
      <c r="K677" s="83"/>
      <c r="L677" s="83"/>
      <c r="M677" s="84"/>
      <c r="N677" s="84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>
      <c r="A678" s="83"/>
      <c r="B678" s="83"/>
      <c r="C678" s="83"/>
      <c r="D678" s="134"/>
      <c r="E678" s="138"/>
      <c r="F678" s="83"/>
      <c r="G678" s="83"/>
      <c r="H678" s="83"/>
      <c r="I678" s="83"/>
      <c r="J678" s="83"/>
      <c r="K678" s="83"/>
      <c r="L678" s="83"/>
      <c r="M678" s="84"/>
      <c r="N678" s="84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>
      <c r="A679" s="83"/>
      <c r="B679" s="83"/>
      <c r="C679" s="83"/>
      <c r="D679" s="134"/>
      <c r="E679" s="138"/>
      <c r="F679" s="83"/>
      <c r="G679" s="83"/>
      <c r="H679" s="83"/>
      <c r="I679" s="83"/>
      <c r="J679" s="83"/>
      <c r="K679" s="83"/>
      <c r="L679" s="83"/>
      <c r="M679" s="84"/>
      <c r="N679" s="84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>
      <c r="A680" s="83"/>
      <c r="B680" s="83"/>
      <c r="C680" s="83"/>
      <c r="D680" s="134"/>
      <c r="E680" s="138"/>
      <c r="F680" s="83"/>
      <c r="G680" s="83"/>
      <c r="H680" s="83"/>
      <c r="I680" s="83"/>
      <c r="J680" s="83"/>
      <c r="K680" s="83"/>
      <c r="L680" s="83"/>
      <c r="M680" s="84"/>
      <c r="N680" s="84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>
      <c r="A681" s="83"/>
      <c r="B681" s="83"/>
      <c r="C681" s="83"/>
      <c r="D681" s="134"/>
      <c r="E681" s="138"/>
      <c r="F681" s="83"/>
      <c r="G681" s="83"/>
      <c r="H681" s="83"/>
      <c r="I681" s="83"/>
      <c r="J681" s="83"/>
      <c r="K681" s="83"/>
      <c r="L681" s="83"/>
      <c r="M681" s="84"/>
      <c r="N681" s="84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>
      <c r="A682" s="83"/>
      <c r="B682" s="83"/>
      <c r="C682" s="83"/>
      <c r="D682" s="134"/>
      <c r="E682" s="138"/>
      <c r="F682" s="83"/>
      <c r="G682" s="83"/>
      <c r="H682" s="83"/>
      <c r="I682" s="83"/>
      <c r="J682" s="83"/>
      <c r="K682" s="83"/>
      <c r="L682" s="83"/>
      <c r="M682" s="84"/>
      <c r="N682" s="84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>
      <c r="A683" s="83"/>
      <c r="B683" s="83"/>
      <c r="C683" s="83"/>
      <c r="D683" s="134"/>
      <c r="E683" s="138"/>
      <c r="F683" s="83"/>
      <c r="G683" s="83"/>
      <c r="H683" s="83"/>
      <c r="I683" s="83"/>
      <c r="J683" s="83"/>
      <c r="K683" s="83"/>
      <c r="L683" s="83"/>
      <c r="M683" s="84"/>
      <c r="N683" s="84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>
      <c r="A684" s="83"/>
      <c r="B684" s="83"/>
      <c r="C684" s="83"/>
      <c r="D684" s="134"/>
      <c r="E684" s="138"/>
      <c r="F684" s="83"/>
      <c r="G684" s="83"/>
      <c r="H684" s="83"/>
      <c r="I684" s="83"/>
      <c r="J684" s="83"/>
      <c r="K684" s="83"/>
      <c r="L684" s="83"/>
      <c r="M684" s="84"/>
      <c r="N684" s="84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>
      <c r="A685" s="83"/>
      <c r="B685" s="83"/>
      <c r="C685" s="83"/>
      <c r="D685" s="134"/>
      <c r="E685" s="138"/>
      <c r="F685" s="83"/>
      <c r="G685" s="83"/>
      <c r="H685" s="83"/>
      <c r="I685" s="83"/>
      <c r="J685" s="83"/>
      <c r="K685" s="83"/>
      <c r="L685" s="83"/>
      <c r="M685" s="84"/>
      <c r="N685" s="84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>
      <c r="A686" s="83"/>
      <c r="B686" s="83"/>
      <c r="C686" s="83"/>
      <c r="D686" s="134"/>
      <c r="E686" s="138"/>
      <c r="F686" s="83"/>
      <c r="G686" s="83"/>
      <c r="H686" s="83"/>
      <c r="I686" s="83"/>
      <c r="J686" s="83"/>
      <c r="K686" s="83"/>
      <c r="L686" s="83"/>
      <c r="M686" s="84"/>
      <c r="N686" s="84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>
      <c r="A687" s="83"/>
      <c r="B687" s="83"/>
      <c r="C687" s="83"/>
      <c r="D687" s="134"/>
      <c r="E687" s="138"/>
      <c r="F687" s="83"/>
      <c r="G687" s="83"/>
      <c r="H687" s="83"/>
      <c r="I687" s="83"/>
      <c r="J687" s="83"/>
      <c r="K687" s="83"/>
      <c r="L687" s="83"/>
      <c r="M687" s="84"/>
      <c r="N687" s="84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>
      <c r="A688" s="83"/>
      <c r="B688" s="83"/>
      <c r="C688" s="83"/>
      <c r="D688" s="134"/>
      <c r="E688" s="138"/>
      <c r="F688" s="83"/>
      <c r="G688" s="83"/>
      <c r="H688" s="83"/>
      <c r="I688" s="83"/>
      <c r="J688" s="83"/>
      <c r="K688" s="83"/>
      <c r="L688" s="83"/>
      <c r="M688" s="84"/>
      <c r="N688" s="84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>
      <c r="A689" s="83"/>
      <c r="B689" s="83"/>
      <c r="C689" s="83"/>
      <c r="D689" s="134"/>
      <c r="E689" s="138"/>
      <c r="F689" s="83"/>
      <c r="G689" s="83"/>
      <c r="H689" s="83"/>
      <c r="I689" s="83"/>
      <c r="J689" s="83"/>
      <c r="K689" s="83"/>
      <c r="L689" s="83"/>
      <c r="M689" s="84"/>
      <c r="N689" s="84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>
      <c r="A690" s="83"/>
      <c r="B690" s="83"/>
      <c r="C690" s="83"/>
      <c r="D690" s="134"/>
      <c r="E690" s="138"/>
      <c r="F690" s="83"/>
      <c r="G690" s="83"/>
      <c r="H690" s="83"/>
      <c r="I690" s="83"/>
      <c r="J690" s="83"/>
      <c r="K690" s="83"/>
      <c r="L690" s="83"/>
      <c r="M690" s="84"/>
      <c r="N690" s="84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>
      <c r="A691" s="83"/>
      <c r="B691" s="83"/>
      <c r="C691" s="83"/>
      <c r="D691" s="134"/>
      <c r="E691" s="138"/>
      <c r="F691" s="83"/>
      <c r="G691" s="83"/>
      <c r="H691" s="83"/>
      <c r="I691" s="83"/>
      <c r="J691" s="83"/>
      <c r="K691" s="83"/>
      <c r="L691" s="83"/>
      <c r="M691" s="84"/>
      <c r="N691" s="84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>
      <c r="A692" s="83"/>
      <c r="B692" s="83"/>
      <c r="C692" s="83"/>
      <c r="D692" s="134"/>
      <c r="E692" s="138"/>
      <c r="F692" s="83"/>
      <c r="G692" s="83"/>
      <c r="H692" s="83"/>
      <c r="I692" s="83"/>
      <c r="J692" s="83"/>
      <c r="K692" s="83"/>
      <c r="L692" s="83"/>
      <c r="M692" s="84"/>
      <c r="N692" s="84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>
      <c r="A693" s="83"/>
      <c r="B693" s="83"/>
      <c r="C693" s="83"/>
      <c r="D693" s="134"/>
      <c r="E693" s="138"/>
      <c r="F693" s="83"/>
      <c r="G693" s="83"/>
      <c r="H693" s="83"/>
      <c r="I693" s="83"/>
      <c r="J693" s="83"/>
      <c r="K693" s="83"/>
      <c r="L693" s="83"/>
      <c r="M693" s="84"/>
      <c r="N693" s="84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>
      <c r="A694" s="83"/>
      <c r="B694" s="83"/>
      <c r="C694" s="83"/>
      <c r="D694" s="134"/>
      <c r="E694" s="138"/>
      <c r="F694" s="83"/>
      <c r="G694" s="83"/>
      <c r="H694" s="83"/>
      <c r="I694" s="83"/>
      <c r="J694" s="83"/>
      <c r="K694" s="83"/>
      <c r="L694" s="83"/>
      <c r="M694" s="84"/>
      <c r="N694" s="84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>
      <c r="A695" s="91"/>
      <c r="B695" s="91"/>
      <c r="C695" s="83"/>
      <c r="D695" s="134"/>
      <c r="E695" s="138"/>
      <c r="F695" s="83"/>
      <c r="G695" s="83"/>
      <c r="H695" s="83"/>
      <c r="I695" s="83"/>
      <c r="J695" s="83"/>
      <c r="K695" s="83"/>
      <c r="L695" s="83"/>
      <c r="M695" s="84"/>
      <c r="N695" s="84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>
      <c r="A696" s="83"/>
      <c r="B696" s="91"/>
      <c r="C696" s="83"/>
      <c r="D696" s="134"/>
      <c r="E696" s="138"/>
      <c r="F696" s="83"/>
      <c r="G696" s="83"/>
      <c r="H696" s="83"/>
      <c r="I696" s="83"/>
      <c r="J696" s="83"/>
      <c r="K696" s="83"/>
      <c r="L696" s="83"/>
      <c r="M696" s="84"/>
      <c r="N696" s="84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>
      <c r="A697" s="83"/>
      <c r="B697" s="91"/>
      <c r="C697" s="83"/>
      <c r="D697" s="134"/>
      <c r="E697" s="138"/>
      <c r="F697" s="83"/>
      <c r="G697" s="83"/>
      <c r="H697" s="83"/>
      <c r="I697" s="83"/>
      <c r="J697" s="83"/>
      <c r="K697" s="83"/>
      <c r="L697" s="83"/>
      <c r="M697" s="84"/>
      <c r="N697" s="84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>
      <c r="A698" s="83"/>
      <c r="B698" s="91"/>
      <c r="C698" s="83"/>
      <c r="D698" s="134"/>
      <c r="E698" s="138"/>
      <c r="F698" s="83"/>
      <c r="G698" s="83"/>
      <c r="H698" s="83"/>
      <c r="I698" s="83"/>
      <c r="J698" s="83"/>
      <c r="K698" s="83"/>
      <c r="L698" s="83"/>
      <c r="M698" s="84"/>
      <c r="N698" s="84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>
      <c r="A699" s="83"/>
      <c r="B699" s="83"/>
      <c r="C699" s="83"/>
      <c r="D699" s="134"/>
      <c r="E699" s="138"/>
      <c r="F699" s="83"/>
      <c r="G699" s="83"/>
      <c r="H699" s="83"/>
      <c r="I699" s="83"/>
      <c r="J699" s="83"/>
      <c r="K699" s="83"/>
      <c r="L699" s="83"/>
      <c r="M699" s="84"/>
      <c r="N699" s="84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>
      <c r="A700" s="83"/>
      <c r="B700" s="83"/>
      <c r="C700" s="83"/>
      <c r="D700" s="134"/>
      <c r="E700" s="138"/>
      <c r="F700" s="83"/>
      <c r="G700" s="83"/>
      <c r="H700" s="83"/>
      <c r="I700" s="83"/>
      <c r="J700" s="83"/>
      <c r="K700" s="83"/>
      <c r="L700" s="83"/>
      <c r="M700" s="84"/>
      <c r="N700" s="84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>
      <c r="A701" s="83"/>
      <c r="B701" s="83"/>
      <c r="C701" s="83"/>
      <c r="D701" s="134"/>
      <c r="E701" s="138"/>
      <c r="F701" s="83"/>
      <c r="G701" s="83"/>
      <c r="H701" s="83"/>
      <c r="I701" s="83"/>
      <c r="J701" s="83"/>
      <c r="K701" s="83"/>
      <c r="L701" s="83"/>
      <c r="M701" s="84"/>
      <c r="N701" s="84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>
      <c r="A702" s="83"/>
      <c r="B702" s="83"/>
      <c r="C702" s="83"/>
      <c r="D702" s="134"/>
      <c r="E702" s="138"/>
      <c r="F702" s="83"/>
      <c r="G702" s="83"/>
      <c r="H702" s="83"/>
      <c r="I702" s="83"/>
      <c r="J702" s="83"/>
      <c r="K702" s="83"/>
      <c r="L702" s="83"/>
      <c r="M702" s="84"/>
      <c r="N702" s="84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>
      <c r="A703" s="83"/>
      <c r="B703" s="83"/>
      <c r="C703" s="83"/>
      <c r="D703" s="134"/>
      <c r="E703" s="138"/>
      <c r="F703" s="83"/>
      <c r="G703" s="83"/>
      <c r="H703" s="83"/>
      <c r="I703" s="83"/>
      <c r="J703" s="83"/>
      <c r="K703" s="83"/>
      <c r="L703" s="83"/>
      <c r="M703" s="84"/>
      <c r="N703" s="84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>
      <c r="A704" s="83"/>
      <c r="B704" s="83"/>
      <c r="C704" s="83"/>
      <c r="D704" s="134"/>
      <c r="E704" s="138"/>
      <c r="F704" s="83"/>
      <c r="G704" s="83"/>
      <c r="H704" s="83"/>
      <c r="I704" s="83"/>
      <c r="J704" s="83"/>
      <c r="K704" s="83"/>
      <c r="L704" s="83"/>
      <c r="M704" s="84"/>
      <c r="N704" s="84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>
      <c r="A705" s="83"/>
      <c r="B705" s="83"/>
      <c r="C705" s="83"/>
      <c r="D705" s="134"/>
      <c r="E705" s="138"/>
      <c r="F705" s="83"/>
      <c r="G705" s="83"/>
      <c r="H705" s="83"/>
      <c r="I705" s="83"/>
      <c r="J705" s="83"/>
      <c r="K705" s="83"/>
      <c r="L705" s="83"/>
      <c r="M705" s="84"/>
      <c r="N705" s="84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>
      <c r="A706" s="83"/>
      <c r="B706" s="83"/>
      <c r="C706" s="83"/>
      <c r="D706" s="134"/>
      <c r="E706" s="138"/>
      <c r="F706" s="83"/>
      <c r="G706" s="83"/>
      <c r="H706" s="83"/>
      <c r="I706" s="83"/>
      <c r="J706" s="83"/>
      <c r="K706" s="83"/>
      <c r="L706" s="83"/>
      <c r="M706" s="84"/>
      <c r="N706" s="84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>
      <c r="A707" s="83"/>
      <c r="B707" s="83"/>
      <c r="C707" s="83"/>
      <c r="D707" s="134"/>
      <c r="E707" s="138"/>
      <c r="F707" s="83"/>
      <c r="G707" s="83"/>
      <c r="H707" s="83"/>
      <c r="I707" s="83"/>
      <c r="J707" s="83"/>
      <c r="K707" s="83"/>
      <c r="L707" s="83"/>
      <c r="M707" s="84"/>
      <c r="N707" s="84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>
      <c r="A708" s="83"/>
      <c r="B708" s="83"/>
      <c r="C708" s="83"/>
      <c r="D708" s="134"/>
      <c r="E708" s="138"/>
      <c r="F708" s="83"/>
      <c r="G708" s="83"/>
      <c r="H708" s="83"/>
      <c r="I708" s="83"/>
      <c r="J708" s="83"/>
      <c r="K708" s="83"/>
      <c r="L708" s="83"/>
      <c r="M708" s="84"/>
      <c r="N708" s="84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>
      <c r="A709" s="83"/>
      <c r="B709" s="83"/>
      <c r="C709" s="83"/>
      <c r="D709" s="134"/>
      <c r="E709" s="138"/>
      <c r="F709" s="83"/>
      <c r="G709" s="83"/>
      <c r="H709" s="83"/>
      <c r="I709" s="83"/>
      <c r="J709" s="83"/>
      <c r="K709" s="83"/>
      <c r="L709" s="83"/>
      <c r="M709" s="84"/>
      <c r="N709" s="84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>
      <c r="A710" s="83"/>
      <c r="B710" s="83"/>
      <c r="C710" s="83"/>
      <c r="D710" s="134"/>
      <c r="E710" s="138"/>
      <c r="F710" s="83"/>
      <c r="G710" s="83"/>
      <c r="H710" s="83"/>
      <c r="I710" s="83"/>
      <c r="J710" s="83"/>
      <c r="K710" s="83"/>
      <c r="L710" s="83"/>
      <c r="M710" s="84"/>
      <c r="N710" s="84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>
      <c r="A711" s="83"/>
      <c r="B711" s="83"/>
      <c r="C711" s="83"/>
      <c r="D711" s="134"/>
      <c r="E711" s="138"/>
      <c r="F711" s="83"/>
      <c r="G711" s="83"/>
      <c r="H711" s="83"/>
      <c r="I711" s="83"/>
      <c r="J711" s="83"/>
      <c r="K711" s="83"/>
      <c r="L711" s="83"/>
      <c r="M711" s="84"/>
      <c r="N711" s="84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>
      <c r="A712" s="83"/>
      <c r="B712" s="83"/>
      <c r="C712" s="83"/>
      <c r="D712" s="134"/>
      <c r="E712" s="138"/>
      <c r="F712" s="83"/>
      <c r="G712" s="83"/>
      <c r="H712" s="83"/>
      <c r="I712" s="83"/>
      <c r="J712" s="83"/>
      <c r="K712" s="83"/>
      <c r="L712" s="83"/>
      <c r="M712" s="84"/>
      <c r="N712" s="84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>
      <c r="A713" s="83"/>
      <c r="B713" s="83"/>
      <c r="C713" s="83"/>
      <c r="D713" s="134"/>
      <c r="E713" s="138"/>
      <c r="F713" s="83"/>
      <c r="G713" s="83"/>
      <c r="H713" s="83"/>
      <c r="I713" s="83"/>
      <c r="J713" s="83"/>
      <c r="K713" s="83"/>
      <c r="L713" s="83"/>
      <c r="M713" s="84"/>
      <c r="N713" s="84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>
      <c r="A714" s="83"/>
      <c r="B714" s="83"/>
      <c r="C714" s="83"/>
      <c r="D714" s="134"/>
      <c r="E714" s="138"/>
      <c r="F714" s="83"/>
      <c r="G714" s="83"/>
      <c r="H714" s="83"/>
      <c r="I714" s="83"/>
      <c r="J714" s="83"/>
      <c r="K714" s="83"/>
      <c r="L714" s="83"/>
      <c r="M714" s="84"/>
      <c r="N714" s="84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>
      <c r="A715" s="83"/>
      <c r="B715" s="83"/>
      <c r="C715" s="83"/>
      <c r="D715" s="134"/>
      <c r="E715" s="138"/>
      <c r="F715" s="83"/>
      <c r="G715" s="83"/>
      <c r="H715" s="83"/>
      <c r="I715" s="83"/>
      <c r="J715" s="83"/>
      <c r="K715" s="83"/>
      <c r="L715" s="83"/>
      <c r="M715" s="84"/>
      <c r="N715" s="84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>
      <c r="A716" s="83"/>
      <c r="B716" s="83"/>
      <c r="C716" s="83"/>
      <c r="D716" s="134"/>
      <c r="E716" s="138"/>
      <c r="F716" s="83"/>
      <c r="G716" s="83"/>
      <c r="H716" s="83"/>
      <c r="I716" s="83"/>
      <c r="J716" s="83"/>
      <c r="K716" s="83"/>
      <c r="L716" s="83"/>
      <c r="M716" s="84"/>
      <c r="N716" s="84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>
      <c r="A717" s="83"/>
      <c r="B717" s="83"/>
      <c r="C717" s="83"/>
      <c r="D717" s="134"/>
      <c r="E717" s="138"/>
      <c r="F717" s="83"/>
      <c r="G717" s="83"/>
      <c r="H717" s="83"/>
      <c r="I717" s="83"/>
      <c r="J717" s="83"/>
      <c r="K717" s="83"/>
      <c r="L717" s="83"/>
      <c r="M717" s="84"/>
      <c r="N717" s="84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>
      <c r="A718" s="83"/>
      <c r="B718" s="83"/>
      <c r="C718" s="83"/>
      <c r="D718" s="134"/>
      <c r="E718" s="138"/>
      <c r="F718" s="83"/>
      <c r="G718" s="83"/>
      <c r="H718" s="83"/>
      <c r="I718" s="83"/>
      <c r="J718" s="83"/>
      <c r="K718" s="83"/>
      <c r="L718" s="83"/>
      <c r="M718" s="84"/>
      <c r="N718" s="84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>
      <c r="A719" s="83"/>
      <c r="B719" s="83"/>
      <c r="C719" s="83"/>
      <c r="D719" s="134"/>
      <c r="E719" s="138"/>
      <c r="F719" s="83"/>
      <c r="G719" s="83"/>
      <c r="H719" s="83"/>
      <c r="I719" s="83"/>
      <c r="J719" s="83"/>
      <c r="K719" s="83"/>
      <c r="L719" s="83"/>
      <c r="M719" s="84"/>
      <c r="N719" s="84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>
      <c r="A720" s="83"/>
      <c r="B720" s="83"/>
      <c r="C720" s="83"/>
      <c r="D720" s="134"/>
      <c r="E720" s="138"/>
      <c r="F720" s="83"/>
      <c r="G720" s="83"/>
      <c r="H720" s="83"/>
      <c r="I720" s="83"/>
      <c r="J720" s="83"/>
      <c r="K720" s="83"/>
      <c r="L720" s="83"/>
      <c r="M720" s="84"/>
      <c r="N720" s="84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>
      <c r="A721" s="83"/>
      <c r="B721" s="83"/>
      <c r="C721" s="83"/>
      <c r="D721" s="134"/>
      <c r="E721" s="138"/>
      <c r="F721" s="83"/>
      <c r="G721" s="83"/>
      <c r="H721" s="83"/>
      <c r="I721" s="83"/>
      <c r="J721" s="83"/>
      <c r="K721" s="83"/>
      <c r="L721" s="83"/>
      <c r="M721" s="84"/>
      <c r="N721" s="84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>
      <c r="A722" s="83"/>
      <c r="B722" s="83"/>
      <c r="C722" s="83"/>
      <c r="D722" s="134"/>
      <c r="E722" s="138"/>
      <c r="F722" s="83"/>
      <c r="G722" s="83"/>
      <c r="H722" s="83"/>
      <c r="I722" s="83"/>
      <c r="J722" s="83"/>
      <c r="K722" s="83"/>
      <c r="L722" s="83"/>
      <c r="M722" s="84"/>
      <c r="N722" s="84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>
      <c r="A723" s="83"/>
      <c r="B723" s="83"/>
      <c r="C723" s="83"/>
      <c r="D723" s="134"/>
      <c r="E723" s="138"/>
      <c r="F723" s="83"/>
      <c r="G723" s="83"/>
      <c r="H723" s="83"/>
      <c r="I723" s="83"/>
      <c r="J723" s="83"/>
      <c r="K723" s="83"/>
      <c r="L723" s="83"/>
      <c r="M723" s="84"/>
      <c r="N723" s="84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>
      <c r="A724" s="83"/>
      <c r="B724" s="83"/>
      <c r="C724" s="83"/>
      <c r="D724" s="134"/>
      <c r="E724" s="138"/>
      <c r="F724" s="83"/>
      <c r="G724" s="83"/>
      <c r="H724" s="83"/>
      <c r="I724" s="83"/>
      <c r="J724" s="83"/>
      <c r="K724" s="83"/>
      <c r="L724" s="83"/>
      <c r="M724" s="84"/>
      <c r="N724" s="84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>
      <c r="A725" s="83"/>
      <c r="B725" s="83"/>
      <c r="C725" s="83"/>
      <c r="D725" s="134"/>
      <c r="E725" s="138"/>
      <c r="F725" s="83"/>
      <c r="G725" s="83"/>
      <c r="H725" s="83"/>
      <c r="I725" s="83"/>
      <c r="J725" s="83"/>
      <c r="K725" s="83"/>
      <c r="L725" s="83"/>
      <c r="M725" s="84"/>
      <c r="N725" s="84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>
      <c r="A726" s="83"/>
      <c r="B726" s="83"/>
      <c r="C726" s="83"/>
      <c r="D726" s="134"/>
      <c r="E726" s="138"/>
      <c r="F726" s="83"/>
      <c r="G726" s="83"/>
      <c r="H726" s="83"/>
      <c r="I726" s="83"/>
      <c r="J726" s="83"/>
      <c r="K726" s="83"/>
      <c r="L726" s="83"/>
      <c r="M726" s="84"/>
      <c r="N726" s="84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>
      <c r="A727" s="83"/>
      <c r="B727" s="83"/>
      <c r="C727" s="83"/>
      <c r="D727" s="134"/>
      <c r="E727" s="138"/>
      <c r="F727" s="83"/>
      <c r="G727" s="83"/>
      <c r="H727" s="83"/>
      <c r="I727" s="83"/>
      <c r="J727" s="83"/>
      <c r="K727" s="83"/>
      <c r="L727" s="83"/>
      <c r="M727" s="84"/>
      <c r="N727" s="84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>
      <c r="A728" s="83"/>
      <c r="B728" s="83"/>
      <c r="C728" s="83"/>
      <c r="D728" s="134"/>
      <c r="E728" s="138"/>
      <c r="F728" s="83"/>
      <c r="G728" s="83"/>
      <c r="H728" s="83"/>
      <c r="I728" s="83"/>
      <c r="J728" s="83"/>
      <c r="K728" s="83"/>
      <c r="L728" s="83"/>
      <c r="M728" s="84"/>
      <c r="N728" s="84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>
      <c r="A729" s="83"/>
      <c r="B729" s="83"/>
      <c r="C729" s="83"/>
      <c r="D729" s="134"/>
      <c r="E729" s="138"/>
      <c r="F729" s="83"/>
      <c r="G729" s="83"/>
      <c r="H729" s="83"/>
      <c r="I729" s="83"/>
      <c r="J729" s="83"/>
      <c r="K729" s="83"/>
      <c r="L729" s="83"/>
      <c r="M729" s="84"/>
      <c r="N729" s="84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>
      <c r="A730" s="83"/>
      <c r="B730" s="83"/>
      <c r="C730" s="83"/>
      <c r="D730" s="134"/>
      <c r="E730" s="138"/>
      <c r="F730" s="83"/>
      <c r="G730" s="83"/>
      <c r="H730" s="83"/>
      <c r="I730" s="83"/>
      <c r="J730" s="83"/>
      <c r="K730" s="83"/>
      <c r="L730" s="83"/>
      <c r="M730" s="84"/>
      <c r="N730" s="84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>
      <c r="A731" s="83"/>
      <c r="B731" s="83"/>
      <c r="C731" s="83"/>
      <c r="D731" s="134"/>
      <c r="E731" s="138"/>
      <c r="F731" s="83"/>
      <c r="G731" s="83"/>
      <c r="H731" s="83"/>
      <c r="I731" s="83"/>
      <c r="J731" s="83"/>
      <c r="K731" s="83"/>
      <c r="L731" s="83"/>
      <c r="M731" s="84"/>
      <c r="N731" s="84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>
      <c r="A732" s="83"/>
      <c r="B732" s="83"/>
      <c r="C732" s="83"/>
      <c r="D732" s="134"/>
      <c r="E732" s="138"/>
      <c r="F732" s="83"/>
      <c r="G732" s="83"/>
      <c r="H732" s="83"/>
      <c r="I732" s="83"/>
      <c r="J732" s="83"/>
      <c r="K732" s="83"/>
      <c r="L732" s="83"/>
      <c r="M732" s="84"/>
      <c r="N732" s="84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>
      <c r="A733" s="83"/>
      <c r="B733" s="83"/>
      <c r="C733" s="83"/>
      <c r="D733" s="134"/>
      <c r="E733" s="138"/>
      <c r="F733" s="83"/>
      <c r="G733" s="83"/>
      <c r="H733" s="83"/>
      <c r="I733" s="83"/>
      <c r="J733" s="83"/>
      <c r="K733" s="83"/>
      <c r="L733" s="83"/>
      <c r="M733" s="84"/>
      <c r="N733" s="84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>
      <c r="A734" s="83"/>
      <c r="B734" s="83"/>
      <c r="C734" s="83"/>
      <c r="D734" s="134"/>
      <c r="E734" s="138"/>
      <c r="F734" s="83"/>
      <c r="G734" s="83"/>
      <c r="H734" s="83"/>
      <c r="I734" s="83"/>
      <c r="J734" s="83"/>
      <c r="K734" s="83"/>
      <c r="L734" s="83"/>
      <c r="M734" s="84"/>
      <c r="N734" s="84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>
      <c r="A735" s="83"/>
      <c r="B735" s="83"/>
      <c r="C735" s="83"/>
      <c r="D735" s="134"/>
      <c r="E735" s="138"/>
      <c r="F735" s="83"/>
      <c r="G735" s="83"/>
      <c r="H735" s="83"/>
      <c r="I735" s="83"/>
      <c r="J735" s="83"/>
      <c r="K735" s="83"/>
      <c r="L735" s="83"/>
      <c r="M735" s="84"/>
      <c r="N735" s="84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>
      <c r="A736" s="83"/>
      <c r="B736" s="83"/>
      <c r="C736" s="83"/>
      <c r="D736" s="134"/>
      <c r="E736" s="138"/>
      <c r="F736" s="83"/>
      <c r="G736" s="83"/>
      <c r="H736" s="83"/>
      <c r="I736" s="83"/>
      <c r="J736" s="83"/>
      <c r="K736" s="83"/>
      <c r="L736" s="83"/>
      <c r="M736" s="84"/>
      <c r="N736" s="84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>
      <c r="A737" s="83"/>
      <c r="B737" s="83"/>
      <c r="C737" s="83"/>
      <c r="D737" s="134"/>
      <c r="E737" s="138"/>
      <c r="F737" s="83"/>
      <c r="G737" s="83"/>
      <c r="H737" s="83"/>
      <c r="I737" s="83"/>
      <c r="J737" s="83"/>
      <c r="K737" s="83"/>
      <c r="L737" s="83"/>
      <c r="M737" s="84"/>
      <c r="N737" s="84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>
      <c r="A738" s="83"/>
      <c r="B738" s="83"/>
      <c r="C738" s="83"/>
      <c r="D738" s="134"/>
      <c r="E738" s="138"/>
      <c r="F738" s="83"/>
      <c r="G738" s="83"/>
      <c r="H738" s="83"/>
      <c r="I738" s="83"/>
      <c r="J738" s="83"/>
      <c r="K738" s="83"/>
      <c r="L738" s="83"/>
      <c r="M738" s="84"/>
      <c r="N738" s="84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>
      <c r="A739" s="83"/>
      <c r="B739" s="83"/>
      <c r="C739" s="83"/>
      <c r="D739" s="134"/>
      <c r="E739" s="138"/>
      <c r="F739" s="83"/>
      <c r="G739" s="83"/>
      <c r="H739" s="83"/>
      <c r="I739" s="83"/>
      <c r="J739" s="83"/>
      <c r="K739" s="83"/>
      <c r="L739" s="83"/>
      <c r="M739" s="84"/>
      <c r="N739" s="84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>
      <c r="A740" s="83"/>
      <c r="B740" s="83"/>
      <c r="C740" s="83"/>
      <c r="D740" s="134"/>
      <c r="E740" s="138"/>
      <c r="F740" s="83"/>
      <c r="G740" s="83"/>
      <c r="H740" s="83"/>
      <c r="I740" s="83"/>
      <c r="J740" s="83"/>
      <c r="K740" s="83"/>
      <c r="L740" s="83"/>
      <c r="M740" s="84"/>
      <c r="N740" s="84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>
      <c r="A741" s="83"/>
      <c r="B741" s="83"/>
      <c r="C741" s="83"/>
      <c r="D741" s="134"/>
      <c r="E741" s="138"/>
      <c r="F741" s="83"/>
      <c r="G741" s="83"/>
      <c r="H741" s="83"/>
      <c r="I741" s="83"/>
      <c r="J741" s="83"/>
      <c r="K741" s="83"/>
      <c r="L741" s="83"/>
      <c r="M741" s="84"/>
      <c r="N741" s="84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>
      <c r="A742" s="83"/>
      <c r="B742" s="83"/>
      <c r="C742" s="83"/>
      <c r="D742" s="134"/>
      <c r="E742" s="138"/>
      <c r="F742" s="83"/>
      <c r="G742" s="83"/>
      <c r="H742" s="83"/>
      <c r="I742" s="83"/>
      <c r="J742" s="83"/>
      <c r="K742" s="83"/>
      <c r="L742" s="83"/>
      <c r="M742" s="84"/>
      <c r="N742" s="84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>
      <c r="A743" s="83"/>
      <c r="B743" s="83"/>
      <c r="C743" s="83"/>
      <c r="D743" s="134"/>
      <c r="E743" s="138"/>
      <c r="F743" s="83"/>
      <c r="G743" s="83"/>
      <c r="H743" s="83"/>
      <c r="I743" s="83"/>
      <c r="J743" s="83"/>
      <c r="K743" s="83"/>
      <c r="L743" s="83"/>
      <c r="M743" s="84"/>
      <c r="N743" s="84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>
      <c r="A744" s="83"/>
      <c r="B744" s="83"/>
      <c r="C744" s="83"/>
      <c r="D744" s="134"/>
      <c r="E744" s="138"/>
      <c r="F744" s="83"/>
      <c r="G744" s="83"/>
      <c r="H744" s="83"/>
      <c r="I744" s="83"/>
      <c r="J744" s="83"/>
      <c r="K744" s="83"/>
      <c r="L744" s="83"/>
      <c r="M744" s="84"/>
      <c r="N744" s="84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>
      <c r="A745" s="83"/>
      <c r="B745" s="83"/>
      <c r="C745" s="83"/>
      <c r="D745" s="134"/>
      <c r="E745" s="138"/>
      <c r="F745" s="83"/>
      <c r="G745" s="83"/>
      <c r="H745" s="83"/>
      <c r="I745" s="83"/>
      <c r="J745" s="83"/>
      <c r="K745" s="83"/>
      <c r="L745" s="83"/>
      <c r="M745" s="84"/>
      <c r="N745" s="84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>
      <c r="A746" s="83"/>
      <c r="B746" s="83"/>
      <c r="C746" s="83"/>
      <c r="D746" s="134"/>
      <c r="E746" s="138"/>
      <c r="F746" s="83"/>
      <c r="G746" s="83"/>
      <c r="H746" s="83"/>
      <c r="I746" s="83"/>
      <c r="J746" s="83"/>
      <c r="K746" s="83"/>
      <c r="L746" s="83"/>
      <c r="M746" s="84"/>
      <c r="N746" s="84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>
      <c r="A747" s="83"/>
      <c r="B747" s="83"/>
      <c r="C747" s="83"/>
      <c r="D747" s="134"/>
      <c r="E747" s="138"/>
      <c r="F747" s="83"/>
      <c r="G747" s="83"/>
      <c r="H747" s="83"/>
      <c r="I747" s="83"/>
      <c r="J747" s="83"/>
      <c r="K747" s="83"/>
      <c r="L747" s="83"/>
      <c r="M747" s="84"/>
      <c r="N747" s="84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>
      <c r="A748" s="83"/>
      <c r="B748" s="83"/>
      <c r="C748" s="83"/>
      <c r="D748" s="134"/>
      <c r="E748" s="138"/>
      <c r="F748" s="83"/>
      <c r="G748" s="83"/>
      <c r="H748" s="83"/>
      <c r="I748" s="83"/>
      <c r="J748" s="83"/>
      <c r="K748" s="83"/>
      <c r="L748" s="83"/>
      <c r="M748" s="84"/>
      <c r="N748" s="84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>
      <c r="A749" s="83"/>
      <c r="B749" s="83"/>
      <c r="C749" s="83"/>
      <c r="D749" s="134"/>
      <c r="E749" s="138"/>
      <c r="F749" s="83"/>
      <c r="G749" s="83"/>
      <c r="H749" s="83"/>
      <c r="I749" s="83"/>
      <c r="J749" s="83"/>
      <c r="K749" s="83"/>
      <c r="L749" s="83"/>
      <c r="M749" s="84"/>
      <c r="N749" s="84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>
      <c r="A750" s="83"/>
      <c r="B750" s="83"/>
      <c r="C750" s="83"/>
      <c r="D750" s="134"/>
      <c r="E750" s="138"/>
      <c r="F750" s="83"/>
      <c r="G750" s="83"/>
      <c r="H750" s="83"/>
      <c r="I750" s="83"/>
      <c r="J750" s="83"/>
      <c r="K750" s="83"/>
      <c r="L750" s="83"/>
      <c r="M750" s="84"/>
      <c r="N750" s="84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>
      <c r="A751" s="83"/>
      <c r="B751" s="83"/>
      <c r="C751" s="83"/>
      <c r="D751" s="134"/>
      <c r="E751" s="138"/>
      <c r="F751" s="83"/>
      <c r="G751" s="83"/>
      <c r="H751" s="83"/>
      <c r="I751" s="83"/>
      <c r="J751" s="83"/>
      <c r="K751" s="83"/>
      <c r="L751" s="83"/>
      <c r="M751" s="84"/>
      <c r="N751" s="84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>
      <c r="A752" s="83"/>
      <c r="B752" s="83"/>
      <c r="C752" s="83"/>
      <c r="D752" s="134"/>
      <c r="E752" s="138"/>
      <c r="F752" s="83"/>
      <c r="G752" s="83"/>
      <c r="H752" s="83"/>
      <c r="I752" s="83"/>
      <c r="J752" s="83"/>
      <c r="K752" s="83"/>
      <c r="L752" s="83"/>
      <c r="M752" s="84"/>
      <c r="N752" s="84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>
      <c r="A753" s="83"/>
      <c r="B753" s="83"/>
      <c r="C753" s="83"/>
      <c r="D753" s="134"/>
      <c r="E753" s="138"/>
      <c r="F753" s="83"/>
      <c r="G753" s="83"/>
      <c r="H753" s="83"/>
      <c r="I753" s="83"/>
      <c r="J753" s="83"/>
      <c r="K753" s="83"/>
      <c r="L753" s="83"/>
      <c r="M753" s="84"/>
      <c r="N753" s="84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>
      <c r="A754" s="83"/>
      <c r="B754" s="83"/>
      <c r="C754" s="83"/>
      <c r="D754" s="134"/>
      <c r="E754" s="138"/>
      <c r="F754" s="83"/>
      <c r="G754" s="83"/>
      <c r="H754" s="83"/>
      <c r="I754" s="83"/>
      <c r="J754" s="83"/>
      <c r="K754" s="83"/>
      <c r="L754" s="83"/>
      <c r="M754" s="84"/>
      <c r="N754" s="84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>
      <c r="A755" s="83"/>
      <c r="B755" s="83"/>
      <c r="C755" s="83"/>
      <c r="D755" s="134"/>
      <c r="E755" s="138"/>
      <c r="F755" s="83"/>
      <c r="G755" s="83"/>
      <c r="H755" s="83"/>
      <c r="I755" s="83"/>
      <c r="J755" s="83"/>
      <c r="K755" s="83"/>
      <c r="L755" s="83"/>
      <c r="M755" s="84"/>
      <c r="N755" s="84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>
      <c r="A756" s="83"/>
      <c r="B756" s="83"/>
      <c r="C756" s="83"/>
      <c r="D756" s="134"/>
      <c r="E756" s="138"/>
      <c r="F756" s="83"/>
      <c r="G756" s="83"/>
      <c r="H756" s="83"/>
      <c r="I756" s="83"/>
      <c r="J756" s="83"/>
      <c r="K756" s="83"/>
      <c r="L756" s="83"/>
      <c r="M756" s="84"/>
      <c r="N756" s="84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>
      <c r="A757" s="83"/>
      <c r="B757" s="83"/>
      <c r="C757" s="83"/>
      <c r="D757" s="134"/>
      <c r="E757" s="138"/>
      <c r="F757" s="83"/>
      <c r="G757" s="83"/>
      <c r="H757" s="83"/>
      <c r="I757" s="83"/>
      <c r="J757" s="83"/>
      <c r="K757" s="83"/>
      <c r="L757" s="83"/>
      <c r="M757" s="84"/>
      <c r="N757" s="84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>
      <c r="A758" s="83"/>
      <c r="B758" s="83"/>
      <c r="C758" s="83"/>
      <c r="D758" s="134"/>
      <c r="E758" s="138"/>
      <c r="F758" s="83"/>
      <c r="G758" s="83"/>
      <c r="H758" s="83"/>
      <c r="I758" s="83"/>
      <c r="J758" s="83"/>
      <c r="K758" s="83"/>
      <c r="L758" s="83"/>
      <c r="M758" s="84"/>
      <c r="N758" s="84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>
      <c r="A759" s="83"/>
      <c r="B759" s="83"/>
      <c r="C759" s="83"/>
      <c r="D759" s="134"/>
      <c r="E759" s="138"/>
      <c r="F759" s="83"/>
      <c r="G759" s="83"/>
      <c r="H759" s="83"/>
      <c r="I759" s="83"/>
      <c r="J759" s="83"/>
      <c r="K759" s="83"/>
      <c r="L759" s="83"/>
      <c r="M759" s="84"/>
      <c r="N759" s="84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>
      <c r="A760" s="83"/>
      <c r="B760" s="83"/>
      <c r="C760" s="83"/>
      <c r="D760" s="134"/>
      <c r="E760" s="138"/>
      <c r="F760" s="83"/>
      <c r="G760" s="83"/>
      <c r="H760" s="83"/>
      <c r="I760" s="83"/>
      <c r="J760" s="83"/>
      <c r="K760" s="83"/>
      <c r="L760" s="83"/>
      <c r="M760" s="84"/>
      <c r="N760" s="84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>
      <c r="A761" s="83"/>
      <c r="B761" s="83"/>
      <c r="C761" s="83"/>
      <c r="D761" s="134"/>
      <c r="E761" s="138"/>
      <c r="F761" s="83"/>
      <c r="G761" s="83"/>
      <c r="H761" s="83"/>
      <c r="I761" s="83"/>
      <c r="J761" s="83"/>
      <c r="K761" s="83"/>
      <c r="L761" s="83"/>
      <c r="M761" s="84"/>
      <c r="N761" s="84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>
      <c r="A762" s="83"/>
      <c r="B762" s="83"/>
      <c r="C762" s="83"/>
      <c r="D762" s="134"/>
      <c r="E762" s="138"/>
      <c r="F762" s="83"/>
      <c r="G762" s="83"/>
      <c r="H762" s="83"/>
      <c r="I762" s="83"/>
      <c r="J762" s="83"/>
      <c r="K762" s="83"/>
      <c r="L762" s="83"/>
      <c r="M762" s="84"/>
      <c r="N762" s="84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>
      <c r="A763" s="83"/>
      <c r="B763" s="83"/>
      <c r="C763" s="83"/>
      <c r="D763" s="134"/>
      <c r="E763" s="138"/>
      <c r="F763" s="83"/>
      <c r="G763" s="83"/>
      <c r="H763" s="83"/>
      <c r="I763" s="83"/>
      <c r="J763" s="83"/>
      <c r="K763" s="83"/>
      <c r="L763" s="83"/>
      <c r="M763" s="84"/>
      <c r="N763" s="84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>
      <c r="A764" s="83"/>
      <c r="B764" s="83"/>
      <c r="C764" s="83"/>
      <c r="D764" s="134"/>
      <c r="E764" s="138"/>
      <c r="F764" s="83"/>
      <c r="G764" s="83"/>
      <c r="H764" s="83"/>
      <c r="I764" s="83"/>
      <c r="J764" s="83"/>
      <c r="K764" s="83"/>
      <c r="L764" s="83"/>
      <c r="M764" s="84"/>
      <c r="N764" s="84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>
      <c r="A765" s="83"/>
      <c r="B765" s="83"/>
      <c r="C765" s="83"/>
      <c r="D765" s="134"/>
      <c r="E765" s="138"/>
      <c r="F765" s="83"/>
      <c r="G765" s="83"/>
      <c r="H765" s="83"/>
      <c r="I765" s="83"/>
      <c r="J765" s="83"/>
      <c r="K765" s="83"/>
      <c r="L765" s="83"/>
      <c r="M765" s="84"/>
      <c r="N765" s="84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>
      <c r="A766" s="83"/>
      <c r="B766" s="83"/>
      <c r="C766" s="83"/>
      <c r="D766" s="134"/>
      <c r="E766" s="138"/>
      <c r="F766" s="83"/>
      <c r="G766" s="83"/>
      <c r="H766" s="83"/>
      <c r="I766" s="83"/>
      <c r="J766" s="83"/>
      <c r="K766" s="83"/>
      <c r="L766" s="83"/>
      <c r="M766" s="84"/>
      <c r="N766" s="84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>
      <c r="A767" s="83"/>
      <c r="B767" s="83"/>
      <c r="C767" s="83"/>
      <c r="D767" s="134"/>
      <c r="E767" s="138"/>
      <c r="F767" s="83"/>
      <c r="G767" s="83"/>
      <c r="H767" s="83"/>
      <c r="I767" s="83"/>
      <c r="J767" s="83"/>
      <c r="K767" s="83"/>
      <c r="L767" s="83"/>
      <c r="M767" s="84"/>
      <c r="N767" s="84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>
      <c r="A768" s="83"/>
      <c r="B768" s="83"/>
      <c r="C768" s="83"/>
      <c r="D768" s="134"/>
      <c r="E768" s="138"/>
      <c r="F768" s="83"/>
      <c r="G768" s="83"/>
      <c r="H768" s="83"/>
      <c r="I768" s="83"/>
      <c r="J768" s="83"/>
      <c r="K768" s="83"/>
      <c r="L768" s="83"/>
      <c r="M768" s="84"/>
      <c r="N768" s="84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>
      <c r="A769" s="83"/>
      <c r="B769" s="83"/>
      <c r="C769" s="83"/>
      <c r="D769" s="134"/>
      <c r="E769" s="138"/>
      <c r="F769" s="83"/>
      <c r="G769" s="83"/>
      <c r="H769" s="83"/>
      <c r="I769" s="83"/>
      <c r="J769" s="83"/>
      <c r="K769" s="83"/>
      <c r="L769" s="83"/>
      <c r="M769" s="84"/>
      <c r="N769" s="84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>
      <c r="A770" s="83"/>
      <c r="B770" s="83"/>
      <c r="C770" s="83"/>
      <c r="D770" s="134"/>
      <c r="E770" s="138"/>
      <c r="F770" s="83"/>
      <c r="G770" s="83"/>
      <c r="H770" s="83"/>
      <c r="I770" s="83"/>
      <c r="J770" s="83"/>
      <c r="K770" s="83"/>
      <c r="L770" s="83"/>
      <c r="M770" s="84"/>
      <c r="N770" s="84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>
      <c r="A771" s="83"/>
      <c r="B771" s="83"/>
      <c r="C771" s="83"/>
      <c r="D771" s="134"/>
      <c r="E771" s="138"/>
      <c r="F771" s="83"/>
      <c r="G771" s="83"/>
      <c r="H771" s="83"/>
      <c r="I771" s="83"/>
      <c r="J771" s="83"/>
      <c r="K771" s="83"/>
      <c r="L771" s="83"/>
      <c r="M771" s="84"/>
      <c r="N771" s="84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>
      <c r="A772" s="83"/>
      <c r="B772" s="83"/>
      <c r="C772" s="83"/>
      <c r="D772" s="134"/>
      <c r="E772" s="138"/>
      <c r="F772" s="83"/>
      <c r="G772" s="83"/>
      <c r="H772" s="83"/>
      <c r="I772" s="83"/>
      <c r="J772" s="83"/>
      <c r="K772" s="83"/>
      <c r="L772" s="83"/>
      <c r="M772" s="84"/>
      <c r="N772" s="84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>
      <c r="A773" s="91">
        <v>0.0</v>
      </c>
      <c r="B773" s="83"/>
      <c r="C773" s="83"/>
      <c r="D773" s="134"/>
      <c r="E773" s="138"/>
      <c r="F773" s="83"/>
      <c r="G773" s="83"/>
      <c r="H773" s="83"/>
      <c r="I773" s="83"/>
      <c r="J773" s="83"/>
      <c r="K773" s="83"/>
      <c r="L773" s="83"/>
      <c r="M773" s="84"/>
      <c r="N773" s="84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>
      <c r="A774" s="83">
        <f>4</f>
        <v>4</v>
      </c>
      <c r="B774" s="83"/>
      <c r="C774" s="83"/>
      <c r="D774" s="134"/>
      <c r="E774" s="138"/>
      <c r="F774" s="83"/>
      <c r="G774" s="83"/>
      <c r="H774" s="83"/>
      <c r="I774" s="83"/>
      <c r="J774" s="83"/>
      <c r="K774" s="83"/>
      <c r="L774" s="83"/>
      <c r="M774" s="84"/>
      <c r="N774" s="84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>
      <c r="A775" s="83"/>
      <c r="B775" s="83"/>
      <c r="C775" s="83"/>
      <c r="D775" s="134"/>
      <c r="E775" s="138"/>
      <c r="F775" s="83"/>
      <c r="G775" s="83"/>
      <c r="H775" s="83"/>
      <c r="I775" s="83"/>
      <c r="J775" s="83"/>
      <c r="K775" s="83"/>
      <c r="L775" s="83"/>
      <c r="M775" s="84"/>
      <c r="N775" s="84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>
      <c r="A776" s="83"/>
      <c r="B776" s="83"/>
      <c r="C776" s="83"/>
      <c r="D776" s="134"/>
      <c r="E776" s="138"/>
      <c r="F776" s="83"/>
      <c r="G776" s="83"/>
      <c r="H776" s="83"/>
      <c r="I776" s="83"/>
      <c r="J776" s="83"/>
      <c r="K776" s="83"/>
      <c r="L776" s="83"/>
      <c r="M776" s="84"/>
      <c r="N776" s="84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>
      <c r="A777" s="83"/>
      <c r="B777" s="83"/>
      <c r="C777" s="83"/>
      <c r="D777" s="134"/>
      <c r="E777" s="138"/>
      <c r="F777" s="83"/>
      <c r="G777" s="83"/>
      <c r="H777" s="83"/>
      <c r="I777" s="83"/>
      <c r="J777" s="83"/>
      <c r="K777" s="83"/>
      <c r="L777" s="83"/>
      <c r="M777" s="84"/>
      <c r="N777" s="84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>
      <c r="A778" s="83"/>
      <c r="B778" s="83"/>
      <c r="C778" s="83"/>
      <c r="D778" s="134"/>
      <c r="E778" s="138"/>
      <c r="F778" s="83"/>
      <c r="G778" s="83"/>
      <c r="H778" s="83"/>
      <c r="I778" s="83"/>
      <c r="J778" s="83"/>
      <c r="K778" s="83"/>
      <c r="L778" s="83"/>
      <c r="M778" s="84"/>
      <c r="N778" s="84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>
      <c r="A779" s="83"/>
      <c r="B779" s="83"/>
      <c r="C779" s="83"/>
      <c r="D779" s="134"/>
      <c r="E779" s="138"/>
      <c r="F779" s="83"/>
      <c r="G779" s="83"/>
      <c r="H779" s="83"/>
      <c r="I779" s="83"/>
      <c r="J779" s="83"/>
      <c r="K779" s="83"/>
      <c r="L779" s="83"/>
      <c r="M779" s="84"/>
      <c r="N779" s="84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>
      <c r="A780" s="83"/>
      <c r="B780" s="83"/>
      <c r="C780" s="83"/>
      <c r="D780" s="134"/>
      <c r="E780" s="138"/>
      <c r="F780" s="83"/>
      <c r="G780" s="83"/>
      <c r="H780" s="83"/>
      <c r="I780" s="83"/>
      <c r="J780" s="83"/>
      <c r="K780" s="83"/>
      <c r="L780" s="83"/>
      <c r="M780" s="84"/>
      <c r="N780" s="84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>
      <c r="A781" s="83"/>
      <c r="B781" s="83"/>
      <c r="C781" s="83"/>
      <c r="D781" s="134"/>
      <c r="E781" s="138"/>
      <c r="F781" s="83"/>
      <c r="G781" s="83"/>
      <c r="H781" s="83"/>
      <c r="I781" s="83"/>
      <c r="J781" s="83"/>
      <c r="K781" s="83"/>
      <c r="L781" s="83"/>
      <c r="M781" s="84"/>
      <c r="N781" s="84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>
      <c r="A782" s="83"/>
      <c r="B782" s="83"/>
      <c r="C782" s="83"/>
      <c r="D782" s="134"/>
      <c r="E782" s="138"/>
      <c r="F782" s="83"/>
      <c r="G782" s="83"/>
      <c r="H782" s="83"/>
      <c r="I782" s="83"/>
      <c r="J782" s="83"/>
      <c r="K782" s="83"/>
      <c r="L782" s="83"/>
      <c r="M782" s="84"/>
      <c r="N782" s="84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>
      <c r="A783" s="83"/>
      <c r="B783" s="83"/>
      <c r="C783" s="83"/>
      <c r="D783" s="134"/>
      <c r="E783" s="138"/>
      <c r="F783" s="83"/>
      <c r="G783" s="83"/>
      <c r="H783" s="83"/>
      <c r="I783" s="83"/>
      <c r="J783" s="83"/>
      <c r="K783" s="83"/>
      <c r="L783" s="83"/>
      <c r="M783" s="84"/>
      <c r="N783" s="84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>
      <c r="A784" s="83"/>
      <c r="B784" s="83"/>
      <c r="C784" s="83"/>
      <c r="D784" s="134"/>
      <c r="E784" s="138"/>
      <c r="F784" s="83"/>
      <c r="G784" s="83"/>
      <c r="H784" s="83"/>
      <c r="I784" s="83"/>
      <c r="J784" s="83"/>
      <c r="K784" s="83"/>
      <c r="L784" s="83"/>
      <c r="M784" s="84"/>
      <c r="N784" s="84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>
      <c r="A785" s="83"/>
      <c r="B785" s="83"/>
      <c r="C785" s="83"/>
      <c r="D785" s="134"/>
      <c r="E785" s="138"/>
      <c r="F785" s="83"/>
      <c r="G785" s="83"/>
      <c r="H785" s="83"/>
      <c r="I785" s="83"/>
      <c r="J785" s="83"/>
      <c r="K785" s="83"/>
      <c r="L785" s="83"/>
      <c r="M785" s="84"/>
      <c r="N785" s="84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>
      <c r="A786" s="83"/>
      <c r="B786" s="83"/>
      <c r="C786" s="83"/>
      <c r="D786" s="134"/>
      <c r="E786" s="138"/>
      <c r="F786" s="83"/>
      <c r="G786" s="83"/>
      <c r="H786" s="83"/>
      <c r="I786" s="83"/>
      <c r="J786" s="83"/>
      <c r="K786" s="83"/>
      <c r="L786" s="83"/>
      <c r="M786" s="84"/>
      <c r="N786" s="84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>
      <c r="A787" s="83"/>
      <c r="B787" s="83"/>
      <c r="C787" s="83"/>
      <c r="D787" s="134"/>
      <c r="E787" s="138"/>
      <c r="F787" s="83"/>
      <c r="G787" s="83"/>
      <c r="H787" s="83"/>
      <c r="I787" s="83"/>
      <c r="J787" s="83"/>
      <c r="K787" s="83"/>
      <c r="L787" s="83"/>
      <c r="M787" s="84"/>
      <c r="N787" s="84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>
      <c r="A788" s="83"/>
      <c r="B788" s="83"/>
      <c r="C788" s="83"/>
      <c r="D788" s="134"/>
      <c r="E788" s="138"/>
      <c r="F788" s="83"/>
      <c r="G788" s="83"/>
      <c r="H788" s="83"/>
      <c r="I788" s="83"/>
      <c r="J788" s="83"/>
      <c r="K788" s="83"/>
      <c r="L788" s="83"/>
      <c r="M788" s="84"/>
      <c r="N788" s="84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>
      <c r="A789" s="83"/>
      <c r="B789" s="83"/>
      <c r="C789" s="83"/>
      <c r="D789" s="134"/>
      <c r="E789" s="138"/>
      <c r="F789" s="83"/>
      <c r="G789" s="83"/>
      <c r="H789" s="83"/>
      <c r="I789" s="83"/>
      <c r="J789" s="83"/>
      <c r="K789" s="83"/>
      <c r="L789" s="83"/>
      <c r="M789" s="84"/>
      <c r="N789" s="84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>
      <c r="A790" s="83"/>
      <c r="B790" s="83"/>
      <c r="C790" s="83"/>
      <c r="D790" s="134"/>
      <c r="E790" s="138"/>
      <c r="F790" s="83"/>
      <c r="G790" s="83"/>
      <c r="H790" s="83"/>
      <c r="I790" s="83"/>
      <c r="J790" s="83"/>
      <c r="K790" s="83"/>
      <c r="L790" s="83"/>
      <c r="M790" s="84"/>
      <c r="N790" s="84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>
      <c r="A791" s="83"/>
      <c r="B791" s="83"/>
      <c r="C791" s="83"/>
      <c r="D791" s="134"/>
      <c r="E791" s="138"/>
      <c r="F791" s="83"/>
      <c r="G791" s="83"/>
      <c r="H791" s="83"/>
      <c r="I791" s="83"/>
      <c r="J791" s="83"/>
      <c r="K791" s="83"/>
      <c r="L791" s="83"/>
      <c r="M791" s="84"/>
      <c r="N791" s="84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>
      <c r="A792" s="83"/>
      <c r="B792" s="83"/>
      <c r="C792" s="83"/>
      <c r="D792" s="134"/>
      <c r="E792" s="138"/>
      <c r="F792" s="83"/>
      <c r="G792" s="83"/>
      <c r="H792" s="83"/>
      <c r="I792" s="83"/>
      <c r="J792" s="83"/>
      <c r="K792" s="83"/>
      <c r="L792" s="83"/>
      <c r="M792" s="84"/>
      <c r="N792" s="84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>
      <c r="A793" s="83"/>
      <c r="B793" s="83"/>
      <c r="C793" s="83"/>
      <c r="D793" s="134"/>
      <c r="E793" s="138"/>
      <c r="F793" s="83"/>
      <c r="G793" s="83"/>
      <c r="H793" s="83"/>
      <c r="I793" s="83"/>
      <c r="J793" s="83"/>
      <c r="K793" s="83"/>
      <c r="L793" s="83"/>
      <c r="M793" s="84"/>
      <c r="N793" s="84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>
      <c r="A794" s="83"/>
      <c r="B794" s="83"/>
      <c r="C794" s="83"/>
      <c r="D794" s="134"/>
      <c r="E794" s="138"/>
      <c r="F794" s="83"/>
      <c r="G794" s="83"/>
      <c r="H794" s="83"/>
      <c r="I794" s="83"/>
      <c r="J794" s="83"/>
      <c r="K794" s="83"/>
      <c r="L794" s="83"/>
      <c r="M794" s="84"/>
      <c r="N794" s="84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>
      <c r="A795" s="83"/>
      <c r="B795" s="83"/>
      <c r="C795" s="83"/>
      <c r="D795" s="134"/>
      <c r="E795" s="138"/>
      <c r="F795" s="83"/>
      <c r="G795" s="83"/>
      <c r="H795" s="83"/>
      <c r="I795" s="83"/>
      <c r="J795" s="83"/>
      <c r="K795" s="83"/>
      <c r="L795" s="83"/>
      <c r="M795" s="84"/>
      <c r="N795" s="84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>
      <c r="A796" s="83"/>
      <c r="B796" s="83"/>
      <c r="C796" s="83"/>
      <c r="D796" s="134"/>
      <c r="E796" s="138"/>
      <c r="F796" s="83"/>
      <c r="G796" s="83"/>
      <c r="H796" s="83"/>
      <c r="I796" s="83"/>
      <c r="J796" s="83"/>
      <c r="K796" s="83"/>
      <c r="L796" s="83"/>
      <c r="M796" s="84"/>
      <c r="N796" s="84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>
      <c r="A797" s="83"/>
      <c r="B797" s="83"/>
      <c r="C797" s="83"/>
      <c r="D797" s="134"/>
      <c r="E797" s="138"/>
      <c r="F797" s="83"/>
      <c r="G797" s="83"/>
      <c r="H797" s="83"/>
      <c r="I797" s="83"/>
      <c r="J797" s="83"/>
      <c r="K797" s="83"/>
      <c r="L797" s="83"/>
      <c r="M797" s="84"/>
      <c r="N797" s="84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>
      <c r="A798" s="83"/>
      <c r="B798" s="83"/>
      <c r="C798" s="83"/>
      <c r="D798" s="134"/>
      <c r="E798" s="138"/>
      <c r="F798" s="83"/>
      <c r="G798" s="83"/>
      <c r="H798" s="83"/>
      <c r="I798" s="83"/>
      <c r="J798" s="83"/>
      <c r="K798" s="83"/>
      <c r="L798" s="83"/>
      <c r="M798" s="84"/>
      <c r="N798" s="84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>
      <c r="A799" s="83"/>
      <c r="B799" s="83"/>
      <c r="C799" s="83"/>
      <c r="D799" s="134"/>
      <c r="E799" s="138"/>
      <c r="F799" s="83"/>
      <c r="G799" s="83"/>
      <c r="H799" s="83"/>
      <c r="I799" s="83"/>
      <c r="J799" s="83"/>
      <c r="K799" s="83"/>
      <c r="L799" s="83"/>
      <c r="M799" s="84"/>
      <c r="N799" s="84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>
      <c r="A800" s="83"/>
      <c r="B800" s="83"/>
      <c r="C800" s="83"/>
      <c r="D800" s="134"/>
      <c r="E800" s="138"/>
      <c r="F800" s="83"/>
      <c r="G800" s="83"/>
      <c r="H800" s="83"/>
      <c r="I800" s="83"/>
      <c r="J800" s="83"/>
      <c r="K800" s="83"/>
      <c r="L800" s="83"/>
      <c r="M800" s="84"/>
      <c r="N800" s="84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>
      <c r="A801" s="83"/>
      <c r="B801" s="83"/>
      <c r="C801" s="83"/>
      <c r="D801" s="134"/>
      <c r="E801" s="138"/>
      <c r="F801" s="83"/>
      <c r="G801" s="83"/>
      <c r="H801" s="83"/>
      <c r="I801" s="83"/>
      <c r="J801" s="83"/>
      <c r="K801" s="83"/>
      <c r="L801" s="83"/>
      <c r="M801" s="84"/>
      <c r="N801" s="84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>
      <c r="A802" s="83"/>
      <c r="B802" s="83"/>
      <c r="C802" s="83"/>
      <c r="D802" s="134"/>
      <c r="E802" s="138"/>
      <c r="F802" s="83"/>
      <c r="G802" s="83"/>
      <c r="H802" s="83"/>
      <c r="I802" s="83"/>
      <c r="J802" s="83"/>
      <c r="K802" s="83"/>
      <c r="L802" s="83"/>
      <c r="M802" s="84"/>
      <c r="N802" s="84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>
      <c r="A803" s="83"/>
      <c r="B803" s="83"/>
      <c r="C803" s="83"/>
      <c r="D803" s="134"/>
      <c r="E803" s="138"/>
      <c r="F803" s="83"/>
      <c r="G803" s="83"/>
      <c r="H803" s="83"/>
      <c r="I803" s="83"/>
      <c r="J803" s="83"/>
      <c r="K803" s="83"/>
      <c r="L803" s="83"/>
      <c r="M803" s="84"/>
      <c r="N803" s="84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>
      <c r="A804" s="83"/>
      <c r="B804" s="83"/>
      <c r="C804" s="83"/>
      <c r="D804" s="134"/>
      <c r="E804" s="138"/>
      <c r="F804" s="83"/>
      <c r="G804" s="83"/>
      <c r="H804" s="83"/>
      <c r="I804" s="83"/>
      <c r="J804" s="83"/>
      <c r="K804" s="83"/>
      <c r="L804" s="83"/>
      <c r="M804" s="84"/>
      <c r="N804" s="84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>
      <c r="A805" s="83"/>
      <c r="B805" s="83"/>
      <c r="C805" s="83"/>
      <c r="D805" s="134"/>
      <c r="E805" s="138"/>
      <c r="F805" s="83"/>
      <c r="G805" s="83"/>
      <c r="H805" s="83"/>
      <c r="I805" s="83"/>
      <c r="J805" s="83"/>
      <c r="K805" s="83"/>
      <c r="L805" s="83"/>
      <c r="M805" s="84"/>
      <c r="N805" s="84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>
      <c r="A806" s="83"/>
      <c r="B806" s="83"/>
      <c r="C806" s="83"/>
      <c r="D806" s="134"/>
      <c r="E806" s="138"/>
      <c r="F806" s="83"/>
      <c r="G806" s="83"/>
      <c r="H806" s="83"/>
      <c r="I806" s="83"/>
      <c r="J806" s="83"/>
      <c r="K806" s="83"/>
      <c r="L806" s="83"/>
      <c r="M806" s="84"/>
      <c r="N806" s="84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>
      <c r="A807" s="83"/>
      <c r="B807" s="83"/>
      <c r="C807" s="83"/>
      <c r="D807" s="134"/>
      <c r="E807" s="138"/>
      <c r="F807" s="83"/>
      <c r="G807" s="83"/>
      <c r="H807" s="83"/>
      <c r="I807" s="83"/>
      <c r="J807" s="83"/>
      <c r="K807" s="83"/>
      <c r="L807" s="83"/>
      <c r="M807" s="84"/>
      <c r="N807" s="84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>
      <c r="A808" s="83"/>
      <c r="B808" s="83"/>
      <c r="C808" s="83"/>
      <c r="D808" s="134"/>
      <c r="E808" s="138"/>
      <c r="F808" s="83"/>
      <c r="G808" s="83"/>
      <c r="H808" s="83"/>
      <c r="I808" s="83"/>
      <c r="J808" s="83"/>
      <c r="K808" s="83"/>
      <c r="L808" s="83"/>
      <c r="M808" s="84"/>
      <c r="N808" s="84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>
      <c r="A809" s="83"/>
      <c r="B809" s="83"/>
      <c r="C809" s="83"/>
      <c r="D809" s="134"/>
      <c r="E809" s="138"/>
      <c r="F809" s="83"/>
      <c r="G809" s="83"/>
      <c r="H809" s="83"/>
      <c r="I809" s="83"/>
      <c r="J809" s="83"/>
      <c r="K809" s="83"/>
      <c r="L809" s="83"/>
      <c r="M809" s="84"/>
      <c r="N809" s="84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>
      <c r="A810" s="83"/>
      <c r="B810" s="83"/>
      <c r="C810" s="83"/>
      <c r="D810" s="134"/>
      <c r="E810" s="138"/>
      <c r="F810" s="83"/>
      <c r="G810" s="83"/>
      <c r="H810" s="83"/>
      <c r="I810" s="83"/>
      <c r="J810" s="83"/>
      <c r="K810" s="83"/>
      <c r="L810" s="83"/>
      <c r="M810" s="84"/>
      <c r="N810" s="84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>
      <c r="A811" s="83"/>
      <c r="B811" s="83"/>
      <c r="C811" s="83"/>
      <c r="D811" s="134"/>
      <c r="E811" s="138"/>
      <c r="F811" s="83"/>
      <c r="G811" s="83"/>
      <c r="H811" s="83"/>
      <c r="I811" s="83"/>
      <c r="J811" s="83"/>
      <c r="K811" s="83"/>
      <c r="L811" s="83"/>
      <c r="M811" s="84"/>
      <c r="N811" s="84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>
      <c r="A812" s="83"/>
      <c r="B812" s="83"/>
      <c r="C812" s="83"/>
      <c r="D812" s="134"/>
      <c r="E812" s="138"/>
      <c r="F812" s="83"/>
      <c r="G812" s="83"/>
      <c r="H812" s="83"/>
      <c r="I812" s="83"/>
      <c r="J812" s="83"/>
      <c r="K812" s="83"/>
      <c r="L812" s="83"/>
      <c r="M812" s="84"/>
      <c r="N812" s="84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>
      <c r="A813" s="83"/>
      <c r="B813" s="83"/>
      <c r="C813" s="83"/>
      <c r="D813" s="134"/>
      <c r="E813" s="138"/>
      <c r="F813" s="83"/>
      <c r="G813" s="83"/>
      <c r="H813" s="83"/>
      <c r="I813" s="83"/>
      <c r="J813" s="83"/>
      <c r="K813" s="83"/>
      <c r="L813" s="83"/>
      <c r="M813" s="84"/>
      <c r="N813" s="84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>
      <c r="A814" s="83"/>
      <c r="B814" s="83"/>
      <c r="C814" s="83"/>
      <c r="D814" s="134"/>
      <c r="E814" s="138"/>
      <c r="F814" s="83"/>
      <c r="G814" s="83"/>
      <c r="H814" s="83"/>
      <c r="I814" s="83"/>
      <c r="J814" s="83"/>
      <c r="K814" s="83"/>
      <c r="L814" s="83"/>
      <c r="M814" s="84"/>
      <c r="N814" s="84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>
      <c r="A815" s="83"/>
      <c r="B815" s="83"/>
      <c r="C815" s="83"/>
      <c r="D815" s="134"/>
      <c r="E815" s="138"/>
      <c r="F815" s="83"/>
      <c r="G815" s="83"/>
      <c r="H815" s="83"/>
      <c r="I815" s="83"/>
      <c r="J815" s="83"/>
      <c r="K815" s="83"/>
      <c r="L815" s="83"/>
      <c r="M815" s="84"/>
      <c r="N815" s="84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>
      <c r="A816" s="83"/>
      <c r="B816" s="83"/>
      <c r="C816" s="83"/>
      <c r="D816" s="134"/>
      <c r="E816" s="138"/>
      <c r="F816" s="83"/>
      <c r="G816" s="83"/>
      <c r="H816" s="83"/>
      <c r="I816" s="83"/>
      <c r="J816" s="83"/>
      <c r="K816" s="83"/>
      <c r="L816" s="83"/>
      <c r="M816" s="84"/>
      <c r="N816" s="84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>
      <c r="A817" s="83"/>
      <c r="B817" s="83"/>
      <c r="C817" s="83"/>
      <c r="D817" s="134"/>
      <c r="E817" s="138"/>
      <c r="F817" s="83"/>
      <c r="G817" s="83"/>
      <c r="H817" s="83"/>
      <c r="I817" s="83"/>
      <c r="J817" s="83"/>
      <c r="K817" s="83"/>
      <c r="L817" s="83"/>
      <c r="M817" s="84"/>
      <c r="N817" s="84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>
      <c r="A818" s="83"/>
      <c r="B818" s="83"/>
      <c r="C818" s="83"/>
      <c r="D818" s="134"/>
      <c r="E818" s="138"/>
      <c r="F818" s="83"/>
      <c r="G818" s="83"/>
      <c r="H818" s="83"/>
      <c r="I818" s="83"/>
      <c r="J818" s="83"/>
      <c r="K818" s="83"/>
      <c r="L818" s="83"/>
      <c r="M818" s="84"/>
      <c r="N818" s="84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>
      <c r="A819" s="83"/>
      <c r="B819" s="83"/>
      <c r="C819" s="83"/>
      <c r="D819" s="134"/>
      <c r="E819" s="138"/>
      <c r="F819" s="83"/>
      <c r="G819" s="83"/>
      <c r="H819" s="83"/>
      <c r="I819" s="83"/>
      <c r="J819" s="83"/>
      <c r="K819" s="83"/>
      <c r="L819" s="83"/>
      <c r="M819" s="84"/>
      <c r="N819" s="84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>
      <c r="A820" s="83"/>
      <c r="B820" s="83"/>
      <c r="C820" s="83"/>
      <c r="D820" s="134"/>
      <c r="E820" s="138"/>
      <c r="F820" s="83"/>
      <c r="G820" s="83"/>
      <c r="H820" s="83"/>
      <c r="I820" s="83"/>
      <c r="J820" s="83"/>
      <c r="K820" s="83"/>
      <c r="L820" s="83"/>
      <c r="M820" s="84"/>
      <c r="N820" s="84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>
      <c r="A821" s="83"/>
      <c r="B821" s="83"/>
      <c r="C821" s="83"/>
      <c r="D821" s="134"/>
      <c r="E821" s="138"/>
      <c r="F821" s="83"/>
      <c r="G821" s="83"/>
      <c r="H821" s="83"/>
      <c r="I821" s="83"/>
      <c r="J821" s="83"/>
      <c r="K821" s="83"/>
      <c r="L821" s="83"/>
      <c r="M821" s="84"/>
      <c r="N821" s="84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>
      <c r="A822" s="83"/>
      <c r="B822" s="83"/>
      <c r="C822" s="83"/>
      <c r="D822" s="134"/>
      <c r="E822" s="138"/>
      <c r="F822" s="83"/>
      <c r="G822" s="83"/>
      <c r="H822" s="83"/>
      <c r="I822" s="83"/>
      <c r="J822" s="83"/>
      <c r="K822" s="83"/>
      <c r="L822" s="83"/>
      <c r="M822" s="84"/>
      <c r="N822" s="84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>
      <c r="A823" s="83"/>
      <c r="B823" s="83"/>
      <c r="C823" s="83"/>
      <c r="D823" s="134"/>
      <c r="E823" s="138"/>
      <c r="F823" s="83"/>
      <c r="G823" s="83"/>
      <c r="H823" s="83"/>
      <c r="I823" s="83"/>
      <c r="J823" s="83"/>
      <c r="K823" s="83"/>
      <c r="L823" s="83"/>
      <c r="M823" s="84"/>
      <c r="N823" s="84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>
      <c r="A824" s="83"/>
      <c r="B824" s="83"/>
      <c r="C824" s="83"/>
      <c r="D824" s="134"/>
      <c r="E824" s="138"/>
      <c r="F824" s="83"/>
      <c r="G824" s="83"/>
      <c r="H824" s="83"/>
      <c r="I824" s="83"/>
      <c r="J824" s="83"/>
      <c r="K824" s="83"/>
      <c r="L824" s="83"/>
      <c r="M824" s="84"/>
      <c r="N824" s="84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>
      <c r="A825" s="83"/>
      <c r="B825" s="83"/>
      <c r="C825" s="83"/>
      <c r="D825" s="134"/>
      <c r="E825" s="138"/>
      <c r="F825" s="83"/>
      <c r="G825" s="83"/>
      <c r="H825" s="83"/>
      <c r="I825" s="83"/>
      <c r="J825" s="83"/>
      <c r="K825" s="83"/>
      <c r="L825" s="83"/>
      <c r="M825" s="84"/>
      <c r="N825" s="84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>
      <c r="A826" s="83"/>
      <c r="B826" s="83"/>
      <c r="C826" s="83"/>
      <c r="D826" s="134"/>
      <c r="E826" s="138"/>
      <c r="F826" s="83"/>
      <c r="G826" s="83"/>
      <c r="H826" s="83"/>
      <c r="I826" s="83"/>
      <c r="J826" s="83"/>
      <c r="K826" s="83"/>
      <c r="L826" s="83"/>
      <c r="M826" s="84"/>
      <c r="N826" s="84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>
      <c r="A827" s="83"/>
      <c r="B827" s="83"/>
      <c r="C827" s="83"/>
      <c r="D827" s="134"/>
      <c r="E827" s="138"/>
      <c r="F827" s="83"/>
      <c r="G827" s="83"/>
      <c r="H827" s="83"/>
      <c r="I827" s="83"/>
      <c r="J827" s="83"/>
      <c r="K827" s="83"/>
      <c r="L827" s="83"/>
      <c r="M827" s="84"/>
      <c r="N827" s="84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>
      <c r="A828" s="83"/>
      <c r="B828" s="83"/>
      <c r="C828" s="83"/>
      <c r="D828" s="134"/>
      <c r="E828" s="138"/>
      <c r="F828" s="83"/>
      <c r="G828" s="83"/>
      <c r="H828" s="83"/>
      <c r="I828" s="83"/>
      <c r="J828" s="83"/>
      <c r="K828" s="83"/>
      <c r="L828" s="83"/>
      <c r="M828" s="84"/>
      <c r="N828" s="84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>
      <c r="A829" s="83"/>
      <c r="B829" s="83"/>
      <c r="C829" s="83"/>
      <c r="D829" s="134"/>
      <c r="E829" s="138"/>
      <c r="F829" s="83"/>
      <c r="G829" s="83"/>
      <c r="H829" s="83"/>
      <c r="I829" s="83"/>
      <c r="J829" s="83"/>
      <c r="K829" s="83"/>
      <c r="L829" s="83"/>
      <c r="M829" s="84"/>
      <c r="N829" s="84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>
      <c r="A830" s="83"/>
      <c r="B830" s="83"/>
      <c r="C830" s="83"/>
      <c r="D830" s="134"/>
      <c r="E830" s="138"/>
      <c r="F830" s="83"/>
      <c r="G830" s="83"/>
      <c r="H830" s="83"/>
      <c r="I830" s="83"/>
      <c r="J830" s="83"/>
      <c r="K830" s="83"/>
      <c r="L830" s="83"/>
      <c r="M830" s="84"/>
      <c r="N830" s="84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>
      <c r="A831" s="83"/>
      <c r="B831" s="83"/>
      <c r="C831" s="83"/>
      <c r="D831" s="134"/>
      <c r="E831" s="138"/>
      <c r="F831" s="83"/>
      <c r="G831" s="83"/>
      <c r="H831" s="83"/>
      <c r="I831" s="83"/>
      <c r="J831" s="83"/>
      <c r="K831" s="83"/>
      <c r="L831" s="83"/>
      <c r="M831" s="84"/>
      <c r="N831" s="84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>
      <c r="A832" s="83"/>
      <c r="B832" s="83"/>
      <c r="C832" s="83"/>
      <c r="D832" s="134"/>
      <c r="E832" s="138"/>
      <c r="F832" s="83"/>
      <c r="G832" s="83"/>
      <c r="H832" s="83"/>
      <c r="I832" s="83"/>
      <c r="J832" s="83"/>
      <c r="K832" s="83"/>
      <c r="L832" s="83"/>
      <c r="M832" s="84"/>
      <c r="N832" s="84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>
      <c r="A833" s="83"/>
      <c r="B833" s="83"/>
      <c r="C833" s="83"/>
      <c r="D833" s="134"/>
      <c r="E833" s="138"/>
      <c r="F833" s="83"/>
      <c r="G833" s="83"/>
      <c r="H833" s="83"/>
      <c r="I833" s="83"/>
      <c r="J833" s="83"/>
      <c r="K833" s="83"/>
      <c r="L833" s="83"/>
      <c r="M833" s="84"/>
      <c r="N833" s="84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>
      <c r="A834" s="83"/>
      <c r="B834" s="83"/>
      <c r="C834" s="83"/>
      <c r="D834" s="134"/>
      <c r="E834" s="138"/>
      <c r="F834" s="83"/>
      <c r="G834" s="83"/>
      <c r="H834" s="83"/>
      <c r="I834" s="83"/>
      <c r="J834" s="83"/>
      <c r="K834" s="83"/>
      <c r="L834" s="83"/>
      <c r="M834" s="84"/>
      <c r="N834" s="84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>
      <c r="A835" s="83"/>
      <c r="B835" s="83"/>
      <c r="C835" s="83"/>
      <c r="D835" s="134"/>
      <c r="E835" s="138"/>
      <c r="F835" s="83"/>
      <c r="G835" s="83"/>
      <c r="H835" s="83"/>
      <c r="I835" s="83"/>
      <c r="J835" s="83"/>
      <c r="K835" s="83"/>
      <c r="L835" s="83"/>
      <c r="M835" s="84"/>
      <c r="N835" s="84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>
      <c r="A836" s="83"/>
      <c r="B836" s="83"/>
      <c r="C836" s="83"/>
      <c r="D836" s="134"/>
      <c r="E836" s="138"/>
      <c r="F836" s="83"/>
      <c r="G836" s="83"/>
      <c r="H836" s="83"/>
      <c r="I836" s="83"/>
      <c r="J836" s="83"/>
      <c r="K836" s="83"/>
      <c r="L836" s="83"/>
      <c r="M836" s="84"/>
      <c r="N836" s="84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>
      <c r="A837" s="83"/>
      <c r="B837" s="83"/>
      <c r="C837" s="83"/>
      <c r="D837" s="134"/>
      <c r="E837" s="138"/>
      <c r="F837" s="83"/>
      <c r="G837" s="83"/>
      <c r="H837" s="83"/>
      <c r="I837" s="83"/>
      <c r="J837" s="83"/>
      <c r="K837" s="83"/>
      <c r="L837" s="83"/>
      <c r="M837" s="84"/>
      <c r="N837" s="84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>
      <c r="A838" s="83"/>
      <c r="B838" s="83"/>
      <c r="C838" s="83"/>
      <c r="D838" s="134"/>
      <c r="E838" s="138"/>
      <c r="F838" s="83"/>
      <c r="G838" s="83"/>
      <c r="H838" s="83"/>
      <c r="I838" s="83"/>
      <c r="J838" s="83"/>
      <c r="K838" s="83"/>
      <c r="L838" s="83"/>
      <c r="M838" s="84"/>
      <c r="N838" s="84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>
      <c r="A839" s="83"/>
      <c r="B839" s="83"/>
      <c r="C839" s="83"/>
      <c r="D839" s="134"/>
      <c r="E839" s="138"/>
      <c r="F839" s="83"/>
      <c r="G839" s="83"/>
      <c r="H839" s="83"/>
      <c r="I839" s="83"/>
      <c r="J839" s="83"/>
      <c r="K839" s="83"/>
      <c r="L839" s="83"/>
      <c r="M839" s="84"/>
      <c r="N839" s="84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>
      <c r="A840" s="83"/>
      <c r="B840" s="83"/>
      <c r="C840" s="83"/>
      <c r="D840" s="134"/>
      <c r="E840" s="138"/>
      <c r="F840" s="83"/>
      <c r="G840" s="83"/>
      <c r="H840" s="83"/>
      <c r="I840" s="83"/>
      <c r="J840" s="83"/>
      <c r="K840" s="83"/>
      <c r="L840" s="83"/>
      <c r="M840" s="84"/>
      <c r="N840" s="84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>
      <c r="A841" s="83"/>
      <c r="B841" s="83"/>
      <c r="C841" s="83"/>
      <c r="D841" s="134"/>
      <c r="E841" s="138"/>
      <c r="F841" s="83"/>
      <c r="G841" s="83"/>
      <c r="H841" s="83"/>
      <c r="I841" s="83"/>
      <c r="J841" s="83"/>
      <c r="K841" s="83"/>
      <c r="L841" s="83"/>
      <c r="M841" s="84"/>
      <c r="N841" s="84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>
      <c r="A842" s="83"/>
      <c r="B842" s="83"/>
      <c r="C842" s="83"/>
      <c r="D842" s="134"/>
      <c r="E842" s="138"/>
      <c r="F842" s="83"/>
      <c r="G842" s="83"/>
      <c r="H842" s="83"/>
      <c r="I842" s="83"/>
      <c r="J842" s="83"/>
      <c r="K842" s="83"/>
      <c r="L842" s="83"/>
      <c r="M842" s="84"/>
      <c r="N842" s="84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>
      <c r="A843" s="83"/>
      <c r="B843" s="83"/>
      <c r="C843" s="83"/>
      <c r="D843" s="134"/>
      <c r="E843" s="138"/>
      <c r="F843" s="83"/>
      <c r="G843" s="83"/>
      <c r="H843" s="83"/>
      <c r="I843" s="83"/>
      <c r="J843" s="83"/>
      <c r="K843" s="83"/>
      <c r="L843" s="83"/>
      <c r="M843" s="84"/>
      <c r="N843" s="84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>
      <c r="A844" s="83"/>
      <c r="B844" s="83"/>
      <c r="C844" s="83"/>
      <c r="D844" s="134"/>
      <c r="E844" s="138"/>
      <c r="F844" s="83"/>
      <c r="G844" s="83"/>
      <c r="H844" s="83"/>
      <c r="I844" s="83"/>
      <c r="J844" s="83"/>
      <c r="K844" s="83"/>
      <c r="L844" s="83"/>
      <c r="M844" s="84"/>
      <c r="N844" s="84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>
      <c r="A845" s="83"/>
      <c r="B845" s="83"/>
      <c r="C845" s="83"/>
      <c r="D845" s="134"/>
      <c r="E845" s="138"/>
      <c r="F845" s="83"/>
      <c r="G845" s="83"/>
      <c r="H845" s="83"/>
      <c r="I845" s="83"/>
      <c r="J845" s="83"/>
      <c r="K845" s="83"/>
      <c r="L845" s="83"/>
      <c r="M845" s="84"/>
      <c r="N845" s="84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>
      <c r="A846" s="83"/>
      <c r="B846" s="83"/>
      <c r="C846" s="83"/>
      <c r="D846" s="134"/>
      <c r="E846" s="138"/>
      <c r="F846" s="83"/>
      <c r="G846" s="83"/>
      <c r="H846" s="83"/>
      <c r="I846" s="83"/>
      <c r="J846" s="83"/>
      <c r="K846" s="83"/>
      <c r="L846" s="83"/>
      <c r="M846" s="84"/>
      <c r="N846" s="84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>
      <c r="A847" s="83"/>
      <c r="B847" s="83"/>
      <c r="C847" s="83"/>
      <c r="D847" s="134"/>
      <c r="E847" s="138"/>
      <c r="F847" s="83"/>
      <c r="G847" s="83"/>
      <c r="H847" s="83"/>
      <c r="I847" s="83"/>
      <c r="J847" s="83"/>
      <c r="K847" s="83"/>
      <c r="L847" s="83"/>
      <c r="M847" s="84"/>
      <c r="N847" s="84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>
      <c r="A848" s="83"/>
      <c r="B848" s="83"/>
      <c r="C848" s="83"/>
      <c r="D848" s="134"/>
      <c r="E848" s="138"/>
      <c r="F848" s="83"/>
      <c r="G848" s="83"/>
      <c r="H848" s="83"/>
      <c r="I848" s="83"/>
      <c r="J848" s="83"/>
      <c r="K848" s="83"/>
      <c r="L848" s="83"/>
      <c r="M848" s="84"/>
      <c r="N848" s="84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>
      <c r="A849" s="83"/>
      <c r="B849" s="83"/>
      <c r="C849" s="83"/>
      <c r="D849" s="134"/>
      <c r="E849" s="138"/>
      <c r="F849" s="83"/>
      <c r="G849" s="83"/>
      <c r="H849" s="83"/>
      <c r="I849" s="83"/>
      <c r="J849" s="83"/>
      <c r="K849" s="83"/>
      <c r="L849" s="83"/>
      <c r="M849" s="84"/>
      <c r="N849" s="84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>
      <c r="A850" s="83"/>
      <c r="B850" s="83"/>
      <c r="C850" s="83"/>
      <c r="D850" s="134"/>
      <c r="E850" s="138"/>
      <c r="F850" s="83"/>
      <c r="G850" s="83"/>
      <c r="H850" s="83"/>
      <c r="I850" s="83"/>
      <c r="J850" s="83"/>
      <c r="K850" s="83"/>
      <c r="L850" s="83"/>
      <c r="M850" s="84"/>
      <c r="N850" s="84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>
      <c r="A851" s="83"/>
      <c r="B851" s="83"/>
      <c r="C851" s="83"/>
      <c r="D851" s="134"/>
      <c r="E851" s="138"/>
      <c r="F851" s="83"/>
      <c r="G851" s="83"/>
      <c r="H851" s="83"/>
      <c r="I851" s="83"/>
      <c r="J851" s="83"/>
      <c r="K851" s="83"/>
      <c r="L851" s="83"/>
      <c r="M851" s="84"/>
      <c r="N851" s="84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>
      <c r="A852" s="83"/>
      <c r="B852" s="83"/>
      <c r="C852" s="83"/>
      <c r="D852" s="134"/>
      <c r="E852" s="138"/>
      <c r="F852" s="83"/>
      <c r="G852" s="83"/>
      <c r="H852" s="83"/>
      <c r="I852" s="83"/>
      <c r="J852" s="83"/>
      <c r="K852" s="83"/>
      <c r="L852" s="83"/>
      <c r="M852" s="84"/>
      <c r="N852" s="84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>
      <c r="A853" s="83"/>
      <c r="B853" s="83"/>
      <c r="C853" s="83"/>
      <c r="D853" s="134"/>
      <c r="E853" s="138"/>
      <c r="F853" s="83"/>
      <c r="G853" s="83"/>
      <c r="H853" s="83"/>
      <c r="I853" s="83"/>
      <c r="J853" s="83"/>
      <c r="K853" s="83"/>
      <c r="L853" s="83"/>
      <c r="M853" s="84"/>
      <c r="N853" s="84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>
      <c r="A854" s="83"/>
      <c r="B854" s="83"/>
      <c r="C854" s="83"/>
      <c r="D854" s="134"/>
      <c r="E854" s="138"/>
      <c r="F854" s="83"/>
      <c r="G854" s="83"/>
      <c r="H854" s="83"/>
      <c r="I854" s="83"/>
      <c r="J854" s="83"/>
      <c r="K854" s="83"/>
      <c r="L854" s="83"/>
      <c r="M854" s="84"/>
      <c r="N854" s="84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>
      <c r="A855" s="83"/>
      <c r="B855" s="83"/>
      <c r="C855" s="83"/>
      <c r="D855" s="134"/>
      <c r="E855" s="138"/>
      <c r="F855" s="83"/>
      <c r="G855" s="83"/>
      <c r="H855" s="83"/>
      <c r="I855" s="83"/>
      <c r="J855" s="83"/>
      <c r="K855" s="83"/>
      <c r="L855" s="83"/>
      <c r="M855" s="84"/>
      <c r="N855" s="84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>
      <c r="A856" s="83"/>
      <c r="B856" s="83"/>
      <c r="C856" s="83"/>
      <c r="D856" s="134"/>
      <c r="E856" s="138"/>
      <c r="F856" s="83"/>
      <c r="G856" s="83"/>
      <c r="H856" s="83"/>
      <c r="I856" s="83"/>
      <c r="J856" s="83"/>
      <c r="K856" s="83"/>
      <c r="L856" s="83"/>
      <c r="M856" s="84"/>
      <c r="N856" s="84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>
      <c r="A857" s="83"/>
      <c r="B857" s="83"/>
      <c r="C857" s="83"/>
      <c r="D857" s="134"/>
      <c r="E857" s="138"/>
      <c r="F857" s="83"/>
      <c r="G857" s="83"/>
      <c r="H857" s="83"/>
      <c r="I857" s="83"/>
      <c r="J857" s="83"/>
      <c r="K857" s="83"/>
      <c r="L857" s="83"/>
      <c r="M857" s="84"/>
      <c r="N857" s="84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>
      <c r="A858" s="83"/>
      <c r="B858" s="83"/>
      <c r="C858" s="83"/>
      <c r="D858" s="134"/>
      <c r="E858" s="138"/>
      <c r="F858" s="83"/>
      <c r="G858" s="83"/>
      <c r="H858" s="83"/>
      <c r="I858" s="83"/>
      <c r="J858" s="83"/>
      <c r="K858" s="83"/>
      <c r="L858" s="83"/>
      <c r="M858" s="84"/>
      <c r="N858" s="84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>
      <c r="A859" s="83"/>
      <c r="B859" s="83"/>
      <c r="C859" s="83"/>
      <c r="D859" s="134"/>
      <c r="E859" s="138"/>
      <c r="F859" s="83"/>
      <c r="G859" s="83"/>
      <c r="H859" s="83"/>
      <c r="I859" s="83"/>
      <c r="J859" s="83"/>
      <c r="K859" s="83"/>
      <c r="L859" s="83"/>
      <c r="M859" s="84"/>
      <c r="N859" s="84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>
      <c r="A860" s="83"/>
      <c r="B860" s="83"/>
      <c r="C860" s="83"/>
      <c r="D860" s="134"/>
      <c r="E860" s="138"/>
      <c r="F860" s="83"/>
      <c r="G860" s="83"/>
      <c r="H860" s="83"/>
      <c r="I860" s="83"/>
      <c r="J860" s="83"/>
      <c r="K860" s="83"/>
      <c r="L860" s="83"/>
      <c r="M860" s="84"/>
      <c r="N860" s="84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>
      <c r="A861" s="83"/>
      <c r="B861" s="83"/>
      <c r="C861" s="83"/>
      <c r="D861" s="134"/>
      <c r="E861" s="138"/>
      <c r="F861" s="83"/>
      <c r="G861" s="83"/>
      <c r="H861" s="83"/>
      <c r="I861" s="83"/>
      <c r="J861" s="83"/>
      <c r="K861" s="83"/>
      <c r="L861" s="83"/>
      <c r="M861" s="84"/>
      <c r="N861" s="84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>
      <c r="A862" s="83"/>
      <c r="B862" s="83"/>
      <c r="C862" s="83"/>
      <c r="D862" s="134"/>
      <c r="E862" s="138"/>
      <c r="F862" s="83"/>
      <c r="G862" s="83"/>
      <c r="H862" s="83"/>
      <c r="I862" s="83"/>
      <c r="J862" s="83"/>
      <c r="K862" s="83"/>
      <c r="L862" s="83"/>
      <c r="M862" s="84"/>
      <c r="N862" s="84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>
      <c r="A863" s="83"/>
      <c r="B863" s="83"/>
      <c r="C863" s="83"/>
      <c r="D863" s="134"/>
      <c r="E863" s="138"/>
      <c r="F863" s="83"/>
      <c r="G863" s="83"/>
      <c r="H863" s="83"/>
      <c r="I863" s="83"/>
      <c r="J863" s="83"/>
      <c r="K863" s="83"/>
      <c r="L863" s="83"/>
      <c r="M863" s="84"/>
      <c r="N863" s="84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>
      <c r="A864" s="83"/>
      <c r="B864" s="83"/>
      <c r="C864" s="83"/>
      <c r="D864" s="134"/>
      <c r="E864" s="138"/>
      <c r="F864" s="83"/>
      <c r="G864" s="83"/>
      <c r="H864" s="83"/>
      <c r="I864" s="83"/>
      <c r="J864" s="83"/>
      <c r="K864" s="83"/>
      <c r="L864" s="83"/>
      <c r="M864" s="84"/>
      <c r="N864" s="84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>
      <c r="A865" s="83"/>
      <c r="B865" s="83"/>
      <c r="C865" s="83"/>
      <c r="D865" s="134"/>
      <c r="E865" s="138"/>
      <c r="F865" s="83"/>
      <c r="G865" s="83"/>
      <c r="H865" s="83"/>
      <c r="I865" s="83"/>
      <c r="J865" s="83"/>
      <c r="K865" s="83"/>
      <c r="L865" s="83"/>
      <c r="M865" s="84"/>
      <c r="N865" s="84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>
      <c r="A866" s="83"/>
      <c r="B866" s="83"/>
      <c r="C866" s="83"/>
      <c r="D866" s="134"/>
      <c r="E866" s="138"/>
      <c r="F866" s="83"/>
      <c r="G866" s="83"/>
      <c r="H866" s="83"/>
      <c r="I866" s="83"/>
      <c r="J866" s="83"/>
      <c r="K866" s="83"/>
      <c r="L866" s="83"/>
      <c r="M866" s="84"/>
      <c r="N866" s="84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>
      <c r="A867" s="83"/>
      <c r="B867" s="83"/>
      <c r="C867" s="83"/>
      <c r="D867" s="134"/>
      <c r="E867" s="138"/>
      <c r="F867" s="83"/>
      <c r="G867" s="83"/>
      <c r="H867" s="83"/>
      <c r="I867" s="83"/>
      <c r="J867" s="83"/>
      <c r="K867" s="83"/>
      <c r="L867" s="83"/>
      <c r="M867" s="84"/>
      <c r="N867" s="84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>
      <c r="A868" s="83"/>
      <c r="B868" s="83"/>
      <c r="C868" s="83"/>
      <c r="D868" s="134"/>
      <c r="E868" s="138"/>
      <c r="F868" s="83"/>
      <c r="G868" s="83"/>
      <c r="H868" s="83"/>
      <c r="I868" s="83"/>
      <c r="J868" s="83"/>
      <c r="K868" s="83"/>
      <c r="L868" s="83"/>
      <c r="M868" s="84"/>
      <c r="N868" s="84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>
      <c r="A869" s="83"/>
      <c r="B869" s="83"/>
      <c r="C869" s="83"/>
      <c r="D869" s="134"/>
      <c r="E869" s="138"/>
      <c r="F869" s="83"/>
      <c r="G869" s="83"/>
      <c r="H869" s="83"/>
      <c r="I869" s="83"/>
      <c r="J869" s="83"/>
      <c r="K869" s="83"/>
      <c r="L869" s="83"/>
      <c r="M869" s="84"/>
      <c r="N869" s="84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>
      <c r="A870" s="83"/>
      <c r="B870" s="83"/>
      <c r="C870" s="83"/>
      <c r="D870" s="134"/>
      <c r="E870" s="138"/>
      <c r="F870" s="83"/>
      <c r="G870" s="83"/>
      <c r="H870" s="83"/>
      <c r="I870" s="83"/>
      <c r="J870" s="83"/>
      <c r="K870" s="83"/>
      <c r="L870" s="83"/>
      <c r="M870" s="84"/>
      <c r="N870" s="84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>
      <c r="A871" s="83"/>
      <c r="B871" s="83"/>
      <c r="C871" s="83"/>
      <c r="D871" s="134"/>
      <c r="E871" s="138"/>
      <c r="F871" s="83"/>
      <c r="G871" s="83"/>
      <c r="H871" s="83"/>
      <c r="I871" s="83"/>
      <c r="J871" s="83"/>
      <c r="K871" s="83"/>
      <c r="L871" s="83"/>
      <c r="M871" s="84"/>
      <c r="N871" s="84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>
      <c r="A872" s="83"/>
      <c r="B872" s="83"/>
      <c r="C872" s="83"/>
      <c r="D872" s="134"/>
      <c r="E872" s="138"/>
      <c r="F872" s="83"/>
      <c r="G872" s="83"/>
      <c r="H872" s="83"/>
      <c r="I872" s="83"/>
      <c r="J872" s="83"/>
      <c r="K872" s="83"/>
      <c r="L872" s="83"/>
      <c r="M872" s="84"/>
      <c r="N872" s="84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>
      <c r="A873" s="83"/>
      <c r="B873" s="83"/>
      <c r="C873" s="83"/>
      <c r="D873" s="134"/>
      <c r="E873" s="138"/>
      <c r="F873" s="83"/>
      <c r="G873" s="83"/>
      <c r="H873" s="83"/>
      <c r="I873" s="83"/>
      <c r="J873" s="83"/>
      <c r="K873" s="83"/>
      <c r="L873" s="83"/>
      <c r="M873" s="84"/>
      <c r="N873" s="84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>
      <c r="A874" s="83"/>
      <c r="B874" s="83"/>
      <c r="C874" s="83"/>
      <c r="D874" s="134"/>
      <c r="E874" s="138"/>
      <c r="F874" s="83"/>
      <c r="G874" s="83"/>
      <c r="H874" s="83"/>
      <c r="I874" s="83"/>
      <c r="J874" s="83"/>
      <c r="K874" s="83"/>
      <c r="L874" s="83"/>
      <c r="M874" s="84"/>
      <c r="N874" s="84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>
      <c r="A875" s="83"/>
      <c r="B875" s="83"/>
      <c r="C875" s="83"/>
      <c r="D875" s="134"/>
      <c r="E875" s="138"/>
      <c r="F875" s="83"/>
      <c r="G875" s="83"/>
      <c r="H875" s="83"/>
      <c r="I875" s="83"/>
      <c r="J875" s="83"/>
      <c r="K875" s="83"/>
      <c r="L875" s="83"/>
      <c r="M875" s="84"/>
      <c r="N875" s="84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>
      <c r="A876" s="83"/>
      <c r="B876" s="83"/>
      <c r="C876" s="83"/>
      <c r="D876" s="134"/>
      <c r="E876" s="138"/>
      <c r="F876" s="83"/>
      <c r="G876" s="83"/>
      <c r="H876" s="83"/>
      <c r="I876" s="83"/>
      <c r="J876" s="83"/>
      <c r="K876" s="83"/>
      <c r="L876" s="83"/>
      <c r="M876" s="84"/>
      <c r="N876" s="84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>
      <c r="A877" s="83"/>
      <c r="B877" s="83"/>
      <c r="C877" s="83"/>
      <c r="D877" s="134"/>
      <c r="E877" s="138"/>
      <c r="F877" s="83"/>
      <c r="G877" s="83"/>
      <c r="H877" s="83"/>
      <c r="I877" s="83"/>
      <c r="J877" s="83"/>
      <c r="K877" s="83"/>
      <c r="L877" s="83"/>
      <c r="M877" s="84"/>
      <c r="N877" s="84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>
      <c r="A878" s="83"/>
      <c r="B878" s="83"/>
      <c r="C878" s="83"/>
      <c r="D878" s="134"/>
      <c r="E878" s="138"/>
      <c r="F878" s="83"/>
      <c r="G878" s="83"/>
      <c r="H878" s="83"/>
      <c r="I878" s="83"/>
      <c r="J878" s="83"/>
      <c r="K878" s="83"/>
      <c r="L878" s="83"/>
      <c r="M878" s="84"/>
      <c r="N878" s="84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>
      <c r="A879" s="83"/>
      <c r="B879" s="83"/>
      <c r="C879" s="83"/>
      <c r="D879" s="134"/>
      <c r="E879" s="138"/>
      <c r="F879" s="83"/>
      <c r="G879" s="83"/>
      <c r="H879" s="83"/>
      <c r="I879" s="83"/>
      <c r="J879" s="83"/>
      <c r="K879" s="83"/>
      <c r="L879" s="83"/>
      <c r="M879" s="84"/>
      <c r="N879" s="84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>
      <c r="A880" s="83"/>
      <c r="B880" s="83"/>
      <c r="C880" s="83"/>
      <c r="D880" s="134"/>
      <c r="E880" s="138"/>
      <c r="F880" s="83"/>
      <c r="G880" s="83"/>
      <c r="H880" s="83"/>
      <c r="I880" s="83"/>
      <c r="J880" s="83"/>
      <c r="K880" s="83"/>
      <c r="L880" s="83"/>
      <c r="M880" s="84"/>
      <c r="N880" s="84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>
      <c r="A881" s="83"/>
      <c r="B881" s="83"/>
      <c r="C881" s="83"/>
      <c r="D881" s="134"/>
      <c r="E881" s="138"/>
      <c r="F881" s="83"/>
      <c r="G881" s="83"/>
      <c r="H881" s="83"/>
      <c r="I881" s="83"/>
      <c r="J881" s="83"/>
      <c r="K881" s="83"/>
      <c r="L881" s="83"/>
      <c r="M881" s="84"/>
      <c r="N881" s="84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>
      <c r="A882" s="83"/>
      <c r="B882" s="83"/>
      <c r="C882" s="83"/>
      <c r="D882" s="134"/>
      <c r="E882" s="138"/>
      <c r="F882" s="83"/>
      <c r="G882" s="83"/>
      <c r="H882" s="83"/>
      <c r="I882" s="83"/>
      <c r="J882" s="83"/>
      <c r="K882" s="83"/>
      <c r="L882" s="83"/>
      <c r="M882" s="84"/>
      <c r="N882" s="84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>
      <c r="A883" s="83"/>
      <c r="B883" s="83"/>
      <c r="C883" s="83"/>
      <c r="D883" s="134"/>
      <c r="E883" s="138"/>
      <c r="F883" s="83"/>
      <c r="G883" s="83"/>
      <c r="H883" s="83"/>
      <c r="I883" s="83"/>
      <c r="J883" s="83"/>
      <c r="K883" s="83"/>
      <c r="L883" s="83"/>
      <c r="M883" s="84"/>
      <c r="N883" s="84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>
      <c r="A884" s="83"/>
      <c r="B884" s="83"/>
      <c r="C884" s="83"/>
      <c r="D884" s="134"/>
      <c r="E884" s="138"/>
      <c r="F884" s="83"/>
      <c r="G884" s="83"/>
      <c r="H884" s="83"/>
      <c r="I884" s="83"/>
      <c r="J884" s="83"/>
      <c r="K884" s="83"/>
      <c r="L884" s="83"/>
      <c r="M884" s="84"/>
      <c r="N884" s="84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>
      <c r="A885" s="83"/>
      <c r="B885" s="83"/>
      <c r="C885" s="83"/>
      <c r="D885" s="134"/>
      <c r="E885" s="138"/>
      <c r="F885" s="83"/>
      <c r="G885" s="83"/>
      <c r="H885" s="83"/>
      <c r="I885" s="83"/>
      <c r="J885" s="83"/>
      <c r="K885" s="83"/>
      <c r="L885" s="83"/>
      <c r="M885" s="84"/>
      <c r="N885" s="84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>
      <c r="A886" s="83"/>
      <c r="B886" s="83"/>
      <c r="C886" s="83"/>
      <c r="D886" s="134"/>
      <c r="E886" s="138"/>
      <c r="F886" s="83"/>
      <c r="G886" s="83"/>
      <c r="H886" s="83"/>
      <c r="I886" s="83"/>
      <c r="J886" s="83"/>
      <c r="K886" s="83"/>
      <c r="L886" s="83"/>
      <c r="M886" s="84"/>
      <c r="N886" s="84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>
      <c r="A887" s="83"/>
      <c r="B887" s="83"/>
      <c r="C887" s="83"/>
      <c r="D887" s="134"/>
      <c r="E887" s="138"/>
      <c r="F887" s="83"/>
      <c r="G887" s="83"/>
      <c r="H887" s="83"/>
      <c r="I887" s="83"/>
      <c r="J887" s="83"/>
      <c r="K887" s="83"/>
      <c r="L887" s="83"/>
      <c r="M887" s="84"/>
      <c r="N887" s="84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>
      <c r="A888" s="83"/>
      <c r="B888" s="83"/>
      <c r="C888" s="83"/>
      <c r="D888" s="134"/>
      <c r="E888" s="138"/>
      <c r="F888" s="83"/>
      <c r="G888" s="83"/>
      <c r="H888" s="83"/>
      <c r="I888" s="83"/>
      <c r="J888" s="83"/>
      <c r="K888" s="83"/>
      <c r="L888" s="83"/>
      <c r="M888" s="84"/>
      <c r="N888" s="84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>
      <c r="A889" s="83"/>
      <c r="B889" s="83"/>
      <c r="C889" s="83"/>
      <c r="D889" s="134"/>
      <c r="E889" s="138"/>
      <c r="F889" s="83"/>
      <c r="G889" s="83"/>
      <c r="H889" s="83"/>
      <c r="I889" s="83"/>
      <c r="J889" s="83"/>
      <c r="K889" s="83"/>
      <c r="L889" s="83"/>
      <c r="M889" s="84"/>
      <c r="N889" s="84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>
      <c r="A890" s="83"/>
      <c r="B890" s="83"/>
      <c r="C890" s="83"/>
      <c r="D890" s="134"/>
      <c r="E890" s="138"/>
      <c r="F890" s="83"/>
      <c r="G890" s="83"/>
      <c r="H890" s="83"/>
      <c r="I890" s="83"/>
      <c r="J890" s="83"/>
      <c r="K890" s="83"/>
      <c r="L890" s="83"/>
      <c r="M890" s="84"/>
      <c r="N890" s="84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>
      <c r="A891" s="83"/>
      <c r="B891" s="83"/>
      <c r="C891" s="83"/>
      <c r="D891" s="134"/>
      <c r="E891" s="138"/>
      <c r="F891" s="83"/>
      <c r="G891" s="83"/>
      <c r="H891" s="83"/>
      <c r="I891" s="83"/>
      <c r="J891" s="83"/>
      <c r="K891" s="83"/>
      <c r="L891" s="83"/>
      <c r="M891" s="84"/>
      <c r="N891" s="84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>
      <c r="A892" s="83"/>
      <c r="B892" s="83"/>
      <c r="C892" s="83"/>
      <c r="D892" s="134"/>
      <c r="E892" s="138"/>
      <c r="F892" s="83"/>
      <c r="G892" s="83"/>
      <c r="H892" s="83"/>
      <c r="I892" s="83"/>
      <c r="J892" s="83"/>
      <c r="K892" s="83"/>
      <c r="L892" s="83"/>
      <c r="M892" s="84"/>
      <c r="N892" s="84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>
      <c r="A893" s="83"/>
      <c r="B893" s="83"/>
      <c r="C893" s="83"/>
      <c r="D893" s="134"/>
      <c r="E893" s="138"/>
      <c r="F893" s="83"/>
      <c r="G893" s="83"/>
      <c r="H893" s="83"/>
      <c r="I893" s="83"/>
      <c r="J893" s="83"/>
      <c r="K893" s="83"/>
      <c r="L893" s="83"/>
      <c r="M893" s="84"/>
      <c r="N893" s="84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>
      <c r="A894" s="83"/>
      <c r="B894" s="83"/>
      <c r="C894" s="83"/>
      <c r="D894" s="134"/>
      <c r="E894" s="138"/>
      <c r="F894" s="83"/>
      <c r="G894" s="83"/>
      <c r="H894" s="83"/>
      <c r="I894" s="83"/>
      <c r="J894" s="83"/>
      <c r="K894" s="83"/>
      <c r="L894" s="83"/>
      <c r="M894" s="84"/>
      <c r="N894" s="84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>
      <c r="A895" s="83"/>
      <c r="B895" s="83"/>
      <c r="C895" s="83"/>
      <c r="D895" s="134"/>
      <c r="E895" s="138"/>
      <c r="F895" s="83"/>
      <c r="G895" s="83"/>
      <c r="H895" s="83"/>
      <c r="I895" s="83"/>
      <c r="J895" s="83"/>
      <c r="K895" s="83"/>
      <c r="L895" s="83"/>
      <c r="M895" s="84"/>
      <c r="N895" s="84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>
      <c r="A896" s="83"/>
      <c r="B896" s="83"/>
      <c r="C896" s="83"/>
      <c r="D896" s="134"/>
      <c r="E896" s="138"/>
      <c r="F896" s="83"/>
      <c r="G896" s="83"/>
      <c r="H896" s="83"/>
      <c r="I896" s="83"/>
      <c r="J896" s="83"/>
      <c r="K896" s="83"/>
      <c r="L896" s="83"/>
      <c r="M896" s="84"/>
      <c r="N896" s="84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>
      <c r="A897" s="83"/>
      <c r="B897" s="83"/>
      <c r="C897" s="83"/>
      <c r="D897" s="134"/>
      <c r="E897" s="138"/>
      <c r="F897" s="83"/>
      <c r="G897" s="83"/>
      <c r="H897" s="83"/>
      <c r="I897" s="83"/>
      <c r="J897" s="83"/>
      <c r="K897" s="83"/>
      <c r="L897" s="83"/>
      <c r="M897" s="84"/>
      <c r="N897" s="84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>
      <c r="A898" s="83"/>
      <c r="B898" s="83"/>
      <c r="C898" s="83"/>
      <c r="D898" s="134"/>
      <c r="E898" s="138"/>
      <c r="F898" s="83"/>
      <c r="G898" s="83"/>
      <c r="H898" s="83"/>
      <c r="I898" s="83"/>
      <c r="J898" s="83"/>
      <c r="K898" s="83"/>
      <c r="L898" s="83"/>
      <c r="M898" s="84"/>
      <c r="N898" s="84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>
      <c r="A899" s="83"/>
      <c r="B899" s="83"/>
      <c r="C899" s="83"/>
      <c r="D899" s="134"/>
      <c r="E899" s="138"/>
      <c r="F899" s="83"/>
      <c r="G899" s="83"/>
      <c r="H899" s="83"/>
      <c r="I899" s="83"/>
      <c r="J899" s="83"/>
      <c r="K899" s="83"/>
      <c r="L899" s="83"/>
      <c r="M899" s="84"/>
      <c r="N899" s="84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>
      <c r="A900" s="83"/>
      <c r="B900" s="83"/>
      <c r="C900" s="83"/>
      <c r="D900" s="134"/>
      <c r="E900" s="138"/>
      <c r="F900" s="83"/>
      <c r="G900" s="83"/>
      <c r="H900" s="83"/>
      <c r="I900" s="83"/>
      <c r="J900" s="83"/>
      <c r="K900" s="83"/>
      <c r="L900" s="83"/>
      <c r="M900" s="84"/>
      <c r="N900" s="84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>
      <c r="A901" s="83"/>
      <c r="B901" s="83"/>
      <c r="C901" s="83"/>
      <c r="D901" s="134"/>
      <c r="E901" s="138"/>
      <c r="F901" s="83"/>
      <c r="G901" s="83"/>
      <c r="H901" s="83"/>
      <c r="I901" s="83"/>
      <c r="J901" s="83"/>
      <c r="K901" s="83"/>
      <c r="L901" s="83"/>
      <c r="M901" s="84"/>
      <c r="N901" s="84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>
      <c r="A902" s="83"/>
      <c r="B902" s="83"/>
      <c r="C902" s="83"/>
      <c r="D902" s="134"/>
      <c r="E902" s="138"/>
      <c r="F902" s="83"/>
      <c r="G902" s="83"/>
      <c r="H902" s="83"/>
      <c r="I902" s="83"/>
      <c r="J902" s="83"/>
      <c r="K902" s="83"/>
      <c r="L902" s="83"/>
      <c r="M902" s="84"/>
      <c r="N902" s="84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>
      <c r="A903" s="83"/>
      <c r="B903" s="83"/>
      <c r="C903" s="83"/>
      <c r="D903" s="134"/>
      <c r="E903" s="138"/>
      <c r="F903" s="83"/>
      <c r="G903" s="83"/>
      <c r="H903" s="83"/>
      <c r="I903" s="83"/>
      <c r="J903" s="83"/>
      <c r="K903" s="83"/>
      <c r="L903" s="83"/>
      <c r="M903" s="84"/>
      <c r="N903" s="84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>
      <c r="A904" s="83"/>
      <c r="B904" s="83"/>
      <c r="C904" s="83"/>
      <c r="D904" s="134"/>
      <c r="E904" s="138"/>
      <c r="F904" s="83"/>
      <c r="G904" s="83"/>
      <c r="H904" s="83"/>
      <c r="I904" s="83"/>
      <c r="J904" s="83"/>
      <c r="K904" s="83"/>
      <c r="L904" s="83"/>
      <c r="M904" s="84"/>
      <c r="N904" s="84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>
      <c r="A905" s="83"/>
      <c r="B905" s="83"/>
      <c r="C905" s="83"/>
      <c r="D905" s="134"/>
      <c r="E905" s="138"/>
      <c r="F905" s="83"/>
      <c r="G905" s="83"/>
      <c r="H905" s="83"/>
      <c r="I905" s="83"/>
      <c r="J905" s="83"/>
      <c r="K905" s="83"/>
      <c r="L905" s="83"/>
      <c r="M905" s="84"/>
      <c r="N905" s="84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>
      <c r="A906" s="83"/>
      <c r="B906" s="83"/>
      <c r="C906" s="83"/>
      <c r="D906" s="134"/>
      <c r="E906" s="138"/>
      <c r="F906" s="83"/>
      <c r="G906" s="83"/>
      <c r="H906" s="83"/>
      <c r="I906" s="83"/>
      <c r="J906" s="83"/>
      <c r="K906" s="83"/>
      <c r="L906" s="83"/>
      <c r="M906" s="84"/>
      <c r="N906" s="84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>
      <c r="A907" s="83"/>
      <c r="B907" s="83"/>
      <c r="C907" s="83"/>
      <c r="D907" s="134"/>
      <c r="E907" s="138"/>
      <c r="F907" s="83"/>
      <c r="G907" s="83"/>
      <c r="H907" s="83"/>
      <c r="I907" s="83"/>
      <c r="J907" s="83"/>
      <c r="K907" s="83"/>
      <c r="L907" s="83"/>
      <c r="M907" s="84"/>
      <c r="N907" s="84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>
      <c r="A908" s="83"/>
      <c r="B908" s="83"/>
      <c r="C908" s="83"/>
      <c r="D908" s="134"/>
      <c r="E908" s="138"/>
      <c r="F908" s="83"/>
      <c r="G908" s="83"/>
      <c r="H908" s="83"/>
      <c r="I908" s="83"/>
      <c r="J908" s="83"/>
      <c r="K908" s="83"/>
      <c r="L908" s="83"/>
      <c r="M908" s="84"/>
      <c r="N908" s="84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>
      <c r="A909" s="83"/>
      <c r="B909" s="83"/>
      <c r="C909" s="83"/>
      <c r="D909" s="134"/>
      <c r="E909" s="138"/>
      <c r="F909" s="83"/>
      <c r="G909" s="83"/>
      <c r="H909" s="83"/>
      <c r="I909" s="83"/>
      <c r="J909" s="83"/>
      <c r="K909" s="83"/>
      <c r="L909" s="83"/>
      <c r="M909" s="84"/>
      <c r="N909" s="84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>
      <c r="A910" s="83"/>
      <c r="B910" s="83"/>
      <c r="C910" s="83"/>
      <c r="D910" s="134"/>
      <c r="E910" s="138"/>
      <c r="F910" s="83"/>
      <c r="G910" s="83"/>
      <c r="H910" s="83"/>
      <c r="I910" s="83"/>
      <c r="J910" s="83"/>
      <c r="K910" s="83"/>
      <c r="L910" s="83"/>
      <c r="M910" s="84"/>
      <c r="N910" s="84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>
      <c r="A911" s="83"/>
      <c r="B911" s="83"/>
      <c r="C911" s="83"/>
      <c r="D911" s="134"/>
      <c r="E911" s="138"/>
      <c r="F911" s="83"/>
      <c r="G911" s="83"/>
      <c r="H911" s="83"/>
      <c r="I911" s="83"/>
      <c r="J911" s="83"/>
      <c r="K911" s="83"/>
      <c r="L911" s="83"/>
      <c r="M911" s="84"/>
      <c r="N911" s="84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>
      <c r="A912" s="83"/>
      <c r="B912" s="83"/>
      <c r="C912" s="83"/>
      <c r="D912" s="134"/>
      <c r="E912" s="138"/>
      <c r="F912" s="83"/>
      <c r="G912" s="83"/>
      <c r="H912" s="83"/>
      <c r="I912" s="83"/>
      <c r="J912" s="83"/>
      <c r="K912" s="83"/>
      <c r="L912" s="83"/>
      <c r="M912" s="84"/>
      <c r="N912" s="84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>
      <c r="A913" s="83"/>
      <c r="B913" s="83"/>
      <c r="C913" s="83"/>
      <c r="D913" s="134"/>
      <c r="E913" s="138"/>
      <c r="F913" s="83"/>
      <c r="G913" s="83"/>
      <c r="H913" s="83"/>
      <c r="I913" s="83"/>
      <c r="J913" s="83"/>
      <c r="K913" s="83"/>
      <c r="L913" s="83"/>
      <c r="M913" s="84"/>
      <c r="N913" s="84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>
      <c r="A914" s="83"/>
      <c r="B914" s="83"/>
      <c r="C914" s="83"/>
      <c r="D914" s="134"/>
      <c r="E914" s="138"/>
      <c r="F914" s="83"/>
      <c r="G914" s="83"/>
      <c r="H914" s="83"/>
      <c r="I914" s="83"/>
      <c r="J914" s="83"/>
      <c r="K914" s="83"/>
      <c r="L914" s="83"/>
      <c r="M914" s="84"/>
      <c r="N914" s="84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>
      <c r="A915" s="83"/>
      <c r="B915" s="83"/>
      <c r="C915" s="83"/>
      <c r="D915" s="134"/>
      <c r="E915" s="138"/>
      <c r="F915" s="83"/>
      <c r="G915" s="83"/>
      <c r="H915" s="83"/>
      <c r="I915" s="83"/>
      <c r="J915" s="83"/>
      <c r="K915" s="83"/>
      <c r="L915" s="83"/>
      <c r="M915" s="84"/>
      <c r="N915" s="84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>
      <c r="A916" s="83"/>
      <c r="B916" s="83"/>
      <c r="C916" s="83"/>
      <c r="D916" s="134"/>
      <c r="E916" s="138"/>
      <c r="F916" s="83"/>
      <c r="G916" s="83"/>
      <c r="H916" s="83"/>
      <c r="I916" s="83"/>
      <c r="J916" s="83"/>
      <c r="K916" s="83"/>
      <c r="L916" s="83"/>
      <c r="M916" s="84"/>
      <c r="N916" s="84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>
      <c r="A917" s="83"/>
      <c r="B917" s="83"/>
      <c r="C917" s="83"/>
      <c r="D917" s="134"/>
      <c r="E917" s="138"/>
      <c r="F917" s="83"/>
      <c r="G917" s="83"/>
      <c r="H917" s="83"/>
      <c r="I917" s="83"/>
      <c r="J917" s="83"/>
      <c r="K917" s="83"/>
      <c r="L917" s="83"/>
      <c r="M917" s="84"/>
      <c r="N917" s="84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>
      <c r="A918" s="83"/>
      <c r="B918" s="83"/>
      <c r="C918" s="83"/>
      <c r="D918" s="134"/>
      <c r="E918" s="138"/>
      <c r="F918" s="83"/>
      <c r="G918" s="83"/>
      <c r="H918" s="83"/>
      <c r="I918" s="83"/>
      <c r="J918" s="83"/>
      <c r="K918" s="83"/>
      <c r="L918" s="83"/>
      <c r="M918" s="84"/>
      <c r="N918" s="84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>
      <c r="A919" s="83"/>
      <c r="B919" s="91"/>
      <c r="C919" s="83"/>
      <c r="D919" s="134"/>
      <c r="E919" s="138"/>
      <c r="F919" s="83"/>
      <c r="G919" s="83"/>
      <c r="H919" s="83"/>
      <c r="I919" s="83"/>
      <c r="J919" s="83"/>
      <c r="K919" s="83"/>
      <c r="L919" s="83"/>
      <c r="M919" s="84"/>
      <c r="N919" s="84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>
      <c r="A920" s="83"/>
      <c r="B920" s="83"/>
      <c r="C920" s="83"/>
      <c r="D920" s="134"/>
      <c r="E920" s="138"/>
      <c r="F920" s="83"/>
      <c r="G920" s="83"/>
      <c r="H920" s="83"/>
      <c r="I920" s="83"/>
      <c r="J920" s="83"/>
      <c r="K920" s="83"/>
      <c r="L920" s="83"/>
      <c r="M920" s="84"/>
      <c r="N920" s="84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>
      <c r="A921" s="83"/>
      <c r="B921" s="83"/>
      <c r="C921" s="83"/>
      <c r="D921" s="134"/>
      <c r="E921" s="138"/>
      <c r="F921" s="83"/>
      <c r="G921" s="83"/>
      <c r="H921" s="83"/>
      <c r="I921" s="83"/>
      <c r="J921" s="83"/>
      <c r="K921" s="83"/>
      <c r="L921" s="83"/>
      <c r="M921" s="84"/>
      <c r="N921" s="84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>
      <c r="A922" s="83"/>
      <c r="B922" s="83"/>
      <c r="C922" s="83"/>
      <c r="D922" s="134"/>
      <c r="E922" s="138"/>
      <c r="F922" s="83"/>
      <c r="G922" s="83"/>
      <c r="H922" s="83"/>
      <c r="I922" s="83"/>
      <c r="J922" s="83"/>
      <c r="K922" s="83"/>
      <c r="L922" s="83"/>
      <c r="M922" s="84"/>
      <c r="N922" s="84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>
      <c r="A923" s="83"/>
      <c r="B923" s="83"/>
      <c r="C923" s="83"/>
      <c r="D923" s="134"/>
      <c r="E923" s="138"/>
      <c r="F923" s="83"/>
      <c r="G923" s="83"/>
      <c r="H923" s="83"/>
      <c r="I923" s="83"/>
      <c r="J923" s="83"/>
      <c r="K923" s="83"/>
      <c r="L923" s="83"/>
      <c r="M923" s="84"/>
      <c r="N923" s="84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>
      <c r="A924" s="83"/>
      <c r="B924" s="83"/>
      <c r="C924" s="83"/>
      <c r="D924" s="134"/>
      <c r="E924" s="138"/>
      <c r="F924" s="83"/>
      <c r="G924" s="83"/>
      <c r="H924" s="83"/>
      <c r="I924" s="83"/>
      <c r="J924" s="83"/>
      <c r="K924" s="83"/>
      <c r="L924" s="83"/>
      <c r="M924" s="84"/>
      <c r="N924" s="84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>
      <c r="A925" s="83"/>
      <c r="B925" s="83"/>
      <c r="C925" s="83"/>
      <c r="D925" s="134"/>
      <c r="E925" s="138"/>
      <c r="F925" s="83"/>
      <c r="G925" s="83"/>
      <c r="H925" s="83"/>
      <c r="I925" s="83"/>
      <c r="J925" s="83"/>
      <c r="K925" s="83"/>
      <c r="L925" s="83"/>
      <c r="M925" s="84"/>
      <c r="N925" s="84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>
      <c r="A926" s="83"/>
      <c r="B926" s="83"/>
      <c r="C926" s="83"/>
      <c r="D926" s="134"/>
      <c r="E926" s="138"/>
      <c r="F926" s="83"/>
      <c r="G926" s="83"/>
      <c r="H926" s="83"/>
      <c r="I926" s="83"/>
      <c r="J926" s="83"/>
      <c r="K926" s="83"/>
      <c r="L926" s="83"/>
      <c r="M926" s="84"/>
      <c r="N926" s="84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>
      <c r="A927" s="91"/>
      <c r="B927" s="83"/>
      <c r="C927" s="83"/>
      <c r="D927" s="134"/>
      <c r="E927" s="138"/>
      <c r="F927" s="83"/>
      <c r="G927" s="83"/>
      <c r="H927" s="83"/>
      <c r="I927" s="83"/>
      <c r="J927" s="83"/>
      <c r="K927" s="83"/>
      <c r="L927" s="83"/>
      <c r="M927" s="84"/>
      <c r="N927" s="84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>
      <c r="A928" s="83"/>
      <c r="B928" s="83"/>
      <c r="C928" s="83"/>
      <c r="D928" s="134"/>
      <c r="E928" s="138"/>
      <c r="F928" s="83"/>
      <c r="G928" s="83"/>
      <c r="H928" s="83"/>
      <c r="I928" s="83"/>
      <c r="J928" s="83"/>
      <c r="K928" s="83"/>
      <c r="L928" s="83"/>
      <c r="M928" s="84"/>
      <c r="N928" s="84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>
      <c r="A929" s="83"/>
      <c r="B929" s="83"/>
      <c r="C929" s="83"/>
      <c r="D929" s="134"/>
      <c r="E929" s="138"/>
      <c r="F929" s="83"/>
      <c r="G929" s="83"/>
      <c r="H929" s="83"/>
      <c r="I929" s="83"/>
      <c r="J929" s="83"/>
      <c r="K929" s="83"/>
      <c r="L929" s="83"/>
      <c r="M929" s="84"/>
      <c r="N929" s="84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>
      <c r="A930" s="83"/>
      <c r="B930" s="83"/>
      <c r="C930" s="83"/>
      <c r="D930" s="134"/>
      <c r="E930" s="138"/>
      <c r="F930" s="83"/>
      <c r="G930" s="83"/>
      <c r="H930" s="83"/>
      <c r="I930" s="83"/>
      <c r="J930" s="83"/>
      <c r="K930" s="83"/>
      <c r="L930" s="83"/>
      <c r="M930" s="84"/>
      <c r="N930" s="84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>
      <c r="A931" s="83"/>
      <c r="B931" s="83"/>
      <c r="C931" s="83"/>
      <c r="D931" s="134"/>
      <c r="E931" s="138"/>
      <c r="F931" s="83"/>
      <c r="G931" s="83"/>
      <c r="H931" s="83"/>
      <c r="I931" s="83"/>
      <c r="J931" s="83"/>
      <c r="K931" s="83"/>
      <c r="L931" s="83"/>
      <c r="M931" s="84"/>
      <c r="N931" s="84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>
      <c r="A932" s="83"/>
      <c r="B932" s="83"/>
      <c r="C932" s="83"/>
      <c r="D932" s="134"/>
      <c r="E932" s="138"/>
      <c r="F932" s="83"/>
      <c r="G932" s="83"/>
      <c r="H932" s="83"/>
      <c r="I932" s="83"/>
      <c r="J932" s="83"/>
      <c r="K932" s="83"/>
      <c r="L932" s="83"/>
      <c r="M932" s="84"/>
      <c r="N932" s="84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>
      <c r="A933" s="83"/>
      <c r="B933" s="83"/>
      <c r="C933" s="83"/>
      <c r="D933" s="134"/>
      <c r="E933" s="138"/>
      <c r="F933" s="83"/>
      <c r="G933" s="83"/>
      <c r="H933" s="83"/>
      <c r="I933" s="83"/>
      <c r="J933" s="83"/>
      <c r="K933" s="83"/>
      <c r="L933" s="83"/>
      <c r="M933" s="84"/>
      <c r="N933" s="84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>
      <c r="A934" s="83"/>
      <c r="B934" s="83"/>
      <c r="C934" s="83"/>
      <c r="D934" s="134"/>
      <c r="E934" s="138"/>
      <c r="F934" s="83"/>
      <c r="G934" s="83"/>
      <c r="H934" s="83"/>
      <c r="I934" s="83"/>
      <c r="J934" s="83"/>
      <c r="K934" s="83"/>
      <c r="L934" s="83"/>
      <c r="M934" s="84"/>
      <c r="N934" s="84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>
      <c r="A935" s="83"/>
      <c r="B935" s="83"/>
      <c r="C935" s="83"/>
      <c r="D935" s="134"/>
      <c r="E935" s="138"/>
      <c r="F935" s="83"/>
      <c r="G935" s="83"/>
      <c r="H935" s="83"/>
      <c r="I935" s="83"/>
      <c r="J935" s="83"/>
      <c r="K935" s="83"/>
      <c r="L935" s="83"/>
      <c r="M935" s="84"/>
      <c r="N935" s="84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>
      <c r="A936" s="83"/>
      <c r="B936" s="83"/>
      <c r="C936" s="83"/>
      <c r="D936" s="134"/>
      <c r="E936" s="138"/>
      <c r="F936" s="83"/>
      <c r="G936" s="83"/>
      <c r="H936" s="83"/>
      <c r="I936" s="83"/>
      <c r="J936" s="83"/>
      <c r="K936" s="83"/>
      <c r="L936" s="83"/>
      <c r="M936" s="84"/>
      <c r="N936" s="84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>
      <c r="A937" s="83"/>
      <c r="B937" s="83"/>
      <c r="C937" s="83"/>
      <c r="D937" s="134"/>
      <c r="E937" s="138"/>
      <c r="F937" s="83"/>
      <c r="G937" s="83"/>
      <c r="H937" s="83"/>
      <c r="I937" s="83"/>
      <c r="J937" s="83"/>
      <c r="K937" s="83"/>
      <c r="L937" s="83"/>
      <c r="M937" s="84"/>
      <c r="N937" s="84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>
      <c r="A938" s="83"/>
      <c r="B938" s="83"/>
      <c r="C938" s="83"/>
      <c r="D938" s="134"/>
      <c r="E938" s="138"/>
      <c r="F938" s="83"/>
      <c r="G938" s="83"/>
      <c r="H938" s="83"/>
      <c r="I938" s="83"/>
      <c r="J938" s="83"/>
      <c r="K938" s="83"/>
      <c r="L938" s="83"/>
      <c r="M938" s="84"/>
      <c r="N938" s="84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>
      <c r="A939" s="83"/>
      <c r="B939" s="83"/>
      <c r="C939" s="83"/>
      <c r="D939" s="134"/>
      <c r="E939" s="138"/>
      <c r="F939" s="83"/>
      <c r="G939" s="83"/>
      <c r="H939" s="83"/>
      <c r="I939" s="83"/>
      <c r="J939" s="83"/>
      <c r="K939" s="83"/>
      <c r="L939" s="83"/>
      <c r="M939" s="84"/>
      <c r="N939" s="84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>
      <c r="A940" s="83"/>
      <c r="B940" s="83"/>
      <c r="C940" s="83"/>
      <c r="D940" s="134"/>
      <c r="E940" s="138"/>
      <c r="F940" s="83"/>
      <c r="G940" s="83"/>
      <c r="H940" s="83"/>
      <c r="I940" s="83"/>
      <c r="J940" s="83"/>
      <c r="K940" s="83"/>
      <c r="L940" s="83"/>
      <c r="M940" s="84"/>
      <c r="N940" s="84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>
      <c r="A941" s="83"/>
      <c r="B941" s="83"/>
      <c r="C941" s="83"/>
      <c r="D941" s="134"/>
      <c r="E941" s="138"/>
      <c r="F941" s="83"/>
      <c r="G941" s="83"/>
      <c r="H941" s="83"/>
      <c r="I941" s="83"/>
      <c r="J941" s="83"/>
      <c r="K941" s="83"/>
      <c r="L941" s="83"/>
      <c r="M941" s="84"/>
      <c r="N941" s="84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>
      <c r="A942" s="83"/>
      <c r="B942" s="83"/>
      <c r="C942" s="83"/>
      <c r="D942" s="134"/>
      <c r="E942" s="138"/>
      <c r="F942" s="83"/>
      <c r="G942" s="83"/>
      <c r="H942" s="83"/>
      <c r="I942" s="83"/>
      <c r="J942" s="83"/>
      <c r="K942" s="83"/>
      <c r="L942" s="83"/>
      <c r="M942" s="84"/>
      <c r="N942" s="84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>
      <c r="A943" s="83"/>
      <c r="B943" s="83"/>
      <c r="C943" s="83"/>
      <c r="D943" s="134"/>
      <c r="E943" s="138"/>
      <c r="F943" s="83"/>
      <c r="G943" s="83"/>
      <c r="H943" s="83"/>
      <c r="I943" s="83"/>
      <c r="J943" s="83"/>
      <c r="K943" s="83"/>
      <c r="L943" s="83"/>
      <c r="M943" s="84"/>
      <c r="N943" s="84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>
      <c r="A944" s="83"/>
      <c r="B944" s="83"/>
      <c r="C944" s="83"/>
      <c r="D944" s="134"/>
      <c r="E944" s="138"/>
      <c r="F944" s="83"/>
      <c r="G944" s="83"/>
      <c r="H944" s="83"/>
      <c r="I944" s="83"/>
      <c r="J944" s="83"/>
      <c r="K944" s="83"/>
      <c r="L944" s="83"/>
      <c r="M944" s="84"/>
      <c r="N944" s="84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>
      <c r="A945" s="83"/>
      <c r="B945" s="83"/>
      <c r="C945" s="83"/>
      <c r="D945" s="134"/>
      <c r="E945" s="138"/>
      <c r="F945" s="83"/>
      <c r="G945" s="83"/>
      <c r="H945" s="83"/>
      <c r="I945" s="83"/>
      <c r="J945" s="83"/>
      <c r="K945" s="83"/>
      <c r="L945" s="83"/>
      <c r="M945" s="84"/>
      <c r="N945" s="84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>
      <c r="A946" s="83"/>
      <c r="B946" s="83"/>
      <c r="C946" s="83"/>
      <c r="D946" s="134"/>
      <c r="E946" s="138"/>
      <c r="F946" s="83"/>
      <c r="G946" s="83"/>
      <c r="H946" s="83"/>
      <c r="I946" s="83"/>
      <c r="J946" s="83"/>
      <c r="K946" s="83"/>
      <c r="L946" s="83"/>
      <c r="M946" s="84"/>
      <c r="N946" s="84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>
      <c r="A947" s="83"/>
      <c r="B947" s="83"/>
      <c r="C947" s="83"/>
      <c r="D947" s="134"/>
      <c r="E947" s="138"/>
      <c r="F947" s="83"/>
      <c r="G947" s="83"/>
      <c r="H947" s="83"/>
      <c r="I947" s="83"/>
      <c r="J947" s="83"/>
      <c r="K947" s="83"/>
      <c r="L947" s="83"/>
      <c r="M947" s="84"/>
      <c r="N947" s="84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>
      <c r="A948" s="83"/>
      <c r="B948" s="83"/>
      <c r="C948" s="83"/>
      <c r="D948" s="134"/>
      <c r="E948" s="138"/>
      <c r="F948" s="83"/>
      <c r="G948" s="83"/>
      <c r="H948" s="83"/>
      <c r="I948" s="83"/>
      <c r="J948" s="83"/>
      <c r="K948" s="83"/>
      <c r="L948" s="83"/>
      <c r="M948" s="84"/>
      <c r="N948" s="84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>
      <c r="A949" s="83"/>
      <c r="B949" s="83"/>
      <c r="C949" s="83"/>
      <c r="D949" s="134"/>
      <c r="E949" s="138"/>
      <c r="F949" s="83"/>
      <c r="G949" s="83"/>
      <c r="H949" s="83"/>
      <c r="I949" s="83"/>
      <c r="J949" s="83"/>
      <c r="K949" s="83"/>
      <c r="L949" s="83"/>
      <c r="M949" s="84"/>
      <c r="N949" s="84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>
      <c r="A950" s="83"/>
      <c r="B950" s="83"/>
      <c r="C950" s="83"/>
      <c r="D950" s="134"/>
      <c r="E950" s="138"/>
      <c r="F950" s="83"/>
      <c r="G950" s="83"/>
      <c r="H950" s="83"/>
      <c r="I950" s="83"/>
      <c r="J950" s="83"/>
      <c r="K950" s="83"/>
      <c r="L950" s="83"/>
      <c r="M950" s="84"/>
      <c r="N950" s="84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>
      <c r="A951" s="83"/>
      <c r="B951" s="83"/>
      <c r="C951" s="83"/>
      <c r="D951" s="134"/>
      <c r="E951" s="138"/>
      <c r="F951" s="83"/>
      <c r="G951" s="83"/>
      <c r="H951" s="83"/>
      <c r="I951" s="83"/>
      <c r="J951" s="83"/>
      <c r="K951" s="83"/>
      <c r="L951" s="83"/>
      <c r="M951" s="84"/>
      <c r="N951" s="84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>
      <c r="A952" s="83"/>
      <c r="B952" s="83"/>
      <c r="C952" s="83"/>
      <c r="D952" s="134"/>
      <c r="E952" s="138"/>
      <c r="F952" s="83"/>
      <c r="G952" s="83"/>
      <c r="H952" s="83"/>
      <c r="I952" s="83"/>
      <c r="J952" s="83"/>
      <c r="K952" s="83"/>
      <c r="L952" s="83"/>
      <c r="M952" s="84"/>
      <c r="N952" s="84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>
      <c r="A953" s="83"/>
      <c r="B953" s="83"/>
      <c r="C953" s="83"/>
      <c r="D953" s="134"/>
      <c r="E953" s="138"/>
      <c r="F953" s="83"/>
      <c r="G953" s="83"/>
      <c r="H953" s="83"/>
      <c r="I953" s="83"/>
      <c r="J953" s="83"/>
      <c r="K953" s="83"/>
      <c r="L953" s="83"/>
      <c r="M953" s="84"/>
      <c r="N953" s="84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>
      <c r="A954" s="83"/>
      <c r="B954" s="83"/>
      <c r="C954" s="83"/>
      <c r="D954" s="134"/>
      <c r="E954" s="138"/>
      <c r="F954" s="83"/>
      <c r="G954" s="83"/>
      <c r="H954" s="83"/>
      <c r="I954" s="83"/>
      <c r="J954" s="83"/>
      <c r="K954" s="83"/>
      <c r="L954" s="83"/>
      <c r="M954" s="84"/>
      <c r="N954" s="84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>
      <c r="A955" s="83"/>
      <c r="B955" s="83"/>
      <c r="C955" s="83"/>
      <c r="D955" s="134"/>
      <c r="E955" s="138"/>
      <c r="F955" s="83"/>
      <c r="G955" s="83"/>
      <c r="H955" s="83"/>
      <c r="I955" s="83"/>
      <c r="J955" s="83"/>
      <c r="K955" s="83"/>
      <c r="L955" s="83"/>
      <c r="M955" s="84"/>
      <c r="N955" s="84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>
      <c r="A956" s="83"/>
      <c r="B956" s="83"/>
      <c r="C956" s="83"/>
      <c r="D956" s="134"/>
      <c r="E956" s="138"/>
      <c r="F956" s="83"/>
      <c r="G956" s="83"/>
      <c r="H956" s="83"/>
      <c r="I956" s="83"/>
      <c r="J956" s="83"/>
      <c r="K956" s="83"/>
      <c r="L956" s="83"/>
      <c r="M956" s="84"/>
      <c r="N956" s="84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>
      <c r="A957" s="83"/>
      <c r="B957" s="83"/>
      <c r="C957" s="83"/>
      <c r="D957" s="134"/>
      <c r="E957" s="138"/>
      <c r="F957" s="83"/>
      <c r="G957" s="83"/>
      <c r="H957" s="83"/>
      <c r="I957" s="83"/>
      <c r="J957" s="83"/>
      <c r="K957" s="83"/>
      <c r="L957" s="83"/>
      <c r="M957" s="84"/>
      <c r="N957" s="84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>
      <c r="A958" s="83"/>
      <c r="B958" s="83"/>
      <c r="C958" s="83"/>
      <c r="D958" s="134"/>
      <c r="E958" s="138"/>
      <c r="F958" s="83"/>
      <c r="G958" s="83"/>
      <c r="H958" s="83"/>
      <c r="I958" s="83"/>
      <c r="J958" s="83"/>
      <c r="K958" s="83"/>
      <c r="L958" s="83"/>
      <c r="M958" s="84"/>
      <c r="N958" s="84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>
      <c r="A959" s="83"/>
      <c r="B959" s="83"/>
      <c r="C959" s="83"/>
      <c r="D959" s="134"/>
      <c r="E959" s="138"/>
      <c r="F959" s="83"/>
      <c r="G959" s="83"/>
      <c r="H959" s="83"/>
      <c r="I959" s="83"/>
      <c r="J959" s="83"/>
      <c r="K959" s="83"/>
      <c r="L959" s="83"/>
      <c r="M959" s="84"/>
      <c r="N959" s="84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>
      <c r="A960" s="83"/>
      <c r="B960" s="83"/>
      <c r="C960" s="83"/>
      <c r="D960" s="134"/>
      <c r="E960" s="138"/>
      <c r="F960" s="83"/>
      <c r="G960" s="83"/>
      <c r="H960" s="83"/>
      <c r="I960" s="83"/>
      <c r="J960" s="83"/>
      <c r="K960" s="83"/>
      <c r="L960" s="83"/>
      <c r="M960" s="84"/>
      <c r="N960" s="84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>
      <c r="A961" s="83"/>
      <c r="B961" s="83"/>
      <c r="C961" s="83"/>
      <c r="D961" s="134"/>
      <c r="E961" s="138"/>
      <c r="F961" s="83"/>
      <c r="G961" s="83"/>
      <c r="H961" s="83"/>
      <c r="I961" s="83"/>
      <c r="J961" s="83"/>
      <c r="K961" s="83"/>
      <c r="L961" s="83"/>
      <c r="M961" s="84"/>
      <c r="N961" s="84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>
      <c r="A962" s="83"/>
      <c r="B962" s="83"/>
      <c r="C962" s="83"/>
      <c r="D962" s="134"/>
      <c r="E962" s="138"/>
      <c r="F962" s="83"/>
      <c r="G962" s="83"/>
      <c r="H962" s="83"/>
      <c r="I962" s="83"/>
      <c r="J962" s="83"/>
      <c r="K962" s="83"/>
      <c r="L962" s="83"/>
      <c r="M962" s="84"/>
      <c r="N962" s="84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>
      <c r="A963" s="83"/>
      <c r="B963" s="83"/>
      <c r="C963" s="83"/>
      <c r="D963" s="134"/>
      <c r="E963" s="138"/>
      <c r="F963" s="83"/>
      <c r="G963" s="83"/>
      <c r="H963" s="83"/>
      <c r="I963" s="83"/>
      <c r="J963" s="83"/>
      <c r="K963" s="83"/>
      <c r="L963" s="83"/>
      <c r="M963" s="84"/>
      <c r="N963" s="84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>
      <c r="A964" s="83"/>
      <c r="B964" s="83"/>
      <c r="C964" s="83"/>
      <c r="D964" s="134"/>
      <c r="E964" s="138"/>
      <c r="F964" s="83"/>
      <c r="G964" s="83"/>
      <c r="H964" s="83"/>
      <c r="I964" s="83"/>
      <c r="J964" s="83"/>
      <c r="K964" s="83"/>
      <c r="L964" s="83"/>
      <c r="M964" s="84"/>
      <c r="N964" s="84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>
      <c r="A965" s="83"/>
      <c r="B965" s="83"/>
      <c r="C965" s="83"/>
      <c r="D965" s="134"/>
      <c r="E965" s="138"/>
      <c r="F965" s="83"/>
      <c r="G965" s="83"/>
      <c r="H965" s="83"/>
      <c r="I965" s="83"/>
      <c r="J965" s="83"/>
      <c r="K965" s="83"/>
      <c r="L965" s="83"/>
      <c r="M965" s="84"/>
      <c r="N965" s="84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>
      <c r="A966" s="83"/>
      <c r="B966" s="83"/>
      <c r="C966" s="83"/>
      <c r="D966" s="134"/>
      <c r="E966" s="138"/>
      <c r="F966" s="83"/>
      <c r="G966" s="83"/>
      <c r="H966" s="83"/>
      <c r="I966" s="83"/>
      <c r="J966" s="83"/>
      <c r="K966" s="83"/>
      <c r="L966" s="83"/>
      <c r="M966" s="84"/>
      <c r="N966" s="84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>
      <c r="A967" s="83"/>
      <c r="B967" s="83"/>
      <c r="C967" s="83"/>
      <c r="D967" s="134"/>
      <c r="E967" s="138"/>
      <c r="F967" s="83"/>
      <c r="G967" s="83"/>
      <c r="H967" s="83"/>
      <c r="I967" s="83"/>
      <c r="J967" s="83"/>
      <c r="K967" s="83"/>
      <c r="L967" s="83"/>
      <c r="M967" s="84"/>
      <c r="N967" s="84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>
      <c r="A968" s="83"/>
      <c r="B968" s="83"/>
      <c r="C968" s="83"/>
      <c r="D968" s="134"/>
      <c r="E968" s="138"/>
      <c r="F968" s="83"/>
      <c r="G968" s="83"/>
      <c r="H968" s="83"/>
      <c r="I968" s="83"/>
      <c r="J968" s="83"/>
      <c r="K968" s="83"/>
      <c r="L968" s="83"/>
      <c r="M968" s="84"/>
      <c r="N968" s="84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>
      <c r="A969" s="83"/>
      <c r="B969" s="83"/>
      <c r="C969" s="83"/>
      <c r="D969" s="134"/>
      <c r="E969" s="138"/>
      <c r="F969" s="83"/>
      <c r="G969" s="83"/>
      <c r="H969" s="83"/>
      <c r="I969" s="83"/>
      <c r="J969" s="83"/>
      <c r="K969" s="83"/>
      <c r="L969" s="83"/>
      <c r="M969" s="84"/>
      <c r="N969" s="84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>
      <c r="A970" s="83"/>
      <c r="B970" s="83"/>
      <c r="C970" s="83"/>
      <c r="D970" s="134"/>
      <c r="E970" s="138"/>
      <c r="F970" s="83"/>
      <c r="G970" s="83"/>
      <c r="H970" s="83"/>
      <c r="I970" s="83"/>
      <c r="J970" s="83"/>
      <c r="K970" s="83"/>
      <c r="L970" s="83"/>
      <c r="M970" s="84"/>
      <c r="N970" s="84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>
      <c r="A971" s="83"/>
      <c r="B971" s="83"/>
      <c r="C971" s="83"/>
      <c r="D971" s="134"/>
      <c r="E971" s="138"/>
      <c r="F971" s="83"/>
      <c r="G971" s="83"/>
      <c r="H971" s="83"/>
      <c r="I971" s="83"/>
      <c r="J971" s="83"/>
      <c r="K971" s="83"/>
      <c r="L971" s="83"/>
      <c r="M971" s="84"/>
      <c r="N971" s="84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>
      <c r="A972" s="83"/>
      <c r="B972" s="83"/>
      <c r="C972" s="83"/>
      <c r="D972" s="134"/>
      <c r="E972" s="138"/>
      <c r="F972" s="83"/>
      <c r="G972" s="83"/>
      <c r="H972" s="83"/>
      <c r="I972" s="83"/>
      <c r="J972" s="83"/>
      <c r="K972" s="83"/>
      <c r="L972" s="83"/>
      <c r="M972" s="84"/>
      <c r="N972" s="84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>
      <c r="A973" s="83"/>
      <c r="B973" s="83"/>
      <c r="C973" s="83"/>
      <c r="D973" s="134"/>
      <c r="E973" s="138"/>
      <c r="F973" s="83"/>
      <c r="G973" s="83"/>
      <c r="H973" s="83"/>
      <c r="I973" s="83"/>
      <c r="J973" s="83"/>
      <c r="K973" s="83"/>
      <c r="L973" s="83"/>
      <c r="M973" s="84"/>
      <c r="N973" s="84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>
      <c r="A974" s="83"/>
      <c r="B974" s="83"/>
      <c r="C974" s="83"/>
      <c r="D974" s="134"/>
      <c r="E974" s="138"/>
      <c r="F974" s="83"/>
      <c r="G974" s="83"/>
      <c r="H974" s="83"/>
      <c r="I974" s="83"/>
      <c r="J974" s="83"/>
      <c r="K974" s="83"/>
      <c r="L974" s="83"/>
      <c r="M974" s="84"/>
      <c r="N974" s="84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>
      <c r="A975" s="83"/>
      <c r="B975" s="83"/>
      <c r="C975" s="83"/>
      <c r="D975" s="134"/>
      <c r="E975" s="138"/>
      <c r="F975" s="83"/>
      <c r="G975" s="83"/>
      <c r="H975" s="83"/>
      <c r="I975" s="83"/>
      <c r="J975" s="83"/>
      <c r="K975" s="83"/>
      <c r="L975" s="83"/>
      <c r="M975" s="84"/>
      <c r="N975" s="84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>
      <c r="A976" s="83"/>
      <c r="B976" s="83"/>
      <c r="C976" s="83"/>
      <c r="D976" s="134"/>
      <c r="E976" s="138"/>
      <c r="F976" s="83"/>
      <c r="G976" s="83"/>
      <c r="H976" s="83"/>
      <c r="I976" s="83"/>
      <c r="J976" s="83"/>
      <c r="K976" s="83"/>
      <c r="L976" s="83"/>
      <c r="M976" s="84"/>
      <c r="N976" s="84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>
      <c r="A977" s="83"/>
      <c r="B977" s="83"/>
      <c r="C977" s="83"/>
      <c r="D977" s="134"/>
      <c r="E977" s="138"/>
      <c r="F977" s="83"/>
      <c r="G977" s="83"/>
      <c r="H977" s="83"/>
      <c r="I977" s="83"/>
      <c r="J977" s="83"/>
      <c r="K977" s="83"/>
      <c r="L977" s="83"/>
      <c r="M977" s="84"/>
      <c r="N977" s="84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>
      <c r="A978" s="83"/>
      <c r="B978" s="83"/>
      <c r="C978" s="83"/>
      <c r="D978" s="134"/>
      <c r="E978" s="138"/>
      <c r="F978" s="83"/>
      <c r="G978" s="83"/>
      <c r="H978" s="83"/>
      <c r="I978" s="83"/>
      <c r="J978" s="83"/>
      <c r="K978" s="83"/>
      <c r="L978" s="83"/>
      <c r="M978" s="84"/>
      <c r="N978" s="84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>
      <c r="A979" s="83"/>
      <c r="B979" s="83"/>
      <c r="C979" s="83"/>
      <c r="D979" s="134"/>
      <c r="E979" s="138"/>
      <c r="F979" s="83"/>
      <c r="G979" s="83"/>
      <c r="H979" s="83"/>
      <c r="I979" s="83"/>
      <c r="J979" s="83"/>
      <c r="K979" s="83"/>
      <c r="L979" s="83"/>
      <c r="M979" s="84"/>
      <c r="N979" s="84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>
      <c r="A980" s="83"/>
      <c r="B980" s="83"/>
      <c r="C980" s="83"/>
      <c r="D980" s="134"/>
      <c r="E980" s="138"/>
      <c r="F980" s="83"/>
      <c r="G980" s="83"/>
      <c r="H980" s="83"/>
      <c r="I980" s="83"/>
      <c r="J980" s="83"/>
      <c r="K980" s="83"/>
      <c r="L980" s="83"/>
      <c r="M980" s="84"/>
      <c r="N980" s="84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>
      <c r="D981" s="140"/>
      <c r="E981" s="141"/>
      <c r="M981" s="142"/>
      <c r="N981" s="142"/>
    </row>
    <row r="982">
      <c r="D982" s="140"/>
      <c r="E982" s="141"/>
      <c r="M982" s="142"/>
      <c r="N982" s="142"/>
    </row>
    <row r="983">
      <c r="D983" s="140"/>
      <c r="E983" s="141"/>
      <c r="M983" s="142"/>
      <c r="N983" s="142"/>
    </row>
    <row r="984">
      <c r="D984" s="140"/>
      <c r="E984" s="141"/>
      <c r="M984" s="142"/>
      <c r="N984" s="142"/>
    </row>
    <row r="985">
      <c r="D985" s="140"/>
      <c r="E985" s="141"/>
      <c r="M985" s="142"/>
      <c r="N985" s="142"/>
    </row>
    <row r="986">
      <c r="D986" s="140"/>
      <c r="E986" s="141"/>
      <c r="M986" s="142"/>
      <c r="N986" s="142"/>
    </row>
    <row r="987">
      <c r="D987" s="140"/>
      <c r="E987" s="141"/>
      <c r="M987" s="142"/>
      <c r="N987" s="142"/>
    </row>
    <row r="988">
      <c r="D988" s="140"/>
      <c r="E988" s="141"/>
      <c r="M988" s="142"/>
      <c r="N988" s="142"/>
    </row>
    <row r="989">
      <c r="D989" s="140"/>
      <c r="E989" s="141"/>
      <c r="M989" s="142"/>
      <c r="N989" s="142"/>
    </row>
    <row r="990">
      <c r="D990" s="140"/>
      <c r="E990" s="141"/>
      <c r="M990" s="142"/>
      <c r="N990" s="142"/>
    </row>
    <row r="991">
      <c r="D991" s="140"/>
      <c r="E991" s="141"/>
      <c r="M991" s="142"/>
      <c r="N991" s="142"/>
    </row>
    <row r="992">
      <c r="D992" s="140"/>
      <c r="E992" s="141"/>
      <c r="M992" s="142"/>
      <c r="N992" s="142"/>
    </row>
    <row r="993">
      <c r="D993" s="140"/>
      <c r="E993" s="141"/>
      <c r="M993" s="142"/>
      <c r="N993" s="142"/>
    </row>
    <row r="994">
      <c r="D994" s="140"/>
      <c r="E994" s="141"/>
      <c r="M994" s="142"/>
      <c r="N994" s="142"/>
    </row>
    <row r="995">
      <c r="D995" s="140"/>
      <c r="E995" s="141"/>
      <c r="M995" s="142"/>
      <c r="N995" s="142"/>
    </row>
    <row r="996">
      <c r="D996" s="140"/>
      <c r="E996" s="141"/>
      <c r="M996" s="142"/>
      <c r="N996" s="142"/>
    </row>
    <row r="997">
      <c r="D997" s="140"/>
      <c r="E997" s="141"/>
      <c r="M997" s="142"/>
      <c r="N997" s="142"/>
    </row>
    <row r="998">
      <c r="D998" s="140"/>
      <c r="E998" s="141"/>
      <c r="M998" s="142"/>
      <c r="N998" s="142"/>
    </row>
    <row r="999">
      <c r="D999" s="140"/>
      <c r="E999" s="141"/>
      <c r="M999" s="142"/>
      <c r="N999" s="142"/>
    </row>
    <row r="1000">
      <c r="D1000" s="140"/>
      <c r="E1000" s="141"/>
      <c r="M1000" s="142"/>
      <c r="N1000" s="142"/>
    </row>
    <row r="1001">
      <c r="D1001" s="140"/>
      <c r="E1001" s="141"/>
      <c r="M1001" s="142"/>
      <c r="N1001" s="142"/>
    </row>
    <row r="1002">
      <c r="D1002" s="140"/>
      <c r="E1002" s="141"/>
      <c r="M1002" s="142"/>
      <c r="N1002" s="14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7.5"/>
    <col customWidth="1" min="2" max="2" width="39.0"/>
    <col customWidth="1" min="3" max="3" width="51.38"/>
    <col customWidth="1" min="4" max="4" width="26.0"/>
    <col customWidth="1" min="5" max="5" width="23.75"/>
    <col customWidth="1" min="6" max="6" width="26.38"/>
    <col customWidth="1" min="7" max="7" width="23.63"/>
    <col customWidth="1" min="8" max="8" width="23.5"/>
    <col customWidth="1" min="9" max="9" width="23.13"/>
  </cols>
  <sheetData>
    <row r="1" ht="26.25" customHeight="1">
      <c r="A1" s="143" t="s">
        <v>151</v>
      </c>
      <c r="B1" s="144" t="s">
        <v>152</v>
      </c>
      <c r="C1" s="145" t="s">
        <v>153</v>
      </c>
      <c r="D1" s="143" t="s">
        <v>154</v>
      </c>
      <c r="E1" s="143" t="s">
        <v>155</v>
      </c>
      <c r="F1" s="143" t="s">
        <v>156</v>
      </c>
      <c r="G1" s="143" t="s">
        <v>157</v>
      </c>
      <c r="H1" s="143" t="s">
        <v>158</v>
      </c>
      <c r="I1" s="143" t="s">
        <v>159</v>
      </c>
    </row>
    <row r="2">
      <c r="A2" s="146"/>
      <c r="B2" s="147"/>
      <c r="C2" s="148"/>
      <c r="D2" s="146"/>
      <c r="E2" s="146"/>
      <c r="F2" s="146"/>
      <c r="G2" s="146"/>
      <c r="H2" s="146"/>
      <c r="I2" s="146"/>
    </row>
    <row r="3" hidden="1">
      <c r="A3" s="149" t="s">
        <v>160</v>
      </c>
      <c r="B3" s="150">
        <v>2.148930052E9</v>
      </c>
      <c r="C3" s="151">
        <v>45759.0</v>
      </c>
      <c r="D3" s="149">
        <v>1000.0</v>
      </c>
      <c r="E3" s="149">
        <v>0.0</v>
      </c>
      <c r="F3" s="149" t="s">
        <v>161</v>
      </c>
      <c r="G3" s="146"/>
      <c r="H3" s="146"/>
      <c r="I3" s="146"/>
    </row>
    <row r="4" hidden="1">
      <c r="A4" s="149" t="s">
        <v>162</v>
      </c>
      <c r="B4" s="150">
        <v>4.696164402E9</v>
      </c>
      <c r="C4" s="152">
        <v>45773.0</v>
      </c>
      <c r="D4" s="149">
        <v>800.0</v>
      </c>
      <c r="E4" s="149">
        <v>0.0</v>
      </c>
      <c r="F4" s="149" t="s">
        <v>163</v>
      </c>
      <c r="G4" s="146"/>
      <c r="H4" s="146"/>
      <c r="I4" s="146"/>
    </row>
    <row r="5" hidden="1">
      <c r="A5" s="149" t="s">
        <v>164</v>
      </c>
      <c r="B5" s="150">
        <v>2.145241697E9</v>
      </c>
      <c r="C5" s="152">
        <v>45808.0</v>
      </c>
      <c r="D5" s="149">
        <v>800.0</v>
      </c>
      <c r="E5" s="153">
        <v>0.0</v>
      </c>
      <c r="F5" s="153" t="s">
        <v>165</v>
      </c>
      <c r="G5" s="146"/>
      <c r="H5" s="146"/>
      <c r="I5" s="146"/>
    </row>
    <row r="6">
      <c r="A6" s="149" t="s">
        <v>166</v>
      </c>
      <c r="B6" s="150">
        <v>9.729976556E9</v>
      </c>
      <c r="C6" s="152">
        <v>45815.0</v>
      </c>
      <c r="D6" s="149">
        <v>800.0</v>
      </c>
      <c r="E6" s="149">
        <v>0.0</v>
      </c>
      <c r="F6" s="149" t="s">
        <v>167</v>
      </c>
      <c r="G6" s="146"/>
      <c r="H6" s="146"/>
      <c r="I6" s="146"/>
    </row>
    <row r="7">
      <c r="A7" s="149" t="s">
        <v>168</v>
      </c>
      <c r="B7" s="154"/>
      <c r="C7" s="152">
        <v>45822.0</v>
      </c>
      <c r="D7" s="149">
        <v>500.0</v>
      </c>
      <c r="E7" s="149">
        <v>0.0</v>
      </c>
      <c r="F7" s="155"/>
      <c r="G7" s="146"/>
      <c r="H7" s="146"/>
      <c r="I7" s="146"/>
    </row>
    <row r="8" hidden="1">
      <c r="A8" s="149" t="s">
        <v>169</v>
      </c>
      <c r="B8" s="154"/>
      <c r="C8" s="152">
        <v>45787.0</v>
      </c>
      <c r="D8" s="149">
        <v>600.0</v>
      </c>
      <c r="E8" s="149">
        <v>0.0</v>
      </c>
      <c r="F8" s="155"/>
      <c r="G8" s="146"/>
      <c r="H8" s="146"/>
      <c r="I8" s="146"/>
    </row>
    <row r="9">
      <c r="A9" s="149" t="s">
        <v>170</v>
      </c>
      <c r="B9" s="150">
        <v>2.145058516E9</v>
      </c>
      <c r="C9" s="152">
        <v>45829.0</v>
      </c>
      <c r="D9" s="149">
        <v>800.0</v>
      </c>
      <c r="E9" s="149">
        <v>0.0</v>
      </c>
      <c r="F9" s="149" t="s">
        <v>171</v>
      </c>
      <c r="G9" s="146"/>
      <c r="H9" s="146"/>
      <c r="I9" s="146"/>
    </row>
    <row r="10">
      <c r="A10" s="149" t="s">
        <v>172</v>
      </c>
      <c r="B10" s="150">
        <v>9.724158027E9</v>
      </c>
      <c r="C10" s="152">
        <v>45830.0</v>
      </c>
      <c r="D10" s="149">
        <v>500.0</v>
      </c>
      <c r="E10" s="149">
        <v>0.0</v>
      </c>
      <c r="F10" s="149" t="s">
        <v>173</v>
      </c>
      <c r="G10" s="146"/>
      <c r="H10" s="146"/>
      <c r="I10" s="146"/>
    </row>
    <row r="11">
      <c r="A11" s="149" t="s">
        <v>174</v>
      </c>
      <c r="B11" s="150">
        <v>4.696628118E9</v>
      </c>
      <c r="C11" s="156">
        <v>45843.0</v>
      </c>
      <c r="D11" s="149">
        <v>800.0</v>
      </c>
      <c r="E11" s="149">
        <v>0.0</v>
      </c>
      <c r="F11" s="155"/>
      <c r="G11" s="146"/>
      <c r="H11" s="146"/>
      <c r="I11" s="146"/>
    </row>
    <row r="12">
      <c r="A12" s="149" t="s">
        <v>175</v>
      </c>
      <c r="B12" s="154"/>
      <c r="C12" s="152">
        <v>45844.0</v>
      </c>
      <c r="D12" s="149">
        <v>600.0</v>
      </c>
      <c r="E12" s="149">
        <v>0.0</v>
      </c>
      <c r="F12" s="149" t="s">
        <v>176</v>
      </c>
      <c r="G12" s="146"/>
      <c r="H12" s="146"/>
      <c r="I12" s="146"/>
    </row>
    <row r="13">
      <c r="A13" s="149" t="s">
        <v>177</v>
      </c>
      <c r="B13" s="150">
        <v>2.142073264E9</v>
      </c>
      <c r="C13" s="152">
        <v>45851.0</v>
      </c>
      <c r="D13" s="149">
        <v>500.0</v>
      </c>
      <c r="E13" s="149">
        <v>0.0</v>
      </c>
      <c r="F13" s="155"/>
      <c r="G13" s="146"/>
      <c r="H13" s="146"/>
      <c r="I13" s="146"/>
    </row>
    <row r="14" ht="25.5" customHeight="1">
      <c r="A14" s="149" t="s">
        <v>178</v>
      </c>
      <c r="B14" s="154"/>
      <c r="C14" s="152">
        <v>45892.0</v>
      </c>
      <c r="D14" s="149">
        <v>800.0</v>
      </c>
      <c r="E14" s="149">
        <v>0.0</v>
      </c>
      <c r="F14" s="155"/>
      <c r="G14" s="146"/>
      <c r="H14" s="146"/>
      <c r="I14" s="146"/>
    </row>
    <row r="15">
      <c r="A15" s="149" t="s">
        <v>179</v>
      </c>
      <c r="B15" s="154"/>
      <c r="C15" s="152">
        <v>45899.0</v>
      </c>
      <c r="D15" s="149">
        <v>800.0</v>
      </c>
      <c r="E15" s="149">
        <v>0.0</v>
      </c>
      <c r="F15" s="155"/>
      <c r="G15" s="146"/>
      <c r="H15" s="146"/>
      <c r="I15" s="146"/>
    </row>
    <row r="16">
      <c r="A16" s="149" t="s">
        <v>180</v>
      </c>
      <c r="B16" s="150">
        <v>2.146032651E9</v>
      </c>
      <c r="C16" s="152">
        <v>45906.0</v>
      </c>
      <c r="D16" s="149">
        <v>500.0</v>
      </c>
      <c r="E16" s="149">
        <v>0.0</v>
      </c>
      <c r="F16" s="155"/>
      <c r="G16" s="146"/>
      <c r="H16" s="146"/>
      <c r="I16" s="146"/>
    </row>
    <row r="17">
      <c r="A17" s="149" t="s">
        <v>181</v>
      </c>
      <c r="B17" s="150">
        <v>4.698950967E9</v>
      </c>
      <c r="C17" s="152">
        <v>45702.0</v>
      </c>
      <c r="D17" s="149">
        <v>900.0</v>
      </c>
      <c r="E17" s="149">
        <v>0.0</v>
      </c>
      <c r="F17" s="155"/>
      <c r="G17" s="146"/>
      <c r="H17" s="146"/>
      <c r="I17" s="146"/>
    </row>
    <row r="18">
      <c r="A18" s="149" t="s">
        <v>182</v>
      </c>
      <c r="B18" s="150">
        <v>2.144295251E9</v>
      </c>
      <c r="C18" s="152">
        <v>45997.0</v>
      </c>
      <c r="D18" s="149">
        <v>800.0</v>
      </c>
      <c r="E18" s="155"/>
      <c r="F18" s="149" t="s">
        <v>183</v>
      </c>
      <c r="G18" s="157" t="s">
        <v>184</v>
      </c>
      <c r="H18" s="146"/>
      <c r="I18" s="146"/>
    </row>
    <row r="19">
      <c r="A19" s="155"/>
      <c r="B19" s="150">
        <v>2.14881604E9</v>
      </c>
      <c r="C19" s="152">
        <v>45667.0</v>
      </c>
      <c r="D19" s="149">
        <v>1000.0</v>
      </c>
      <c r="E19" s="149">
        <v>0.0</v>
      </c>
      <c r="F19" s="155"/>
      <c r="G19" s="146"/>
      <c r="H19" s="146"/>
      <c r="I19" s="146"/>
    </row>
    <row r="20">
      <c r="A20" s="158" t="s">
        <v>185</v>
      </c>
      <c r="B20" s="159"/>
      <c r="C20" s="160">
        <v>46102.0</v>
      </c>
      <c r="D20" s="158">
        <v>800.0</v>
      </c>
      <c r="E20" s="161"/>
      <c r="F20" s="158" t="s">
        <v>186</v>
      </c>
      <c r="G20" s="146"/>
      <c r="H20" s="146"/>
      <c r="I20" s="146"/>
    </row>
    <row r="21">
      <c r="A21" s="153" t="s">
        <v>187</v>
      </c>
      <c r="B21" s="162">
        <v>9.723717704E9</v>
      </c>
      <c r="C21" s="163">
        <v>46193.0</v>
      </c>
      <c r="D21" s="164"/>
      <c r="E21" s="153">
        <v>1200.0</v>
      </c>
      <c r="F21" s="164"/>
      <c r="G21" s="146"/>
      <c r="H21" s="146"/>
      <c r="I21" s="146"/>
    </row>
    <row r="22">
      <c r="A22" s="149" t="s">
        <v>188</v>
      </c>
      <c r="B22" s="150">
        <v>9.728249042E9</v>
      </c>
      <c r="C22" s="165">
        <v>46081.0</v>
      </c>
      <c r="D22" s="149">
        <v>1000.0</v>
      </c>
      <c r="E22" s="149">
        <v>0.0</v>
      </c>
      <c r="F22" s="149" t="s">
        <v>189</v>
      </c>
      <c r="G22" s="146"/>
      <c r="H22" s="146"/>
      <c r="I22" s="146"/>
    </row>
    <row r="23">
      <c r="A23" s="149" t="s">
        <v>190</v>
      </c>
      <c r="B23" s="150">
        <v>2.14290679E9</v>
      </c>
      <c r="C23" s="152">
        <v>46074.0</v>
      </c>
      <c r="D23" s="149">
        <v>800.0</v>
      </c>
      <c r="E23" s="149">
        <v>0.0</v>
      </c>
      <c r="F23" s="155"/>
      <c r="G23" s="146"/>
      <c r="H23" s="146"/>
      <c r="I23" s="146"/>
    </row>
    <row r="24">
      <c r="A24" s="158" t="s">
        <v>191</v>
      </c>
      <c r="B24" s="166">
        <v>2.147348365E9</v>
      </c>
      <c r="C24" s="160">
        <v>46186.0</v>
      </c>
      <c r="D24" s="158">
        <v>200.0</v>
      </c>
      <c r="E24" s="158">
        <v>800.0</v>
      </c>
      <c r="F24" s="158" t="s">
        <v>192</v>
      </c>
      <c r="G24" s="146"/>
      <c r="H24" s="146"/>
      <c r="I24" s="146"/>
    </row>
    <row r="25">
      <c r="A25" s="158" t="s">
        <v>193</v>
      </c>
      <c r="B25" s="166">
        <v>2.146060397E9</v>
      </c>
      <c r="C25" s="160">
        <v>46221.0</v>
      </c>
      <c r="D25" s="158">
        <v>150.0</v>
      </c>
      <c r="E25" s="158">
        <v>1050.0</v>
      </c>
      <c r="F25" s="161"/>
      <c r="G25" s="146"/>
      <c r="H25" s="146"/>
      <c r="I25" s="146"/>
    </row>
    <row r="26">
      <c r="A26" s="164"/>
      <c r="B26" s="167"/>
      <c r="C26" s="163">
        <v>46130.0</v>
      </c>
      <c r="D26" s="153">
        <v>200.0</v>
      </c>
      <c r="E26" s="153">
        <v>900.0</v>
      </c>
      <c r="F26" s="164"/>
      <c r="G26" s="146"/>
      <c r="H26" s="146"/>
      <c r="I26" s="146"/>
    </row>
    <row r="27">
      <c r="A27" s="153" t="s">
        <v>194</v>
      </c>
      <c r="B27" s="167"/>
      <c r="C27" s="163">
        <v>46170.0</v>
      </c>
      <c r="D27" s="153">
        <v>500.0</v>
      </c>
      <c r="E27" s="153">
        <v>600.0</v>
      </c>
      <c r="F27" s="153" t="s">
        <v>195</v>
      </c>
      <c r="G27" s="146"/>
      <c r="H27" s="146"/>
      <c r="I27" s="146"/>
    </row>
    <row r="28">
      <c r="A28" s="168" t="s">
        <v>196</v>
      </c>
      <c r="B28" s="169">
        <v>2.149031068E9</v>
      </c>
      <c r="C28" s="170">
        <v>46096.0</v>
      </c>
      <c r="D28" s="168">
        <v>50.0</v>
      </c>
      <c r="E28" s="168">
        <v>850.0</v>
      </c>
      <c r="F28" s="171"/>
      <c r="G28" s="146"/>
      <c r="H28" s="146"/>
      <c r="I28" s="146"/>
    </row>
    <row r="29" ht="25.5" customHeight="1">
      <c r="A29" s="164"/>
      <c r="B29" s="167"/>
      <c r="C29" s="163">
        <v>46101.0</v>
      </c>
      <c r="D29" s="153">
        <v>200.0</v>
      </c>
      <c r="E29" s="164"/>
      <c r="F29" s="153" t="s">
        <v>192</v>
      </c>
      <c r="G29" s="146"/>
      <c r="H29" s="146"/>
      <c r="I29" s="146"/>
    </row>
    <row r="30" ht="27.0" customHeight="1">
      <c r="A30" s="153" t="s">
        <v>197</v>
      </c>
      <c r="B30" s="162">
        <v>2.148083253E9</v>
      </c>
      <c r="C30" s="163">
        <v>46109.0</v>
      </c>
      <c r="D30" s="153">
        <v>100.0</v>
      </c>
      <c r="E30" s="164"/>
      <c r="F30" s="164"/>
      <c r="G30" s="146"/>
      <c r="H30" s="146"/>
      <c r="I30" s="146"/>
    </row>
    <row r="31" ht="28.5" customHeight="1">
      <c r="A31" s="153" t="s">
        <v>198</v>
      </c>
      <c r="B31" s="162">
        <v>9.725376621E9</v>
      </c>
      <c r="C31" s="163">
        <v>46137.0</v>
      </c>
      <c r="D31" s="153">
        <v>100.0</v>
      </c>
      <c r="E31" s="153">
        <v>900.0</v>
      </c>
      <c r="F31" s="164"/>
      <c r="G31" s="146"/>
      <c r="H31" s="146"/>
      <c r="I31" s="146"/>
    </row>
    <row r="32">
      <c r="A32" s="146"/>
      <c r="B32" s="167"/>
      <c r="C32" s="172"/>
      <c r="D32" s="164"/>
      <c r="E32" s="164"/>
      <c r="F32" s="164"/>
      <c r="G32" s="146"/>
      <c r="H32" s="146"/>
      <c r="I32" s="146"/>
    </row>
    <row r="33">
      <c r="A33" s="146"/>
      <c r="B33" s="167"/>
      <c r="C33" s="172"/>
      <c r="D33" s="164"/>
      <c r="E33" s="164"/>
      <c r="F33" s="164"/>
      <c r="G33" s="146"/>
      <c r="H33" s="146"/>
      <c r="I33" s="146"/>
    </row>
    <row r="34">
      <c r="A34" s="146"/>
      <c r="B34" s="167"/>
      <c r="C34" s="172"/>
      <c r="D34" s="164"/>
      <c r="E34" s="164"/>
      <c r="F34" s="164"/>
      <c r="G34" s="146"/>
      <c r="H34" s="146"/>
      <c r="I34" s="146"/>
    </row>
    <row r="35">
      <c r="A35" s="146"/>
      <c r="B35" s="167"/>
      <c r="C35" s="172"/>
      <c r="D35" s="164"/>
      <c r="E35" s="164"/>
      <c r="F35" s="164"/>
      <c r="G35" s="146"/>
      <c r="H35" s="146"/>
      <c r="I35" s="146"/>
    </row>
    <row r="36">
      <c r="A36" s="146"/>
      <c r="B36" s="167"/>
      <c r="C36" s="172"/>
      <c r="D36" s="164"/>
      <c r="E36" s="164"/>
      <c r="F36" s="164"/>
      <c r="G36" s="146"/>
      <c r="H36" s="146"/>
      <c r="I36" s="146"/>
    </row>
    <row r="37">
      <c r="A37" s="146"/>
      <c r="B37" s="167"/>
      <c r="C37" s="172"/>
      <c r="D37" s="164"/>
      <c r="E37" s="164"/>
      <c r="F37" s="164"/>
      <c r="G37" s="146"/>
      <c r="H37" s="146"/>
      <c r="I37" s="146"/>
    </row>
    <row r="38">
      <c r="A38" s="146"/>
      <c r="B38" s="167"/>
      <c r="C38" s="172"/>
      <c r="D38" s="164"/>
      <c r="E38" s="164"/>
      <c r="F38" s="164"/>
      <c r="G38" s="146"/>
      <c r="H38" s="146"/>
      <c r="I38" s="146"/>
    </row>
    <row r="39">
      <c r="A39" s="146"/>
      <c r="B39" s="167"/>
      <c r="C39" s="172"/>
      <c r="D39" s="164"/>
      <c r="E39" s="164"/>
      <c r="F39" s="164"/>
      <c r="G39" s="146"/>
      <c r="H39" s="146"/>
      <c r="I39" s="146"/>
    </row>
    <row r="40">
      <c r="A40" s="146"/>
      <c r="B40" s="147"/>
      <c r="C40" s="172"/>
      <c r="D40" s="164"/>
      <c r="E40" s="164"/>
      <c r="F40" s="164"/>
      <c r="G40" s="146"/>
      <c r="H40" s="146"/>
      <c r="I40" s="146"/>
    </row>
    <row r="41">
      <c r="A41" s="146"/>
      <c r="B41" s="147"/>
      <c r="C41" s="172"/>
      <c r="D41" s="164"/>
      <c r="E41" s="164"/>
      <c r="F41" s="164"/>
      <c r="G41" s="146"/>
      <c r="H41" s="146"/>
      <c r="I41" s="146"/>
    </row>
    <row r="42">
      <c r="A42" s="146"/>
      <c r="B42" s="147"/>
      <c r="C42" s="172"/>
      <c r="D42" s="164"/>
      <c r="E42" s="164"/>
      <c r="F42" s="164"/>
      <c r="G42" s="146"/>
      <c r="H42" s="146"/>
      <c r="I42" s="146"/>
    </row>
    <row r="43">
      <c r="A43" s="146"/>
      <c r="B43" s="147"/>
      <c r="C43" s="172"/>
      <c r="D43" s="164"/>
      <c r="E43" s="164"/>
      <c r="F43" s="164"/>
      <c r="G43" s="146"/>
      <c r="H43" s="146"/>
      <c r="I43" s="146"/>
    </row>
    <row r="44">
      <c r="A44" s="146"/>
      <c r="B44" s="147"/>
      <c r="C44" s="172"/>
      <c r="D44" s="164"/>
      <c r="E44" s="164"/>
      <c r="F44" s="164"/>
      <c r="G44" s="146"/>
      <c r="H44" s="146"/>
      <c r="I44" s="146"/>
    </row>
    <row r="45">
      <c r="A45" s="146"/>
      <c r="B45" s="147"/>
      <c r="C45" s="172"/>
      <c r="D45" s="164"/>
      <c r="E45" s="164"/>
      <c r="F45" s="164"/>
      <c r="G45" s="146"/>
      <c r="H45" s="146"/>
      <c r="I45" s="146"/>
    </row>
    <row r="46">
      <c r="A46" s="146"/>
      <c r="B46" s="147"/>
      <c r="C46" s="172"/>
      <c r="D46" s="164"/>
      <c r="E46" s="164"/>
      <c r="F46" s="164"/>
      <c r="G46" s="146"/>
      <c r="H46" s="146"/>
      <c r="I46" s="146"/>
    </row>
    <row r="47">
      <c r="A47" s="146"/>
      <c r="B47" s="147"/>
      <c r="C47" s="172"/>
      <c r="D47" s="164"/>
      <c r="E47" s="164"/>
      <c r="F47" s="164"/>
      <c r="G47" s="146"/>
      <c r="H47" s="146"/>
      <c r="I47" s="146"/>
    </row>
    <row r="48">
      <c r="A48" s="146"/>
      <c r="B48" s="147"/>
      <c r="C48" s="148"/>
      <c r="D48" s="164"/>
      <c r="E48" s="164"/>
      <c r="F48" s="164"/>
      <c r="G48" s="146"/>
      <c r="H48" s="146"/>
      <c r="I48" s="146"/>
    </row>
    <row r="49">
      <c r="A49" s="146"/>
      <c r="B49" s="147"/>
      <c r="C49" s="148"/>
      <c r="D49" s="146"/>
      <c r="E49" s="164"/>
      <c r="F49" s="164"/>
      <c r="G49" s="146"/>
      <c r="H49" s="146"/>
      <c r="I49" s="146"/>
    </row>
    <row r="50">
      <c r="A50" s="146"/>
      <c r="B50" s="147"/>
      <c r="C50" s="148"/>
      <c r="D50" s="146"/>
      <c r="E50" s="164"/>
      <c r="F50" s="164"/>
      <c r="G50" s="146"/>
      <c r="H50" s="146"/>
      <c r="I50" s="146"/>
    </row>
    <row r="51">
      <c r="A51" s="146"/>
      <c r="B51" s="147"/>
      <c r="C51" s="148"/>
      <c r="D51" s="146"/>
      <c r="E51" s="146"/>
      <c r="F51" s="164"/>
      <c r="G51" s="146"/>
      <c r="H51" s="146"/>
      <c r="I51" s="146"/>
    </row>
    <row r="52">
      <c r="A52" s="146"/>
      <c r="B52" s="147"/>
      <c r="C52" s="148"/>
      <c r="D52" s="146"/>
      <c r="E52" s="146"/>
      <c r="F52" s="146"/>
      <c r="G52" s="146"/>
      <c r="H52" s="146"/>
      <c r="I52" s="146"/>
    </row>
    <row r="53">
      <c r="A53" s="146"/>
      <c r="B53" s="147"/>
      <c r="C53" s="148"/>
      <c r="D53" s="146"/>
      <c r="E53" s="146"/>
      <c r="F53" s="146"/>
      <c r="G53" s="146"/>
      <c r="H53" s="146"/>
      <c r="I53" s="146"/>
    </row>
    <row r="54">
      <c r="A54" s="146"/>
      <c r="B54" s="147"/>
      <c r="C54" s="148"/>
      <c r="D54" s="146"/>
      <c r="E54" s="146"/>
      <c r="F54" s="146"/>
      <c r="G54" s="146"/>
      <c r="H54" s="146"/>
      <c r="I54" s="146"/>
    </row>
    <row r="55">
      <c r="A55" s="146"/>
      <c r="B55" s="147"/>
      <c r="C55" s="148"/>
      <c r="D55" s="146"/>
      <c r="E55" s="146"/>
      <c r="F55" s="146"/>
      <c r="G55" s="146"/>
      <c r="H55" s="146"/>
      <c r="I55" s="146"/>
    </row>
    <row r="56">
      <c r="A56" s="146"/>
      <c r="B56" s="147"/>
      <c r="C56" s="148"/>
      <c r="D56" s="146"/>
      <c r="E56" s="146"/>
      <c r="F56" s="146"/>
      <c r="G56" s="146"/>
      <c r="H56" s="146"/>
      <c r="I56" s="146"/>
    </row>
    <row r="57">
      <c r="A57" s="146"/>
      <c r="B57" s="147"/>
      <c r="C57" s="148"/>
      <c r="D57" s="146"/>
      <c r="E57" s="146"/>
      <c r="F57" s="146"/>
      <c r="G57" s="146"/>
      <c r="H57" s="146"/>
      <c r="I57" s="146"/>
    </row>
    <row r="58">
      <c r="A58" s="146"/>
      <c r="B58" s="147"/>
      <c r="C58" s="148"/>
      <c r="D58" s="146"/>
      <c r="E58" s="146"/>
      <c r="F58" s="146"/>
      <c r="G58" s="146"/>
      <c r="H58" s="146"/>
      <c r="I58" s="146"/>
    </row>
    <row r="59">
      <c r="A59" s="146"/>
      <c r="B59" s="147"/>
      <c r="C59" s="148"/>
      <c r="D59" s="146"/>
      <c r="E59" s="146"/>
      <c r="F59" s="146"/>
      <c r="G59" s="146"/>
      <c r="H59" s="146"/>
      <c r="I59" s="146"/>
    </row>
    <row r="60">
      <c r="A60" s="146"/>
      <c r="B60" s="147"/>
      <c r="C60" s="148"/>
      <c r="D60" s="146"/>
      <c r="E60" s="146"/>
      <c r="F60" s="146"/>
      <c r="G60" s="146"/>
      <c r="H60" s="146"/>
      <c r="I60" s="146"/>
    </row>
    <row r="61">
      <c r="A61" s="146"/>
      <c r="B61" s="147"/>
      <c r="C61" s="148"/>
      <c r="D61" s="146"/>
      <c r="E61" s="146"/>
      <c r="F61" s="146"/>
      <c r="G61" s="146"/>
      <c r="H61" s="146"/>
      <c r="I61" s="146"/>
    </row>
    <row r="62">
      <c r="A62" s="146"/>
      <c r="B62" s="147"/>
      <c r="C62" s="148"/>
      <c r="D62" s="146"/>
      <c r="E62" s="146"/>
      <c r="F62" s="146"/>
      <c r="G62" s="146"/>
      <c r="H62" s="146"/>
      <c r="I62" s="146"/>
    </row>
    <row r="63">
      <c r="A63" s="146"/>
      <c r="B63" s="147"/>
      <c r="C63" s="148"/>
      <c r="D63" s="146"/>
      <c r="E63" s="146"/>
      <c r="F63" s="146"/>
      <c r="G63" s="146"/>
      <c r="H63" s="146"/>
      <c r="I63" s="146"/>
    </row>
    <row r="64">
      <c r="A64" s="146"/>
      <c r="B64" s="147"/>
      <c r="C64" s="148"/>
      <c r="D64" s="146"/>
      <c r="E64" s="146"/>
      <c r="F64" s="146"/>
      <c r="G64" s="146"/>
      <c r="H64" s="146"/>
      <c r="I64" s="146"/>
    </row>
    <row r="65">
      <c r="A65" s="146"/>
      <c r="B65" s="147"/>
      <c r="C65" s="148"/>
      <c r="D65" s="146"/>
      <c r="E65" s="146"/>
      <c r="F65" s="146"/>
      <c r="G65" s="146"/>
      <c r="H65" s="146"/>
      <c r="I65" s="146"/>
    </row>
    <row r="66">
      <c r="A66" s="146"/>
      <c r="B66" s="147"/>
      <c r="C66" s="148"/>
      <c r="D66" s="146"/>
      <c r="E66" s="146"/>
      <c r="F66" s="146"/>
      <c r="G66" s="146"/>
      <c r="H66" s="146"/>
      <c r="I66" s="146"/>
    </row>
    <row r="67">
      <c r="A67" s="146"/>
      <c r="B67" s="147"/>
      <c r="C67" s="148"/>
      <c r="D67" s="146"/>
      <c r="E67" s="146"/>
      <c r="F67" s="146"/>
      <c r="G67" s="146"/>
      <c r="H67" s="146"/>
      <c r="I67" s="146"/>
    </row>
    <row r="68">
      <c r="A68" s="146"/>
      <c r="B68" s="147"/>
      <c r="C68" s="148"/>
      <c r="D68" s="146"/>
      <c r="E68" s="146"/>
      <c r="F68" s="146"/>
      <c r="G68" s="146"/>
      <c r="H68" s="146"/>
      <c r="I68" s="146"/>
    </row>
    <row r="69">
      <c r="A69" s="146"/>
      <c r="B69" s="147"/>
      <c r="C69" s="148"/>
      <c r="D69" s="146"/>
      <c r="E69" s="146"/>
      <c r="F69" s="146"/>
      <c r="G69" s="146"/>
      <c r="H69" s="146"/>
      <c r="I69" s="146"/>
    </row>
    <row r="70">
      <c r="A70" s="146"/>
      <c r="B70" s="147"/>
      <c r="C70" s="148"/>
      <c r="D70" s="146"/>
      <c r="E70" s="146"/>
      <c r="F70" s="146"/>
      <c r="G70" s="146"/>
      <c r="H70" s="146"/>
      <c r="I70" s="146"/>
    </row>
    <row r="71">
      <c r="A71" s="146"/>
      <c r="B71" s="147"/>
      <c r="C71" s="148"/>
      <c r="D71" s="146"/>
      <c r="E71" s="146"/>
      <c r="F71" s="146"/>
      <c r="G71" s="146"/>
      <c r="H71" s="146"/>
      <c r="I71" s="146"/>
    </row>
    <row r="72">
      <c r="A72" s="146"/>
      <c r="B72" s="147"/>
      <c r="C72" s="148"/>
      <c r="D72" s="146"/>
      <c r="E72" s="146"/>
      <c r="F72" s="146"/>
      <c r="G72" s="146"/>
      <c r="H72" s="146"/>
      <c r="I72" s="146"/>
    </row>
    <row r="73">
      <c r="A73" s="146"/>
      <c r="B73" s="147"/>
      <c r="C73" s="148"/>
      <c r="D73" s="146"/>
      <c r="E73" s="146"/>
      <c r="F73" s="146"/>
      <c r="G73" s="146"/>
      <c r="H73" s="146"/>
      <c r="I73" s="146"/>
    </row>
    <row r="74">
      <c r="A74" s="146"/>
      <c r="B74" s="147"/>
      <c r="C74" s="148"/>
      <c r="D74" s="146"/>
      <c r="E74" s="146"/>
      <c r="F74" s="146"/>
      <c r="G74" s="146"/>
      <c r="H74" s="146"/>
      <c r="I74" s="146"/>
    </row>
    <row r="75">
      <c r="A75" s="146"/>
      <c r="B75" s="147"/>
      <c r="C75" s="148"/>
      <c r="D75" s="146"/>
      <c r="E75" s="146"/>
      <c r="F75" s="146"/>
      <c r="G75" s="146"/>
      <c r="H75" s="146"/>
      <c r="I75" s="146"/>
    </row>
    <row r="76">
      <c r="A76" s="146"/>
      <c r="B76" s="147"/>
      <c r="C76" s="148"/>
      <c r="D76" s="146"/>
      <c r="E76" s="146"/>
      <c r="F76" s="146"/>
      <c r="G76" s="146"/>
      <c r="H76" s="146"/>
      <c r="I76" s="146"/>
    </row>
    <row r="77">
      <c r="A77" s="146"/>
      <c r="B77" s="147"/>
      <c r="C77" s="148"/>
      <c r="D77" s="146"/>
      <c r="E77" s="146"/>
      <c r="F77" s="146"/>
      <c r="G77" s="146"/>
      <c r="H77" s="146"/>
      <c r="I77" s="146"/>
    </row>
    <row r="78">
      <c r="A78" s="146"/>
      <c r="B78" s="147"/>
      <c r="C78" s="148"/>
      <c r="D78" s="146"/>
      <c r="E78" s="146"/>
      <c r="F78" s="146"/>
      <c r="G78" s="146"/>
      <c r="H78" s="146"/>
      <c r="I78" s="146"/>
    </row>
    <row r="79">
      <c r="A79" s="146"/>
      <c r="B79" s="147"/>
      <c r="C79" s="148"/>
      <c r="D79" s="146"/>
      <c r="E79" s="146"/>
      <c r="F79" s="146"/>
      <c r="G79" s="146"/>
      <c r="H79" s="146"/>
      <c r="I79" s="146"/>
    </row>
    <row r="80">
      <c r="A80" s="146"/>
      <c r="B80" s="147"/>
      <c r="C80" s="148"/>
      <c r="D80" s="146"/>
      <c r="E80" s="146"/>
      <c r="F80" s="146"/>
      <c r="G80" s="146"/>
      <c r="H80" s="146"/>
      <c r="I80" s="146"/>
    </row>
    <row r="81">
      <c r="A81" s="146"/>
      <c r="B81" s="147"/>
      <c r="C81" s="148"/>
      <c r="D81" s="146"/>
      <c r="E81" s="146"/>
      <c r="F81" s="146"/>
      <c r="G81" s="146"/>
      <c r="H81" s="146"/>
      <c r="I81" s="146"/>
    </row>
    <row r="82">
      <c r="A82" s="146"/>
      <c r="B82" s="147"/>
      <c r="C82" s="148"/>
      <c r="D82" s="146"/>
      <c r="E82" s="146"/>
      <c r="F82" s="146"/>
      <c r="G82" s="146"/>
      <c r="H82" s="146"/>
      <c r="I82" s="146"/>
    </row>
    <row r="83">
      <c r="A83" s="146"/>
      <c r="B83" s="147"/>
      <c r="C83" s="148"/>
      <c r="D83" s="146"/>
      <c r="E83" s="146"/>
      <c r="F83" s="146"/>
      <c r="G83" s="146"/>
      <c r="H83" s="146"/>
      <c r="I83" s="146"/>
    </row>
    <row r="84">
      <c r="A84" s="146"/>
      <c r="B84" s="147"/>
      <c r="C84" s="148"/>
      <c r="D84" s="146"/>
      <c r="E84" s="146"/>
      <c r="F84" s="146"/>
      <c r="G84" s="146"/>
      <c r="H84" s="146"/>
      <c r="I84" s="146"/>
    </row>
    <row r="85">
      <c r="A85" s="146"/>
      <c r="B85" s="147"/>
      <c r="C85" s="148"/>
      <c r="D85" s="146"/>
      <c r="E85" s="146"/>
      <c r="F85" s="146"/>
      <c r="G85" s="146"/>
      <c r="H85" s="146"/>
      <c r="I85" s="146"/>
    </row>
    <row r="86">
      <c r="A86" s="146"/>
      <c r="B86" s="147"/>
      <c r="C86" s="148"/>
      <c r="D86" s="146"/>
      <c r="E86" s="146"/>
      <c r="F86" s="146"/>
      <c r="G86" s="146"/>
      <c r="H86" s="146"/>
      <c r="I86" s="146"/>
    </row>
    <row r="87">
      <c r="A87" s="146"/>
      <c r="B87" s="147"/>
      <c r="C87" s="148"/>
      <c r="D87" s="146"/>
      <c r="E87" s="146"/>
      <c r="F87" s="146"/>
      <c r="G87" s="146"/>
      <c r="H87" s="146"/>
      <c r="I87" s="146"/>
    </row>
    <row r="88">
      <c r="A88" s="146"/>
      <c r="B88" s="147"/>
      <c r="C88" s="148"/>
      <c r="D88" s="146"/>
      <c r="E88" s="146"/>
      <c r="F88" s="146"/>
      <c r="G88" s="146"/>
      <c r="H88" s="146"/>
      <c r="I88" s="146"/>
    </row>
    <row r="89">
      <c r="A89" s="146"/>
      <c r="B89" s="147"/>
      <c r="C89" s="148"/>
      <c r="D89" s="146"/>
      <c r="E89" s="146"/>
      <c r="F89" s="146"/>
      <c r="G89" s="146"/>
      <c r="H89" s="146"/>
      <c r="I89" s="146"/>
    </row>
    <row r="90">
      <c r="A90" s="146"/>
      <c r="B90" s="147"/>
      <c r="C90" s="148"/>
      <c r="D90" s="146"/>
      <c r="E90" s="146"/>
      <c r="F90" s="146"/>
      <c r="G90" s="146"/>
      <c r="H90" s="146"/>
      <c r="I90" s="146"/>
    </row>
    <row r="91">
      <c r="A91" s="146"/>
      <c r="B91" s="147"/>
      <c r="C91" s="148"/>
      <c r="D91" s="146"/>
      <c r="E91" s="146"/>
      <c r="F91" s="146"/>
      <c r="G91" s="146"/>
      <c r="H91" s="146"/>
      <c r="I91" s="146"/>
    </row>
    <row r="92">
      <c r="A92" s="146"/>
      <c r="B92" s="147"/>
      <c r="C92" s="148"/>
      <c r="D92" s="146"/>
      <c r="E92" s="146"/>
      <c r="F92" s="146"/>
      <c r="G92" s="146"/>
      <c r="H92" s="146"/>
      <c r="I92" s="146"/>
    </row>
    <row r="93">
      <c r="A93" s="146"/>
      <c r="B93" s="147"/>
      <c r="C93" s="148"/>
      <c r="D93" s="146"/>
      <c r="E93" s="146"/>
      <c r="F93" s="146"/>
      <c r="G93" s="146"/>
      <c r="H93" s="146"/>
      <c r="I93" s="146"/>
    </row>
    <row r="94">
      <c r="A94" s="146"/>
      <c r="B94" s="147"/>
      <c r="C94" s="148"/>
      <c r="D94" s="146"/>
      <c r="E94" s="146"/>
      <c r="F94" s="146"/>
      <c r="G94" s="146"/>
      <c r="H94" s="146"/>
      <c r="I94" s="146"/>
    </row>
    <row r="95">
      <c r="A95" s="146"/>
      <c r="B95" s="147"/>
      <c r="C95" s="148"/>
      <c r="D95" s="146"/>
      <c r="E95" s="146"/>
      <c r="F95" s="146"/>
      <c r="G95" s="146"/>
      <c r="H95" s="146"/>
      <c r="I95" s="146"/>
    </row>
    <row r="96">
      <c r="A96" s="146"/>
      <c r="B96" s="147"/>
      <c r="C96" s="148"/>
      <c r="D96" s="146"/>
      <c r="E96" s="146"/>
      <c r="F96" s="146"/>
      <c r="G96" s="146"/>
      <c r="H96" s="146"/>
      <c r="I96" s="146"/>
    </row>
    <row r="97">
      <c r="A97" s="146"/>
      <c r="B97" s="147"/>
      <c r="C97" s="148"/>
      <c r="D97" s="146"/>
      <c r="E97" s="146"/>
      <c r="F97" s="146"/>
      <c r="G97" s="146"/>
      <c r="H97" s="146"/>
      <c r="I97" s="146"/>
    </row>
    <row r="98">
      <c r="A98" s="146"/>
      <c r="B98" s="147"/>
      <c r="C98" s="148"/>
      <c r="D98" s="146"/>
      <c r="E98" s="146"/>
      <c r="F98" s="146"/>
      <c r="G98" s="146"/>
      <c r="H98" s="146"/>
      <c r="I98" s="146"/>
    </row>
    <row r="99">
      <c r="A99" s="146"/>
      <c r="B99" s="147"/>
      <c r="C99" s="148"/>
      <c r="D99" s="146"/>
      <c r="E99" s="146"/>
      <c r="F99" s="146"/>
      <c r="G99" s="146"/>
      <c r="H99" s="146"/>
      <c r="I99" s="146"/>
    </row>
    <row r="100">
      <c r="A100" s="146"/>
      <c r="B100" s="147"/>
      <c r="C100" s="148"/>
      <c r="D100" s="146"/>
      <c r="E100" s="146"/>
      <c r="F100" s="146"/>
      <c r="G100" s="146"/>
      <c r="H100" s="146"/>
      <c r="I100" s="146"/>
    </row>
    <row r="101">
      <c r="A101" s="146"/>
      <c r="B101" s="147"/>
      <c r="C101" s="148"/>
      <c r="D101" s="146"/>
      <c r="E101" s="146"/>
      <c r="F101" s="146"/>
      <c r="G101" s="146"/>
      <c r="H101" s="146"/>
      <c r="I101" s="146"/>
    </row>
    <row r="102">
      <c r="A102" s="146"/>
      <c r="B102" s="147"/>
      <c r="C102" s="148"/>
      <c r="D102" s="146"/>
      <c r="E102" s="146"/>
      <c r="F102" s="146"/>
      <c r="G102" s="146"/>
      <c r="H102" s="146"/>
      <c r="I102" s="146"/>
    </row>
    <row r="103">
      <c r="A103" s="146"/>
      <c r="B103" s="147"/>
      <c r="C103" s="148"/>
      <c r="D103" s="146"/>
      <c r="E103" s="146"/>
      <c r="F103" s="146"/>
      <c r="G103" s="146"/>
      <c r="H103" s="146"/>
      <c r="I103" s="146"/>
    </row>
    <row r="104">
      <c r="A104" s="146"/>
      <c r="B104" s="147"/>
      <c r="C104" s="148"/>
      <c r="D104" s="146"/>
      <c r="E104" s="146"/>
      <c r="F104" s="146"/>
      <c r="G104" s="146"/>
      <c r="H104" s="146"/>
      <c r="I104" s="146"/>
    </row>
    <row r="105">
      <c r="A105" s="146"/>
      <c r="B105" s="147"/>
      <c r="C105" s="148"/>
      <c r="D105" s="146"/>
      <c r="E105" s="146"/>
      <c r="F105" s="146"/>
      <c r="G105" s="146"/>
      <c r="H105" s="146"/>
      <c r="I105" s="146"/>
    </row>
    <row r="106">
      <c r="A106" s="146"/>
      <c r="B106" s="147"/>
      <c r="C106" s="148"/>
      <c r="D106" s="146"/>
      <c r="E106" s="146"/>
      <c r="F106" s="146"/>
      <c r="G106" s="146"/>
      <c r="H106" s="146"/>
      <c r="I106" s="146"/>
    </row>
    <row r="107">
      <c r="A107" s="146"/>
      <c r="B107" s="147"/>
      <c r="C107" s="148"/>
      <c r="D107" s="146"/>
      <c r="E107" s="146"/>
      <c r="F107" s="146"/>
      <c r="G107" s="146"/>
      <c r="H107" s="146"/>
      <c r="I107" s="146"/>
    </row>
    <row r="108">
      <c r="A108" s="146"/>
      <c r="B108" s="147"/>
      <c r="C108" s="148"/>
      <c r="D108" s="146"/>
      <c r="E108" s="146"/>
      <c r="F108" s="146"/>
      <c r="G108" s="146"/>
      <c r="H108" s="146"/>
      <c r="I108" s="146"/>
    </row>
    <row r="109">
      <c r="A109" s="146"/>
      <c r="B109" s="147"/>
      <c r="C109" s="148"/>
      <c r="D109" s="146"/>
      <c r="E109" s="146"/>
      <c r="F109" s="146"/>
      <c r="G109" s="146"/>
      <c r="H109" s="146"/>
      <c r="I109" s="146"/>
    </row>
    <row r="110">
      <c r="A110" s="146"/>
      <c r="B110" s="147"/>
      <c r="C110" s="148"/>
      <c r="D110" s="146"/>
      <c r="E110" s="146"/>
      <c r="F110" s="146"/>
      <c r="G110" s="146"/>
      <c r="H110" s="146"/>
      <c r="I110" s="146"/>
    </row>
    <row r="111">
      <c r="A111" s="146"/>
      <c r="B111" s="147"/>
      <c r="C111" s="148"/>
      <c r="D111" s="146"/>
      <c r="E111" s="146"/>
      <c r="F111" s="146"/>
      <c r="G111" s="146"/>
      <c r="H111" s="146"/>
      <c r="I111" s="146"/>
    </row>
    <row r="112">
      <c r="A112" s="146"/>
      <c r="B112" s="147"/>
      <c r="C112" s="148"/>
      <c r="D112" s="146"/>
      <c r="E112" s="146"/>
      <c r="F112" s="146"/>
      <c r="G112" s="146"/>
      <c r="H112" s="146"/>
      <c r="I112" s="146"/>
    </row>
    <row r="113">
      <c r="A113" s="146"/>
      <c r="B113" s="147"/>
      <c r="C113" s="148"/>
      <c r="D113" s="146"/>
      <c r="E113" s="146"/>
      <c r="F113" s="146"/>
      <c r="G113" s="146"/>
      <c r="H113" s="146"/>
      <c r="I113" s="146"/>
    </row>
    <row r="114">
      <c r="A114" s="146"/>
      <c r="B114" s="147"/>
      <c r="C114" s="148"/>
      <c r="D114" s="146"/>
      <c r="E114" s="146"/>
      <c r="F114" s="146"/>
      <c r="G114" s="146"/>
      <c r="H114" s="146"/>
      <c r="I114" s="146"/>
    </row>
    <row r="115">
      <c r="A115" s="146"/>
      <c r="B115" s="147"/>
      <c r="C115" s="148"/>
      <c r="D115" s="146"/>
      <c r="E115" s="146"/>
      <c r="F115" s="146"/>
      <c r="G115" s="146"/>
      <c r="H115" s="146"/>
      <c r="I115" s="146"/>
    </row>
    <row r="116">
      <c r="A116" s="146"/>
      <c r="B116" s="147"/>
      <c r="C116" s="148"/>
      <c r="D116" s="146"/>
      <c r="E116" s="146"/>
      <c r="F116" s="146"/>
      <c r="G116" s="146"/>
      <c r="H116" s="146"/>
      <c r="I116" s="146"/>
    </row>
    <row r="117">
      <c r="A117" s="146"/>
      <c r="B117" s="147"/>
      <c r="C117" s="148"/>
      <c r="D117" s="146"/>
      <c r="E117" s="146"/>
      <c r="F117" s="146"/>
      <c r="G117" s="146"/>
      <c r="H117" s="146"/>
      <c r="I117" s="146"/>
    </row>
    <row r="118">
      <c r="A118" s="146"/>
      <c r="B118" s="147"/>
      <c r="C118" s="148"/>
      <c r="D118" s="146"/>
      <c r="E118" s="146"/>
      <c r="F118" s="146"/>
      <c r="G118" s="146"/>
      <c r="H118" s="146"/>
      <c r="I118" s="146"/>
    </row>
    <row r="119">
      <c r="A119" s="146"/>
      <c r="B119" s="147"/>
      <c r="C119" s="148"/>
      <c r="D119" s="146"/>
      <c r="E119" s="146"/>
      <c r="F119" s="146"/>
      <c r="G119" s="146"/>
      <c r="H119" s="146"/>
      <c r="I119" s="146"/>
    </row>
    <row r="120">
      <c r="A120" s="146"/>
      <c r="B120" s="147"/>
      <c r="C120" s="148"/>
      <c r="D120" s="146"/>
      <c r="E120" s="146"/>
      <c r="F120" s="146"/>
      <c r="G120" s="146"/>
      <c r="H120" s="146"/>
      <c r="I120" s="146"/>
    </row>
    <row r="121">
      <c r="A121" s="146"/>
      <c r="B121" s="147"/>
      <c r="C121" s="148"/>
      <c r="D121" s="146"/>
      <c r="E121" s="146"/>
      <c r="F121" s="146"/>
      <c r="G121" s="146"/>
      <c r="H121" s="146"/>
      <c r="I121" s="146"/>
    </row>
    <row r="122">
      <c r="A122" s="146"/>
      <c r="B122" s="147"/>
      <c r="C122" s="148"/>
      <c r="D122" s="146"/>
      <c r="E122" s="146"/>
      <c r="F122" s="146"/>
      <c r="G122" s="146"/>
      <c r="H122" s="146"/>
      <c r="I122" s="146"/>
    </row>
    <row r="123">
      <c r="A123" s="146"/>
      <c r="B123" s="147"/>
      <c r="C123" s="148"/>
      <c r="D123" s="146"/>
      <c r="E123" s="146"/>
      <c r="F123" s="146"/>
      <c r="G123" s="146"/>
      <c r="H123" s="146"/>
      <c r="I123" s="146"/>
    </row>
    <row r="124">
      <c r="A124" s="146"/>
      <c r="B124" s="147"/>
      <c r="C124" s="148"/>
      <c r="D124" s="146"/>
      <c r="E124" s="146"/>
      <c r="F124" s="146"/>
      <c r="G124" s="146"/>
      <c r="H124" s="146"/>
      <c r="I124" s="146"/>
    </row>
    <row r="125">
      <c r="A125" s="146"/>
      <c r="B125" s="147"/>
      <c r="C125" s="148"/>
      <c r="D125" s="146"/>
      <c r="E125" s="146"/>
      <c r="F125" s="146"/>
      <c r="G125" s="146"/>
      <c r="H125" s="146"/>
      <c r="I125" s="146"/>
    </row>
    <row r="126">
      <c r="A126" s="146"/>
      <c r="B126" s="147"/>
      <c r="C126" s="148"/>
      <c r="D126" s="146"/>
      <c r="E126" s="146"/>
      <c r="F126" s="146"/>
      <c r="G126" s="146"/>
      <c r="H126" s="146"/>
      <c r="I126" s="146"/>
    </row>
    <row r="127">
      <c r="A127" s="146"/>
      <c r="B127" s="147"/>
      <c r="C127" s="148"/>
      <c r="D127" s="146"/>
      <c r="E127" s="146"/>
      <c r="F127" s="146"/>
      <c r="G127" s="146"/>
      <c r="H127" s="146"/>
      <c r="I127" s="146"/>
    </row>
    <row r="128">
      <c r="A128" s="146"/>
      <c r="B128" s="147"/>
      <c r="C128" s="148"/>
      <c r="D128" s="146"/>
      <c r="E128" s="146"/>
      <c r="F128" s="146"/>
      <c r="G128" s="146"/>
      <c r="H128" s="146"/>
      <c r="I128" s="146"/>
    </row>
    <row r="129">
      <c r="A129" s="146"/>
      <c r="B129" s="147"/>
      <c r="C129" s="148"/>
      <c r="D129" s="146"/>
      <c r="E129" s="146"/>
      <c r="F129" s="146"/>
      <c r="G129" s="146"/>
      <c r="H129" s="146"/>
      <c r="I129" s="146"/>
    </row>
    <row r="130">
      <c r="A130" s="146"/>
      <c r="B130" s="147"/>
      <c r="C130" s="148"/>
      <c r="D130" s="146"/>
      <c r="E130" s="146"/>
      <c r="F130" s="146"/>
      <c r="G130" s="146"/>
      <c r="H130" s="146"/>
      <c r="I130" s="146"/>
    </row>
    <row r="131">
      <c r="A131" s="146"/>
      <c r="B131" s="147"/>
      <c r="C131" s="148"/>
      <c r="D131" s="146"/>
      <c r="E131" s="146"/>
      <c r="F131" s="146"/>
      <c r="G131" s="146"/>
      <c r="H131" s="146"/>
      <c r="I131" s="146"/>
    </row>
    <row r="132">
      <c r="A132" s="146"/>
      <c r="B132" s="147"/>
      <c r="C132" s="148"/>
      <c r="D132" s="146"/>
      <c r="E132" s="146"/>
      <c r="F132" s="146"/>
      <c r="G132" s="146"/>
      <c r="H132" s="146"/>
      <c r="I132" s="146"/>
    </row>
    <row r="133">
      <c r="A133" s="146"/>
      <c r="B133" s="147"/>
      <c r="C133" s="148"/>
      <c r="D133" s="146"/>
      <c r="E133" s="146"/>
      <c r="F133" s="146"/>
      <c r="G133" s="146"/>
      <c r="H133" s="146"/>
      <c r="I133" s="146"/>
    </row>
    <row r="134">
      <c r="A134" s="146"/>
      <c r="B134" s="147"/>
      <c r="C134" s="148"/>
      <c r="D134" s="146"/>
      <c r="E134" s="146"/>
      <c r="F134" s="146"/>
      <c r="G134" s="146"/>
      <c r="H134" s="146"/>
      <c r="I134" s="146"/>
    </row>
    <row r="135">
      <c r="A135" s="146"/>
      <c r="B135" s="147"/>
      <c r="C135" s="148"/>
      <c r="D135" s="146"/>
      <c r="E135" s="146"/>
      <c r="F135" s="146"/>
      <c r="G135" s="146"/>
      <c r="H135" s="146"/>
      <c r="I135" s="146"/>
    </row>
    <row r="136">
      <c r="A136" s="146"/>
      <c r="B136" s="147"/>
      <c r="C136" s="148"/>
      <c r="D136" s="146"/>
      <c r="E136" s="146"/>
      <c r="F136" s="146"/>
      <c r="G136" s="146"/>
      <c r="H136" s="146"/>
      <c r="I136" s="146"/>
    </row>
    <row r="137">
      <c r="A137" s="146"/>
      <c r="B137" s="147"/>
      <c r="C137" s="148"/>
      <c r="D137" s="146"/>
      <c r="E137" s="146"/>
      <c r="F137" s="146"/>
      <c r="G137" s="146"/>
      <c r="H137" s="146"/>
      <c r="I137" s="146"/>
    </row>
    <row r="138">
      <c r="A138" s="146"/>
      <c r="B138" s="147"/>
      <c r="C138" s="148"/>
      <c r="D138" s="146"/>
      <c r="E138" s="146"/>
      <c r="F138" s="146"/>
      <c r="G138" s="146"/>
      <c r="H138" s="146"/>
      <c r="I138" s="146"/>
    </row>
    <row r="139">
      <c r="A139" s="146"/>
      <c r="B139" s="147"/>
      <c r="C139" s="148"/>
      <c r="D139" s="146"/>
      <c r="E139" s="146"/>
      <c r="F139" s="146"/>
      <c r="G139" s="146"/>
      <c r="H139" s="146"/>
      <c r="I139" s="146"/>
    </row>
    <row r="140">
      <c r="A140" s="146"/>
      <c r="B140" s="147"/>
      <c r="C140" s="148"/>
      <c r="D140" s="146"/>
      <c r="E140" s="146"/>
      <c r="F140" s="146"/>
      <c r="G140" s="146"/>
      <c r="H140" s="146"/>
      <c r="I140" s="146"/>
    </row>
    <row r="141">
      <c r="A141" s="146"/>
      <c r="B141" s="147"/>
      <c r="C141" s="148"/>
      <c r="D141" s="146"/>
      <c r="E141" s="146"/>
      <c r="F141" s="146"/>
      <c r="G141" s="146"/>
      <c r="H141" s="146"/>
      <c r="I141" s="146"/>
    </row>
    <row r="142">
      <c r="A142" s="146"/>
      <c r="B142" s="147"/>
      <c r="C142" s="148"/>
      <c r="D142" s="146"/>
      <c r="E142" s="146"/>
      <c r="F142" s="146"/>
      <c r="G142" s="146"/>
      <c r="H142" s="146"/>
      <c r="I142" s="146"/>
    </row>
    <row r="143">
      <c r="A143" s="146"/>
      <c r="B143" s="147"/>
      <c r="C143" s="148"/>
      <c r="D143" s="146"/>
      <c r="E143" s="146"/>
      <c r="F143" s="146"/>
      <c r="G143" s="146"/>
      <c r="H143" s="146"/>
      <c r="I143" s="146"/>
    </row>
    <row r="144">
      <c r="A144" s="146"/>
      <c r="B144" s="147"/>
      <c r="C144" s="148"/>
      <c r="D144" s="146"/>
      <c r="E144" s="146"/>
      <c r="F144" s="146"/>
      <c r="G144" s="146"/>
      <c r="H144" s="146"/>
      <c r="I144" s="146"/>
    </row>
    <row r="145">
      <c r="A145" s="146"/>
      <c r="B145" s="147"/>
      <c r="C145" s="148"/>
      <c r="D145" s="146"/>
      <c r="E145" s="146"/>
      <c r="F145" s="146"/>
      <c r="G145" s="146"/>
      <c r="H145" s="146"/>
      <c r="I145" s="146"/>
    </row>
    <row r="146">
      <c r="A146" s="146"/>
      <c r="B146" s="147"/>
      <c r="C146" s="148"/>
      <c r="D146" s="146"/>
      <c r="E146" s="146"/>
      <c r="F146" s="146"/>
      <c r="G146" s="146"/>
      <c r="H146" s="146"/>
      <c r="I146" s="146"/>
    </row>
    <row r="147">
      <c r="A147" s="146"/>
      <c r="B147" s="147"/>
      <c r="C147" s="148"/>
      <c r="D147" s="146"/>
      <c r="E147" s="146"/>
      <c r="F147" s="146"/>
      <c r="G147" s="146"/>
      <c r="H147" s="146"/>
      <c r="I147" s="146"/>
    </row>
    <row r="148">
      <c r="A148" s="146"/>
      <c r="B148" s="147"/>
      <c r="C148" s="148"/>
      <c r="D148" s="146"/>
      <c r="E148" s="146"/>
      <c r="F148" s="146"/>
      <c r="G148" s="146"/>
      <c r="H148" s="146"/>
      <c r="I148" s="146"/>
    </row>
    <row r="149">
      <c r="A149" s="146"/>
      <c r="B149" s="147"/>
      <c r="C149" s="148"/>
      <c r="D149" s="146"/>
      <c r="E149" s="146"/>
      <c r="F149" s="146"/>
      <c r="G149" s="146"/>
      <c r="H149" s="146"/>
      <c r="I149" s="146"/>
    </row>
    <row r="150">
      <c r="A150" s="146"/>
      <c r="B150" s="147"/>
      <c r="C150" s="148"/>
      <c r="D150" s="146"/>
      <c r="E150" s="146"/>
      <c r="F150" s="146"/>
      <c r="G150" s="146"/>
      <c r="H150" s="146"/>
      <c r="I150" s="146"/>
    </row>
    <row r="151">
      <c r="A151" s="146"/>
      <c r="B151" s="147"/>
      <c r="C151" s="148"/>
      <c r="D151" s="146"/>
      <c r="E151" s="146"/>
      <c r="F151" s="146"/>
      <c r="G151" s="146"/>
      <c r="H151" s="146"/>
      <c r="I151" s="146"/>
    </row>
    <row r="152">
      <c r="A152" s="146"/>
      <c r="B152" s="147"/>
      <c r="C152" s="148"/>
      <c r="D152" s="146"/>
      <c r="E152" s="146"/>
      <c r="F152" s="146"/>
      <c r="G152" s="146"/>
      <c r="H152" s="146"/>
      <c r="I152" s="146"/>
    </row>
    <row r="153">
      <c r="A153" s="146"/>
      <c r="B153" s="147"/>
      <c r="C153" s="148"/>
      <c r="D153" s="146"/>
      <c r="E153" s="146"/>
      <c r="F153" s="146"/>
      <c r="G153" s="146"/>
      <c r="H153" s="146"/>
      <c r="I153" s="146"/>
    </row>
    <row r="154">
      <c r="A154" s="146"/>
      <c r="B154" s="147"/>
      <c r="C154" s="148"/>
      <c r="D154" s="146"/>
      <c r="E154" s="146"/>
      <c r="F154" s="146"/>
      <c r="G154" s="146"/>
      <c r="H154" s="146"/>
      <c r="I154" s="146"/>
    </row>
    <row r="155">
      <c r="A155" s="146"/>
      <c r="B155" s="147"/>
      <c r="C155" s="148"/>
      <c r="D155" s="146"/>
      <c r="E155" s="146"/>
      <c r="F155" s="146"/>
      <c r="G155" s="146"/>
      <c r="H155" s="146"/>
      <c r="I155" s="146"/>
    </row>
    <row r="156">
      <c r="A156" s="146"/>
      <c r="B156" s="147"/>
      <c r="C156" s="148"/>
      <c r="D156" s="146"/>
      <c r="E156" s="146"/>
      <c r="F156" s="146"/>
      <c r="G156" s="146"/>
      <c r="H156" s="146"/>
      <c r="I156" s="146"/>
    </row>
    <row r="157">
      <c r="A157" s="146"/>
      <c r="B157" s="147"/>
      <c r="C157" s="148"/>
      <c r="D157" s="146"/>
      <c r="E157" s="146"/>
      <c r="F157" s="146"/>
      <c r="G157" s="146"/>
      <c r="H157" s="146"/>
      <c r="I157" s="146"/>
    </row>
    <row r="158">
      <c r="A158" s="146"/>
      <c r="B158" s="147"/>
      <c r="C158" s="148"/>
      <c r="D158" s="146"/>
      <c r="E158" s="146"/>
      <c r="F158" s="146"/>
      <c r="G158" s="146"/>
      <c r="H158" s="146"/>
      <c r="I158" s="146"/>
    </row>
    <row r="159">
      <c r="A159" s="146"/>
      <c r="B159" s="147"/>
      <c r="C159" s="148"/>
      <c r="D159" s="146"/>
      <c r="E159" s="146"/>
      <c r="F159" s="146"/>
      <c r="G159" s="146"/>
      <c r="H159" s="146"/>
      <c r="I159" s="146"/>
    </row>
    <row r="160">
      <c r="A160" s="146"/>
      <c r="B160" s="147"/>
      <c r="C160" s="148"/>
      <c r="D160" s="146"/>
      <c r="E160" s="146"/>
      <c r="F160" s="146"/>
      <c r="G160" s="146"/>
      <c r="H160" s="146"/>
      <c r="I160" s="146"/>
    </row>
    <row r="161">
      <c r="A161" s="146"/>
      <c r="B161" s="147"/>
      <c r="C161" s="148"/>
      <c r="D161" s="146"/>
      <c r="E161" s="146"/>
      <c r="F161" s="146"/>
      <c r="G161" s="146"/>
      <c r="H161" s="146"/>
      <c r="I161" s="146"/>
    </row>
    <row r="162">
      <c r="A162" s="146"/>
      <c r="B162" s="147"/>
      <c r="C162" s="148"/>
      <c r="D162" s="146"/>
      <c r="E162" s="146"/>
      <c r="F162" s="146"/>
      <c r="G162" s="146"/>
      <c r="H162" s="146"/>
      <c r="I162" s="146"/>
    </row>
    <row r="163">
      <c r="A163" s="146"/>
      <c r="B163" s="147"/>
      <c r="C163" s="148"/>
      <c r="D163" s="146"/>
      <c r="E163" s="146"/>
      <c r="F163" s="146"/>
      <c r="G163" s="146"/>
      <c r="H163" s="146"/>
      <c r="I163" s="146"/>
    </row>
    <row r="164">
      <c r="A164" s="146"/>
      <c r="B164" s="147"/>
      <c r="C164" s="148"/>
      <c r="D164" s="146"/>
      <c r="E164" s="146"/>
      <c r="F164" s="146"/>
      <c r="G164" s="146"/>
      <c r="H164" s="146"/>
      <c r="I164" s="146"/>
    </row>
    <row r="165">
      <c r="A165" s="146"/>
      <c r="B165" s="147"/>
      <c r="C165" s="148"/>
      <c r="D165" s="146"/>
      <c r="E165" s="146"/>
      <c r="F165" s="146"/>
      <c r="G165" s="146"/>
      <c r="H165" s="146"/>
      <c r="I165" s="146"/>
    </row>
    <row r="166">
      <c r="A166" s="146"/>
      <c r="B166" s="147"/>
      <c r="C166" s="148"/>
      <c r="D166" s="146"/>
      <c r="E166" s="146"/>
      <c r="F166" s="146"/>
      <c r="G166" s="146"/>
      <c r="H166" s="146"/>
      <c r="I166" s="146"/>
    </row>
    <row r="167">
      <c r="A167" s="146"/>
      <c r="B167" s="147"/>
      <c r="C167" s="148"/>
      <c r="D167" s="146"/>
      <c r="E167" s="146"/>
      <c r="F167" s="146"/>
      <c r="G167" s="146"/>
      <c r="H167" s="146"/>
      <c r="I167" s="146"/>
    </row>
    <row r="168">
      <c r="A168" s="146"/>
      <c r="B168" s="147"/>
      <c r="C168" s="148"/>
      <c r="D168" s="146"/>
      <c r="E168" s="146"/>
      <c r="F168" s="146"/>
      <c r="G168" s="146"/>
      <c r="H168" s="146"/>
      <c r="I168" s="146"/>
    </row>
    <row r="169">
      <c r="A169" s="146"/>
      <c r="B169" s="147"/>
      <c r="C169" s="148"/>
      <c r="D169" s="146"/>
      <c r="E169" s="146"/>
      <c r="F169" s="146"/>
      <c r="G169" s="146"/>
      <c r="H169" s="146"/>
      <c r="I169" s="146"/>
    </row>
    <row r="170">
      <c r="A170" s="146"/>
      <c r="B170" s="147"/>
      <c r="C170" s="148"/>
      <c r="D170" s="146"/>
      <c r="E170" s="146"/>
      <c r="F170" s="146"/>
      <c r="G170" s="146"/>
      <c r="H170" s="146"/>
      <c r="I170" s="146"/>
    </row>
    <row r="171">
      <c r="A171" s="146"/>
      <c r="B171" s="147"/>
      <c r="C171" s="148"/>
      <c r="D171" s="146"/>
      <c r="E171" s="146"/>
      <c r="F171" s="146"/>
      <c r="G171" s="146"/>
      <c r="H171" s="146"/>
      <c r="I171" s="146"/>
    </row>
    <row r="172">
      <c r="A172" s="146"/>
      <c r="B172" s="147"/>
      <c r="C172" s="148"/>
      <c r="D172" s="146"/>
      <c r="E172" s="146"/>
      <c r="F172" s="146"/>
      <c r="G172" s="146"/>
      <c r="H172" s="146"/>
      <c r="I172" s="146"/>
    </row>
    <row r="173">
      <c r="A173" s="146"/>
      <c r="B173" s="147"/>
      <c r="C173" s="148"/>
      <c r="D173" s="146"/>
      <c r="E173" s="146"/>
      <c r="F173" s="146"/>
      <c r="G173" s="146"/>
      <c r="H173" s="146"/>
      <c r="I173" s="146"/>
    </row>
    <row r="174">
      <c r="A174" s="146"/>
      <c r="B174" s="147"/>
      <c r="C174" s="148"/>
      <c r="D174" s="146"/>
      <c r="E174" s="146"/>
      <c r="F174" s="146"/>
      <c r="G174" s="146"/>
      <c r="H174" s="146"/>
      <c r="I174" s="146"/>
    </row>
    <row r="175">
      <c r="A175" s="146"/>
      <c r="B175" s="147"/>
      <c r="C175" s="148"/>
      <c r="D175" s="146"/>
      <c r="E175" s="146"/>
      <c r="F175" s="146"/>
      <c r="G175" s="146"/>
      <c r="H175" s="146"/>
      <c r="I175" s="146"/>
    </row>
    <row r="176">
      <c r="A176" s="146"/>
      <c r="B176" s="147"/>
      <c r="C176" s="148"/>
      <c r="D176" s="146"/>
      <c r="E176" s="146"/>
      <c r="F176" s="146"/>
      <c r="G176" s="146"/>
      <c r="H176" s="146"/>
      <c r="I176" s="146"/>
    </row>
    <row r="177">
      <c r="A177" s="146"/>
      <c r="B177" s="147"/>
      <c r="C177" s="148"/>
      <c r="D177" s="146"/>
      <c r="E177" s="146"/>
      <c r="F177" s="146"/>
      <c r="G177" s="146"/>
      <c r="H177" s="146"/>
      <c r="I177" s="146"/>
    </row>
    <row r="178">
      <c r="A178" s="146"/>
      <c r="B178" s="147"/>
      <c r="C178" s="148"/>
      <c r="D178" s="146"/>
      <c r="E178" s="146"/>
      <c r="F178" s="146"/>
      <c r="G178" s="146"/>
      <c r="H178" s="146"/>
      <c r="I178" s="146"/>
    </row>
    <row r="179">
      <c r="A179" s="146"/>
      <c r="B179" s="147"/>
      <c r="C179" s="148"/>
      <c r="D179" s="146"/>
      <c r="E179" s="146"/>
      <c r="F179" s="146"/>
      <c r="G179" s="146"/>
      <c r="H179" s="146"/>
      <c r="I179" s="146"/>
    </row>
    <row r="180">
      <c r="A180" s="146"/>
      <c r="B180" s="147"/>
      <c r="C180" s="148"/>
      <c r="D180" s="146"/>
      <c r="E180" s="146"/>
      <c r="F180" s="146"/>
      <c r="G180" s="146"/>
      <c r="H180" s="146"/>
      <c r="I180" s="146"/>
    </row>
    <row r="181">
      <c r="A181" s="146"/>
      <c r="B181" s="147"/>
      <c r="C181" s="148"/>
      <c r="D181" s="146"/>
      <c r="E181" s="146"/>
      <c r="F181" s="146"/>
      <c r="G181" s="146"/>
      <c r="H181" s="146"/>
      <c r="I181" s="146"/>
    </row>
    <row r="182">
      <c r="A182" s="146"/>
      <c r="B182" s="147"/>
      <c r="C182" s="148"/>
      <c r="D182" s="146"/>
      <c r="E182" s="146"/>
      <c r="F182" s="146"/>
      <c r="G182" s="146"/>
      <c r="H182" s="146"/>
      <c r="I182" s="146"/>
    </row>
    <row r="183">
      <c r="A183" s="146"/>
      <c r="B183" s="147"/>
      <c r="C183" s="148"/>
      <c r="D183" s="146"/>
      <c r="E183" s="146"/>
      <c r="F183" s="146"/>
      <c r="G183" s="146"/>
      <c r="H183" s="146"/>
      <c r="I183" s="146"/>
    </row>
    <row r="184">
      <c r="A184" s="146"/>
      <c r="B184" s="147"/>
      <c r="C184" s="148"/>
      <c r="D184" s="146"/>
      <c r="E184" s="146"/>
      <c r="F184" s="146"/>
      <c r="G184" s="146"/>
      <c r="H184" s="146"/>
      <c r="I184" s="146"/>
    </row>
    <row r="185">
      <c r="A185" s="146"/>
      <c r="B185" s="147"/>
      <c r="C185" s="148"/>
      <c r="D185" s="146"/>
      <c r="E185" s="146"/>
      <c r="F185" s="146"/>
      <c r="G185" s="146"/>
      <c r="H185" s="146"/>
      <c r="I185" s="146"/>
    </row>
    <row r="186">
      <c r="A186" s="146"/>
      <c r="B186" s="147"/>
      <c r="C186" s="148"/>
      <c r="D186" s="146"/>
      <c r="E186" s="146"/>
      <c r="F186" s="146"/>
      <c r="G186" s="146"/>
      <c r="H186" s="146"/>
      <c r="I186" s="146"/>
    </row>
    <row r="187">
      <c r="A187" s="146"/>
      <c r="B187" s="147"/>
      <c r="C187" s="148"/>
      <c r="D187" s="146"/>
      <c r="E187" s="146"/>
      <c r="F187" s="146"/>
      <c r="G187" s="146"/>
      <c r="H187" s="146"/>
      <c r="I187" s="146"/>
    </row>
    <row r="188">
      <c r="A188" s="146"/>
      <c r="B188" s="147"/>
      <c r="C188" s="148"/>
      <c r="D188" s="146"/>
      <c r="E188" s="146"/>
      <c r="F188" s="146"/>
      <c r="G188" s="146"/>
      <c r="H188" s="146"/>
      <c r="I188" s="146"/>
    </row>
    <row r="189">
      <c r="A189" s="146"/>
      <c r="B189" s="147"/>
      <c r="C189" s="148"/>
      <c r="D189" s="146"/>
      <c r="E189" s="146"/>
      <c r="F189" s="146"/>
      <c r="G189" s="146"/>
      <c r="H189" s="146"/>
      <c r="I189" s="146"/>
    </row>
    <row r="190">
      <c r="A190" s="146"/>
      <c r="B190" s="147"/>
      <c r="C190" s="148"/>
      <c r="D190" s="146"/>
      <c r="E190" s="146"/>
      <c r="F190" s="146"/>
      <c r="G190" s="146"/>
      <c r="H190" s="146"/>
      <c r="I190" s="146"/>
    </row>
    <row r="191">
      <c r="A191" s="146"/>
      <c r="B191" s="147"/>
      <c r="C191" s="148"/>
      <c r="D191" s="146"/>
      <c r="E191" s="146"/>
      <c r="F191" s="146"/>
      <c r="G191" s="146"/>
      <c r="H191" s="146"/>
      <c r="I191" s="146"/>
    </row>
    <row r="192">
      <c r="A192" s="146"/>
      <c r="B192" s="147"/>
      <c r="C192" s="148"/>
      <c r="D192" s="146"/>
      <c r="E192" s="146"/>
      <c r="F192" s="146"/>
      <c r="G192" s="146"/>
      <c r="H192" s="146"/>
      <c r="I192" s="146"/>
    </row>
    <row r="193">
      <c r="A193" s="146"/>
      <c r="B193" s="147"/>
      <c r="C193" s="148"/>
      <c r="D193" s="146"/>
      <c r="E193" s="146"/>
      <c r="F193" s="146"/>
      <c r="G193" s="146"/>
      <c r="H193" s="146"/>
      <c r="I193" s="146"/>
    </row>
    <row r="194">
      <c r="A194" s="146"/>
      <c r="B194" s="147"/>
      <c r="C194" s="148"/>
      <c r="D194" s="146"/>
      <c r="E194" s="146"/>
      <c r="F194" s="146"/>
      <c r="G194" s="146"/>
      <c r="H194" s="146"/>
      <c r="I194" s="146"/>
    </row>
    <row r="195">
      <c r="A195" s="146"/>
      <c r="B195" s="147"/>
      <c r="C195" s="148"/>
      <c r="D195" s="146"/>
      <c r="E195" s="146"/>
      <c r="F195" s="146"/>
      <c r="G195" s="146"/>
      <c r="H195" s="146"/>
      <c r="I195" s="146"/>
    </row>
    <row r="196">
      <c r="A196" s="146"/>
      <c r="B196" s="147"/>
      <c r="C196" s="148"/>
      <c r="D196" s="146"/>
      <c r="E196" s="146"/>
      <c r="F196" s="146"/>
      <c r="G196" s="146"/>
      <c r="H196" s="146"/>
      <c r="I196" s="146"/>
    </row>
    <row r="197">
      <c r="A197" s="146"/>
      <c r="B197" s="147"/>
      <c r="C197" s="148"/>
      <c r="D197" s="146"/>
      <c r="E197" s="146"/>
      <c r="F197" s="146"/>
      <c r="G197" s="146"/>
      <c r="H197" s="146"/>
      <c r="I197" s="146"/>
    </row>
    <row r="198">
      <c r="A198" s="146"/>
      <c r="B198" s="147"/>
      <c r="C198" s="148"/>
      <c r="D198" s="146"/>
      <c r="E198" s="146"/>
      <c r="F198" s="146"/>
      <c r="G198" s="146"/>
      <c r="H198" s="146"/>
      <c r="I198" s="146"/>
    </row>
    <row r="199">
      <c r="A199" s="146"/>
      <c r="B199" s="147"/>
      <c r="C199" s="148"/>
      <c r="D199" s="146"/>
      <c r="E199" s="146"/>
      <c r="F199" s="146"/>
      <c r="G199" s="146"/>
      <c r="H199" s="146"/>
      <c r="I199" s="146"/>
    </row>
    <row r="200">
      <c r="A200" s="146"/>
      <c r="B200" s="147"/>
      <c r="C200" s="148"/>
      <c r="D200" s="146"/>
      <c r="E200" s="146"/>
      <c r="F200" s="146"/>
      <c r="G200" s="146"/>
      <c r="H200" s="146"/>
      <c r="I200" s="146"/>
    </row>
    <row r="201">
      <c r="A201" s="146"/>
      <c r="B201" s="147"/>
      <c r="C201" s="148"/>
      <c r="D201" s="146"/>
      <c r="E201" s="146"/>
      <c r="F201" s="146"/>
      <c r="G201" s="146"/>
      <c r="H201" s="146"/>
      <c r="I201" s="146"/>
    </row>
    <row r="202">
      <c r="A202" s="146"/>
      <c r="B202" s="147"/>
      <c r="C202" s="148"/>
      <c r="D202" s="146"/>
      <c r="E202" s="146"/>
      <c r="F202" s="146"/>
      <c r="G202" s="146"/>
      <c r="H202" s="146"/>
      <c r="I202" s="146"/>
    </row>
    <row r="203">
      <c r="A203" s="146"/>
      <c r="B203" s="147"/>
      <c r="C203" s="148"/>
      <c r="D203" s="146"/>
      <c r="E203" s="146"/>
      <c r="F203" s="146"/>
      <c r="G203" s="146"/>
      <c r="H203" s="146"/>
      <c r="I203" s="146"/>
    </row>
    <row r="204">
      <c r="A204" s="146"/>
      <c r="B204" s="147"/>
      <c r="C204" s="148"/>
      <c r="D204" s="146"/>
      <c r="E204" s="146"/>
      <c r="F204" s="146"/>
      <c r="G204" s="146"/>
      <c r="H204" s="146"/>
      <c r="I204" s="146"/>
    </row>
    <row r="205">
      <c r="A205" s="146"/>
      <c r="B205" s="147"/>
      <c r="C205" s="148"/>
      <c r="D205" s="146"/>
      <c r="E205" s="146"/>
      <c r="F205" s="146"/>
      <c r="G205" s="146"/>
      <c r="H205" s="146"/>
      <c r="I205" s="146"/>
    </row>
    <row r="206">
      <c r="A206" s="146"/>
      <c r="B206" s="147"/>
      <c r="C206" s="148"/>
      <c r="D206" s="146"/>
      <c r="E206" s="146"/>
      <c r="F206" s="146"/>
      <c r="G206" s="146"/>
      <c r="H206" s="146"/>
      <c r="I206" s="146"/>
    </row>
    <row r="207">
      <c r="A207" s="146"/>
      <c r="B207" s="147"/>
      <c r="C207" s="148"/>
      <c r="D207" s="146"/>
      <c r="E207" s="146"/>
      <c r="F207" s="146"/>
      <c r="G207" s="146"/>
      <c r="H207" s="146"/>
      <c r="I207" s="146"/>
    </row>
    <row r="208">
      <c r="A208" s="146"/>
      <c r="B208" s="147"/>
      <c r="C208" s="148"/>
      <c r="D208" s="146"/>
      <c r="E208" s="146"/>
      <c r="F208" s="146"/>
      <c r="G208" s="146"/>
      <c r="H208" s="146"/>
      <c r="I208" s="146"/>
    </row>
    <row r="209">
      <c r="A209" s="146"/>
      <c r="B209" s="147"/>
      <c r="C209" s="148"/>
      <c r="D209" s="146"/>
      <c r="E209" s="146"/>
      <c r="F209" s="146"/>
      <c r="G209" s="146"/>
      <c r="H209" s="146"/>
      <c r="I209" s="146"/>
    </row>
    <row r="210">
      <c r="A210" s="146"/>
      <c r="B210" s="147"/>
      <c r="C210" s="148"/>
      <c r="D210" s="146"/>
      <c r="E210" s="146"/>
      <c r="F210" s="146"/>
      <c r="G210" s="146"/>
      <c r="H210" s="146"/>
      <c r="I210" s="146"/>
    </row>
    <row r="211">
      <c r="A211" s="146"/>
      <c r="B211" s="147"/>
      <c r="C211" s="148"/>
      <c r="D211" s="146"/>
      <c r="E211" s="146"/>
      <c r="F211" s="146"/>
      <c r="G211" s="146"/>
      <c r="H211" s="146"/>
      <c r="I211" s="146"/>
    </row>
    <row r="212">
      <c r="A212" s="146"/>
      <c r="B212" s="147"/>
      <c r="C212" s="148"/>
      <c r="D212" s="146"/>
      <c r="E212" s="146"/>
      <c r="F212" s="146"/>
      <c r="G212" s="146"/>
      <c r="H212" s="146"/>
      <c r="I212" s="146"/>
    </row>
    <row r="213">
      <c r="A213" s="146"/>
      <c r="B213" s="147"/>
      <c r="C213" s="148"/>
      <c r="D213" s="146"/>
      <c r="E213" s="146"/>
      <c r="F213" s="146"/>
      <c r="G213" s="146"/>
      <c r="H213" s="146"/>
      <c r="I213" s="146"/>
    </row>
    <row r="214">
      <c r="A214" s="146"/>
      <c r="B214" s="147"/>
      <c r="C214" s="148"/>
      <c r="D214" s="146"/>
      <c r="E214" s="146"/>
      <c r="F214" s="146"/>
      <c r="G214" s="146"/>
      <c r="H214" s="146"/>
      <c r="I214" s="146"/>
    </row>
    <row r="215">
      <c r="A215" s="146"/>
      <c r="B215" s="147"/>
      <c r="C215" s="148"/>
      <c r="D215" s="146"/>
      <c r="E215" s="146"/>
      <c r="F215" s="146"/>
      <c r="G215" s="146"/>
      <c r="H215" s="146"/>
      <c r="I215" s="146"/>
    </row>
    <row r="216">
      <c r="A216" s="146"/>
      <c r="B216" s="147"/>
      <c r="C216" s="148"/>
      <c r="D216" s="146"/>
      <c r="E216" s="146"/>
      <c r="F216" s="146"/>
      <c r="G216" s="146"/>
      <c r="H216" s="146"/>
      <c r="I216" s="146"/>
    </row>
    <row r="217">
      <c r="A217" s="146"/>
      <c r="B217" s="147"/>
      <c r="C217" s="148"/>
      <c r="D217" s="146"/>
      <c r="E217" s="146"/>
      <c r="F217" s="146"/>
      <c r="G217" s="146"/>
      <c r="H217" s="146"/>
      <c r="I217" s="146"/>
    </row>
    <row r="218">
      <c r="A218" s="146"/>
      <c r="B218" s="147"/>
      <c r="C218" s="148"/>
      <c r="D218" s="146"/>
      <c r="E218" s="146"/>
      <c r="F218" s="146"/>
      <c r="G218" s="146"/>
      <c r="H218" s="146"/>
      <c r="I218" s="146"/>
    </row>
    <row r="219">
      <c r="A219" s="146"/>
      <c r="B219" s="147"/>
      <c r="C219" s="148"/>
      <c r="D219" s="146"/>
      <c r="E219" s="146"/>
      <c r="F219" s="146"/>
      <c r="G219" s="146"/>
      <c r="H219" s="146"/>
      <c r="I219" s="146"/>
    </row>
    <row r="220">
      <c r="A220" s="146"/>
      <c r="B220" s="147"/>
      <c r="C220" s="148"/>
      <c r="D220" s="146"/>
      <c r="E220" s="146"/>
      <c r="F220" s="146"/>
      <c r="G220" s="146"/>
      <c r="H220" s="146"/>
      <c r="I220" s="146"/>
    </row>
    <row r="221">
      <c r="A221" s="146"/>
      <c r="B221" s="147"/>
      <c r="C221" s="148"/>
      <c r="D221" s="146"/>
      <c r="E221" s="146"/>
      <c r="F221" s="146"/>
      <c r="G221" s="146"/>
      <c r="H221" s="146"/>
      <c r="I221" s="146"/>
    </row>
    <row r="222">
      <c r="A222" s="146"/>
      <c r="B222" s="147"/>
      <c r="C222" s="148"/>
      <c r="D222" s="146"/>
      <c r="E222" s="146"/>
      <c r="F222" s="146"/>
      <c r="G222" s="146"/>
      <c r="H222" s="146"/>
      <c r="I222" s="146"/>
    </row>
    <row r="223">
      <c r="A223" s="146"/>
      <c r="B223" s="147"/>
      <c r="C223" s="148"/>
      <c r="D223" s="146"/>
      <c r="E223" s="146"/>
      <c r="F223" s="146"/>
      <c r="G223" s="146"/>
      <c r="H223" s="146"/>
      <c r="I223" s="146"/>
    </row>
    <row r="224">
      <c r="A224" s="146"/>
      <c r="B224" s="147"/>
      <c r="C224" s="148"/>
      <c r="D224" s="146"/>
      <c r="E224" s="146"/>
      <c r="F224" s="146"/>
      <c r="G224" s="146"/>
      <c r="H224" s="146"/>
      <c r="I224" s="146"/>
    </row>
    <row r="225">
      <c r="A225" s="146"/>
      <c r="B225" s="147"/>
      <c r="C225" s="148"/>
      <c r="D225" s="146"/>
      <c r="E225" s="146"/>
      <c r="F225" s="146"/>
      <c r="G225" s="146"/>
      <c r="H225" s="146"/>
      <c r="I225" s="146"/>
    </row>
    <row r="226">
      <c r="A226" s="146"/>
      <c r="B226" s="147"/>
      <c r="C226" s="148"/>
      <c r="D226" s="146"/>
      <c r="E226" s="146"/>
      <c r="F226" s="146"/>
      <c r="G226" s="146"/>
      <c r="H226" s="146"/>
      <c r="I226" s="146"/>
    </row>
    <row r="227">
      <c r="A227" s="146"/>
      <c r="B227" s="147"/>
      <c r="C227" s="148"/>
      <c r="D227" s="146"/>
      <c r="E227" s="146"/>
      <c r="F227" s="146"/>
      <c r="G227" s="146"/>
      <c r="H227" s="146"/>
      <c r="I227" s="146"/>
    </row>
    <row r="228">
      <c r="A228" s="146"/>
      <c r="B228" s="147"/>
      <c r="C228" s="148"/>
      <c r="D228" s="146"/>
      <c r="E228" s="146"/>
      <c r="F228" s="146"/>
      <c r="G228" s="146"/>
      <c r="H228" s="146"/>
      <c r="I228" s="146"/>
    </row>
    <row r="229">
      <c r="A229" s="146"/>
      <c r="B229" s="147"/>
      <c r="C229" s="148"/>
      <c r="D229" s="146"/>
      <c r="E229" s="146"/>
      <c r="F229" s="146"/>
      <c r="G229" s="146"/>
      <c r="H229" s="146"/>
      <c r="I229" s="146"/>
    </row>
    <row r="230">
      <c r="A230" s="146"/>
      <c r="B230" s="147"/>
      <c r="C230" s="148"/>
      <c r="D230" s="146"/>
      <c r="E230" s="146"/>
      <c r="F230" s="146"/>
      <c r="G230" s="146"/>
      <c r="H230" s="146"/>
      <c r="I230" s="146"/>
    </row>
    <row r="231">
      <c r="A231" s="146"/>
      <c r="B231" s="147"/>
      <c r="C231" s="148"/>
      <c r="D231" s="146"/>
      <c r="E231" s="146"/>
      <c r="F231" s="146"/>
      <c r="G231" s="146"/>
      <c r="H231" s="146"/>
      <c r="I231" s="146"/>
    </row>
    <row r="232">
      <c r="A232" s="146"/>
      <c r="B232" s="147"/>
      <c r="C232" s="148"/>
      <c r="D232" s="146"/>
      <c r="E232" s="146"/>
      <c r="F232" s="146"/>
      <c r="G232" s="146"/>
      <c r="H232" s="146"/>
      <c r="I232" s="146"/>
    </row>
    <row r="233">
      <c r="A233" s="146"/>
      <c r="B233" s="147"/>
      <c r="C233" s="148"/>
      <c r="D233" s="146"/>
      <c r="E233" s="146"/>
      <c r="F233" s="146"/>
      <c r="G233" s="146"/>
      <c r="H233" s="146"/>
      <c r="I233" s="146"/>
    </row>
    <row r="234">
      <c r="A234" s="146"/>
      <c r="B234" s="147"/>
      <c r="C234" s="148"/>
      <c r="D234" s="146"/>
      <c r="E234" s="146"/>
      <c r="F234" s="146"/>
      <c r="G234" s="146"/>
      <c r="H234" s="146"/>
      <c r="I234" s="146"/>
    </row>
    <row r="235">
      <c r="A235" s="146"/>
      <c r="B235" s="147"/>
      <c r="C235" s="148"/>
      <c r="D235" s="146"/>
      <c r="E235" s="146"/>
      <c r="F235" s="146"/>
      <c r="G235" s="146"/>
      <c r="H235" s="146"/>
      <c r="I235" s="146"/>
    </row>
    <row r="236">
      <c r="A236" s="146"/>
      <c r="B236" s="147"/>
      <c r="C236" s="148"/>
      <c r="D236" s="146"/>
      <c r="E236" s="146"/>
      <c r="F236" s="146"/>
      <c r="G236" s="146"/>
      <c r="H236" s="146"/>
      <c r="I236" s="146"/>
    </row>
    <row r="237">
      <c r="A237" s="146"/>
      <c r="B237" s="147"/>
      <c r="C237" s="148"/>
      <c r="D237" s="146"/>
      <c r="E237" s="146"/>
      <c r="F237" s="146"/>
      <c r="G237" s="146"/>
      <c r="H237" s="146"/>
      <c r="I237" s="146"/>
    </row>
    <row r="238">
      <c r="A238" s="146"/>
      <c r="B238" s="147"/>
      <c r="C238" s="148"/>
      <c r="D238" s="146"/>
      <c r="E238" s="146"/>
      <c r="F238" s="146"/>
      <c r="G238" s="146"/>
      <c r="H238" s="146"/>
      <c r="I238" s="146"/>
    </row>
    <row r="239">
      <c r="A239" s="146"/>
      <c r="B239" s="147"/>
      <c r="C239" s="148"/>
      <c r="D239" s="146"/>
      <c r="E239" s="146"/>
      <c r="F239" s="146"/>
      <c r="G239" s="146"/>
      <c r="H239" s="146"/>
      <c r="I239" s="146"/>
    </row>
    <row r="240">
      <c r="A240" s="146"/>
      <c r="B240" s="147"/>
      <c r="C240" s="148"/>
      <c r="D240" s="146"/>
      <c r="E240" s="146"/>
      <c r="F240" s="146"/>
      <c r="G240" s="146"/>
      <c r="H240" s="146"/>
      <c r="I240" s="146"/>
    </row>
    <row r="241">
      <c r="A241" s="146"/>
      <c r="B241" s="147"/>
      <c r="C241" s="148"/>
      <c r="D241" s="146"/>
      <c r="E241" s="146"/>
      <c r="F241" s="146"/>
      <c r="G241" s="146"/>
      <c r="H241" s="146"/>
      <c r="I241" s="146"/>
    </row>
    <row r="242">
      <c r="A242" s="146"/>
      <c r="B242" s="147"/>
      <c r="C242" s="148"/>
      <c r="D242" s="146"/>
      <c r="E242" s="146"/>
      <c r="F242" s="146"/>
      <c r="G242" s="146"/>
      <c r="H242" s="146"/>
      <c r="I242" s="146"/>
    </row>
    <row r="243">
      <c r="A243" s="146"/>
      <c r="B243" s="147"/>
      <c r="C243" s="148"/>
      <c r="D243" s="146"/>
      <c r="E243" s="146"/>
      <c r="F243" s="146"/>
      <c r="G243" s="146"/>
      <c r="H243" s="146"/>
      <c r="I243" s="146"/>
    </row>
    <row r="244">
      <c r="A244" s="146"/>
      <c r="B244" s="147"/>
      <c r="C244" s="148"/>
      <c r="D244" s="146"/>
      <c r="E244" s="146"/>
      <c r="F244" s="146"/>
      <c r="G244" s="146"/>
      <c r="H244" s="146"/>
      <c r="I244" s="146"/>
    </row>
    <row r="245">
      <c r="A245" s="146"/>
      <c r="B245" s="147"/>
      <c r="C245" s="148"/>
      <c r="D245" s="146"/>
      <c r="E245" s="146"/>
      <c r="F245" s="146"/>
      <c r="G245" s="146"/>
      <c r="H245" s="146"/>
      <c r="I245" s="146"/>
    </row>
    <row r="246">
      <c r="B246" s="173"/>
      <c r="C246" s="174"/>
    </row>
    <row r="247">
      <c r="B247" s="173"/>
      <c r="C247" s="174"/>
    </row>
    <row r="248">
      <c r="B248" s="173"/>
      <c r="C248" s="174"/>
    </row>
    <row r="249">
      <c r="B249" s="173"/>
      <c r="C249" s="174"/>
    </row>
    <row r="250">
      <c r="B250" s="173"/>
      <c r="C250" s="174"/>
    </row>
    <row r="251">
      <c r="B251" s="173"/>
      <c r="C251" s="174"/>
    </row>
    <row r="252">
      <c r="B252" s="173"/>
      <c r="C252" s="174"/>
    </row>
    <row r="253">
      <c r="B253" s="173"/>
      <c r="C253" s="174"/>
    </row>
    <row r="254">
      <c r="B254" s="173"/>
      <c r="C254" s="174"/>
    </row>
    <row r="255">
      <c r="B255" s="173"/>
      <c r="C255" s="174"/>
    </row>
    <row r="256">
      <c r="B256" s="173"/>
      <c r="C256" s="174"/>
    </row>
    <row r="257">
      <c r="B257" s="173"/>
      <c r="C257" s="174"/>
    </row>
    <row r="258">
      <c r="B258" s="173"/>
      <c r="C258" s="174"/>
    </row>
    <row r="259">
      <c r="B259" s="173"/>
      <c r="C259" s="174"/>
    </row>
    <row r="260">
      <c r="B260" s="173"/>
      <c r="C260" s="174"/>
    </row>
    <row r="261">
      <c r="B261" s="173"/>
      <c r="C261" s="174"/>
    </row>
    <row r="262">
      <c r="B262" s="173"/>
      <c r="C262" s="174"/>
    </row>
    <row r="263">
      <c r="B263" s="173"/>
      <c r="C263" s="174"/>
    </row>
    <row r="264">
      <c r="B264" s="173"/>
      <c r="C264" s="174"/>
    </row>
    <row r="265">
      <c r="B265" s="173"/>
      <c r="C265" s="174"/>
    </row>
    <row r="266">
      <c r="B266" s="173"/>
      <c r="C266" s="174"/>
    </row>
    <row r="267">
      <c r="B267" s="173"/>
      <c r="C267" s="174"/>
    </row>
    <row r="268">
      <c r="B268" s="173"/>
      <c r="C268" s="174"/>
    </row>
    <row r="269">
      <c r="B269" s="173"/>
      <c r="C269" s="174"/>
    </row>
    <row r="270">
      <c r="B270" s="173"/>
      <c r="C270" s="174"/>
    </row>
    <row r="271">
      <c r="B271" s="173"/>
      <c r="C271" s="174"/>
    </row>
    <row r="272">
      <c r="B272" s="173"/>
      <c r="C272" s="174"/>
    </row>
    <row r="273">
      <c r="B273" s="173"/>
      <c r="C273" s="174"/>
    </row>
    <row r="274">
      <c r="B274" s="173"/>
      <c r="C274" s="174"/>
    </row>
    <row r="275">
      <c r="B275" s="173"/>
      <c r="C275" s="174"/>
    </row>
    <row r="276">
      <c r="B276" s="173"/>
      <c r="C276" s="174"/>
    </row>
    <row r="277">
      <c r="B277" s="173"/>
      <c r="C277" s="174"/>
    </row>
    <row r="278">
      <c r="B278" s="173"/>
      <c r="C278" s="174"/>
    </row>
    <row r="279">
      <c r="B279" s="173"/>
      <c r="C279" s="174"/>
    </row>
    <row r="280">
      <c r="B280" s="173"/>
      <c r="C280" s="174"/>
    </row>
    <row r="281">
      <c r="B281" s="173"/>
      <c r="C281" s="174"/>
    </row>
    <row r="282">
      <c r="B282" s="173"/>
      <c r="C282" s="174"/>
    </row>
    <row r="283">
      <c r="B283" s="173"/>
      <c r="C283" s="174"/>
    </row>
    <row r="284">
      <c r="B284" s="173"/>
      <c r="C284" s="174"/>
    </row>
    <row r="285">
      <c r="B285" s="173"/>
      <c r="C285" s="174"/>
    </row>
    <row r="286">
      <c r="B286" s="173"/>
      <c r="C286" s="174"/>
    </row>
    <row r="287">
      <c r="B287" s="173"/>
      <c r="C287" s="174"/>
    </row>
    <row r="288">
      <c r="B288" s="173"/>
      <c r="C288" s="174"/>
    </row>
    <row r="289">
      <c r="B289" s="173"/>
      <c r="C289" s="174"/>
    </row>
    <row r="290">
      <c r="B290" s="173"/>
      <c r="C290" s="174"/>
    </row>
    <row r="291">
      <c r="B291" s="173"/>
      <c r="C291" s="174"/>
    </row>
    <row r="292">
      <c r="B292" s="173"/>
      <c r="C292" s="174"/>
    </row>
    <row r="293">
      <c r="B293" s="173"/>
      <c r="C293" s="174"/>
    </row>
    <row r="294">
      <c r="B294" s="173"/>
      <c r="C294" s="174"/>
    </row>
    <row r="295">
      <c r="B295" s="173"/>
      <c r="C295" s="174"/>
    </row>
    <row r="296">
      <c r="B296" s="173"/>
      <c r="C296" s="174"/>
    </row>
    <row r="297">
      <c r="B297" s="173"/>
      <c r="C297" s="174"/>
    </row>
    <row r="298">
      <c r="B298" s="173"/>
      <c r="C298" s="174"/>
    </row>
    <row r="299">
      <c r="B299" s="173"/>
      <c r="C299" s="174"/>
    </row>
    <row r="300">
      <c r="B300" s="173"/>
      <c r="C300" s="174"/>
    </row>
    <row r="301">
      <c r="B301" s="173"/>
      <c r="C301" s="174"/>
    </row>
    <row r="302">
      <c r="B302" s="173"/>
      <c r="C302" s="174"/>
    </row>
    <row r="303">
      <c r="B303" s="173"/>
      <c r="C303" s="174"/>
    </row>
    <row r="304">
      <c r="B304" s="173"/>
      <c r="C304" s="174"/>
    </row>
    <row r="305">
      <c r="B305" s="173"/>
      <c r="C305" s="174"/>
    </row>
    <row r="306">
      <c r="B306" s="173"/>
      <c r="C306" s="174"/>
    </row>
    <row r="307">
      <c r="B307" s="173"/>
      <c r="C307" s="174"/>
    </row>
    <row r="308">
      <c r="B308" s="173"/>
      <c r="C308" s="174"/>
    </row>
    <row r="309">
      <c r="B309" s="173"/>
      <c r="C309" s="174"/>
    </row>
    <row r="310">
      <c r="B310" s="173"/>
      <c r="C310" s="174"/>
    </row>
    <row r="311">
      <c r="B311" s="173"/>
      <c r="C311" s="174"/>
    </row>
    <row r="312">
      <c r="B312" s="173"/>
      <c r="C312" s="174"/>
    </row>
    <row r="313">
      <c r="B313" s="173"/>
      <c r="C313" s="174"/>
    </row>
    <row r="314">
      <c r="B314" s="173"/>
      <c r="C314" s="174"/>
    </row>
    <row r="315">
      <c r="B315" s="173"/>
      <c r="C315" s="174"/>
    </row>
    <row r="316">
      <c r="B316" s="173"/>
      <c r="C316" s="174"/>
    </row>
    <row r="317">
      <c r="B317" s="173"/>
      <c r="C317" s="174"/>
    </row>
    <row r="318">
      <c r="B318" s="173"/>
      <c r="C318" s="174"/>
    </row>
    <row r="319">
      <c r="B319" s="173"/>
      <c r="C319" s="174"/>
    </row>
    <row r="320">
      <c r="B320" s="173"/>
      <c r="C320" s="174"/>
    </row>
    <row r="321">
      <c r="B321" s="173"/>
      <c r="C321" s="174"/>
    </row>
    <row r="322">
      <c r="B322" s="173"/>
      <c r="C322" s="174"/>
    </row>
    <row r="323">
      <c r="B323" s="173"/>
      <c r="C323" s="174"/>
    </row>
    <row r="324">
      <c r="B324" s="173"/>
      <c r="C324" s="174"/>
    </row>
    <row r="325">
      <c r="B325" s="173"/>
      <c r="C325" s="174"/>
    </row>
    <row r="326">
      <c r="B326" s="173"/>
      <c r="C326" s="174"/>
    </row>
    <row r="327">
      <c r="B327" s="173"/>
      <c r="C327" s="174"/>
    </row>
    <row r="328">
      <c r="B328" s="173"/>
      <c r="C328" s="174"/>
    </row>
    <row r="329">
      <c r="B329" s="173"/>
      <c r="C329" s="174"/>
    </row>
    <row r="330">
      <c r="B330" s="173"/>
      <c r="C330" s="174"/>
    </row>
    <row r="331">
      <c r="B331" s="173"/>
      <c r="C331" s="174"/>
    </row>
    <row r="332">
      <c r="B332" s="173"/>
      <c r="C332" s="174"/>
    </row>
    <row r="333">
      <c r="B333" s="173"/>
      <c r="C333" s="174"/>
    </row>
    <row r="334">
      <c r="B334" s="173"/>
      <c r="C334" s="174"/>
    </row>
    <row r="335">
      <c r="B335" s="173"/>
      <c r="C335" s="174"/>
    </row>
    <row r="336">
      <c r="B336" s="173"/>
      <c r="C336" s="174"/>
    </row>
    <row r="337">
      <c r="B337" s="173"/>
      <c r="C337" s="174"/>
    </row>
    <row r="338">
      <c r="B338" s="173"/>
      <c r="C338" s="174"/>
    </row>
    <row r="339">
      <c r="B339" s="173"/>
      <c r="C339" s="174"/>
    </row>
    <row r="340">
      <c r="B340" s="173"/>
      <c r="C340" s="174"/>
    </row>
    <row r="341">
      <c r="B341" s="173"/>
      <c r="C341" s="174"/>
    </row>
    <row r="342">
      <c r="B342" s="173"/>
      <c r="C342" s="174"/>
    </row>
    <row r="343">
      <c r="B343" s="173"/>
      <c r="C343" s="174"/>
    </row>
    <row r="344">
      <c r="B344" s="173"/>
      <c r="C344" s="174"/>
    </row>
    <row r="345">
      <c r="B345" s="173"/>
      <c r="C345" s="174"/>
    </row>
    <row r="346">
      <c r="B346" s="173"/>
      <c r="C346" s="174"/>
    </row>
    <row r="347">
      <c r="B347" s="173"/>
      <c r="C347" s="174"/>
    </row>
    <row r="348">
      <c r="B348" s="173"/>
      <c r="C348" s="174"/>
    </row>
    <row r="349">
      <c r="B349" s="173"/>
      <c r="C349" s="174"/>
    </row>
    <row r="350">
      <c r="B350" s="173"/>
      <c r="C350" s="174"/>
    </row>
    <row r="351">
      <c r="B351" s="173"/>
      <c r="C351" s="174"/>
    </row>
    <row r="352">
      <c r="B352" s="173"/>
      <c r="C352" s="174"/>
    </row>
    <row r="353">
      <c r="B353" s="173"/>
      <c r="C353" s="174"/>
    </row>
    <row r="354">
      <c r="B354" s="173"/>
      <c r="C354" s="174"/>
    </row>
    <row r="355">
      <c r="B355" s="173"/>
      <c r="C355" s="174"/>
    </row>
    <row r="356">
      <c r="B356" s="173"/>
      <c r="C356" s="174"/>
    </row>
    <row r="357">
      <c r="B357" s="173"/>
      <c r="C357" s="174"/>
    </row>
    <row r="358">
      <c r="B358" s="173"/>
      <c r="C358" s="174"/>
    </row>
    <row r="359">
      <c r="B359" s="173"/>
      <c r="C359" s="174"/>
    </row>
    <row r="360">
      <c r="B360" s="173"/>
      <c r="C360" s="174"/>
    </row>
    <row r="361">
      <c r="B361" s="173"/>
      <c r="C361" s="174"/>
    </row>
    <row r="362">
      <c r="B362" s="173"/>
      <c r="C362" s="174"/>
    </row>
    <row r="363">
      <c r="B363" s="173"/>
      <c r="C363" s="174"/>
    </row>
    <row r="364">
      <c r="B364" s="173"/>
      <c r="C364" s="174"/>
    </row>
    <row r="365">
      <c r="B365" s="173"/>
      <c r="C365" s="174"/>
    </row>
    <row r="366">
      <c r="B366" s="173"/>
      <c r="C366" s="174"/>
    </row>
    <row r="367">
      <c r="B367" s="173"/>
      <c r="C367" s="174"/>
    </row>
    <row r="368">
      <c r="B368" s="173"/>
      <c r="C368" s="174"/>
    </row>
    <row r="369">
      <c r="B369" s="173"/>
      <c r="C369" s="174"/>
    </row>
    <row r="370">
      <c r="B370" s="173"/>
      <c r="C370" s="174"/>
    </row>
    <row r="371">
      <c r="B371" s="173"/>
      <c r="C371" s="174"/>
    </row>
    <row r="372">
      <c r="B372" s="173"/>
      <c r="C372" s="174"/>
    </row>
    <row r="373">
      <c r="B373" s="173"/>
      <c r="C373" s="174"/>
    </row>
    <row r="374">
      <c r="B374" s="173"/>
      <c r="C374" s="174"/>
    </row>
    <row r="375">
      <c r="B375" s="173"/>
      <c r="C375" s="174"/>
    </row>
    <row r="376">
      <c r="B376" s="173"/>
      <c r="C376" s="174"/>
    </row>
    <row r="377">
      <c r="B377" s="173"/>
      <c r="C377" s="174"/>
    </row>
    <row r="378">
      <c r="B378" s="173"/>
      <c r="C378" s="174"/>
    </row>
    <row r="379">
      <c r="B379" s="173"/>
      <c r="C379" s="174"/>
    </row>
    <row r="380">
      <c r="B380" s="173"/>
      <c r="C380" s="174"/>
    </row>
    <row r="381">
      <c r="B381" s="173"/>
      <c r="C381" s="174"/>
    </row>
    <row r="382">
      <c r="B382" s="173"/>
      <c r="C382" s="174"/>
    </row>
    <row r="383">
      <c r="B383" s="173"/>
      <c r="C383" s="174"/>
    </row>
    <row r="384">
      <c r="B384" s="173"/>
      <c r="C384" s="174"/>
    </row>
    <row r="385">
      <c r="B385" s="173"/>
      <c r="C385" s="174"/>
    </row>
    <row r="386">
      <c r="B386" s="173"/>
      <c r="C386" s="174"/>
    </row>
    <row r="387">
      <c r="B387" s="173"/>
      <c r="C387" s="174"/>
    </row>
    <row r="388">
      <c r="B388" s="173"/>
      <c r="C388" s="174"/>
    </row>
    <row r="389">
      <c r="B389" s="173"/>
      <c r="C389" s="174"/>
    </row>
    <row r="390">
      <c r="B390" s="173"/>
      <c r="C390" s="174"/>
    </row>
    <row r="391">
      <c r="B391" s="173"/>
      <c r="C391" s="174"/>
    </row>
    <row r="392">
      <c r="B392" s="173"/>
      <c r="C392" s="174"/>
    </row>
    <row r="393">
      <c r="B393" s="173"/>
      <c r="C393" s="174"/>
    </row>
    <row r="394">
      <c r="B394" s="173"/>
      <c r="C394" s="174"/>
    </row>
    <row r="395">
      <c r="B395" s="173"/>
      <c r="C395" s="174"/>
    </row>
    <row r="396">
      <c r="B396" s="173"/>
      <c r="C396" s="174"/>
    </row>
    <row r="397">
      <c r="B397" s="173"/>
      <c r="C397" s="174"/>
    </row>
    <row r="398">
      <c r="B398" s="173"/>
      <c r="C398" s="174"/>
    </row>
    <row r="399">
      <c r="B399" s="173"/>
      <c r="C399" s="174"/>
    </row>
    <row r="400">
      <c r="B400" s="173"/>
      <c r="C400" s="174"/>
    </row>
    <row r="401">
      <c r="B401" s="173"/>
      <c r="C401" s="174"/>
    </row>
    <row r="402">
      <c r="B402" s="173"/>
      <c r="C402" s="174"/>
    </row>
    <row r="403">
      <c r="B403" s="173"/>
      <c r="C403" s="174"/>
    </row>
    <row r="404">
      <c r="B404" s="173"/>
      <c r="C404" s="174"/>
    </row>
    <row r="405">
      <c r="B405" s="173"/>
      <c r="C405" s="174"/>
    </row>
    <row r="406">
      <c r="B406" s="173"/>
      <c r="C406" s="174"/>
    </row>
    <row r="407">
      <c r="B407" s="173"/>
      <c r="C407" s="174"/>
    </row>
    <row r="408">
      <c r="B408" s="173"/>
      <c r="C408" s="174"/>
    </row>
    <row r="409">
      <c r="B409" s="173"/>
      <c r="C409" s="174"/>
    </row>
    <row r="410">
      <c r="B410" s="173"/>
      <c r="C410" s="174"/>
    </row>
    <row r="411">
      <c r="B411" s="173"/>
      <c r="C411" s="174"/>
    </row>
    <row r="412">
      <c r="B412" s="173"/>
      <c r="C412" s="174"/>
    </row>
    <row r="413">
      <c r="B413" s="173"/>
      <c r="C413" s="174"/>
    </row>
    <row r="414">
      <c r="B414" s="173"/>
      <c r="C414" s="174"/>
    </row>
    <row r="415">
      <c r="B415" s="173"/>
      <c r="C415" s="174"/>
    </row>
    <row r="416">
      <c r="B416" s="173"/>
      <c r="C416" s="174"/>
    </row>
    <row r="417">
      <c r="B417" s="173"/>
      <c r="C417" s="174"/>
    </row>
    <row r="418">
      <c r="B418" s="173"/>
      <c r="C418" s="174"/>
    </row>
    <row r="419">
      <c r="B419" s="173"/>
      <c r="C419" s="174"/>
    </row>
    <row r="420">
      <c r="B420" s="173"/>
      <c r="C420" s="174"/>
    </row>
    <row r="421">
      <c r="B421" s="173"/>
      <c r="C421" s="174"/>
    </row>
    <row r="422">
      <c r="B422" s="173"/>
      <c r="C422" s="174"/>
    </row>
    <row r="423">
      <c r="B423" s="173"/>
      <c r="C423" s="174"/>
    </row>
    <row r="424">
      <c r="B424" s="173"/>
      <c r="C424" s="174"/>
    </row>
    <row r="425">
      <c r="B425" s="173"/>
      <c r="C425" s="174"/>
    </row>
    <row r="426">
      <c r="B426" s="173"/>
      <c r="C426" s="174"/>
    </row>
    <row r="427">
      <c r="B427" s="173"/>
      <c r="C427" s="174"/>
    </row>
    <row r="428">
      <c r="B428" s="173"/>
      <c r="C428" s="174"/>
    </row>
    <row r="429">
      <c r="B429" s="173"/>
      <c r="C429" s="174"/>
    </row>
    <row r="430">
      <c r="B430" s="173"/>
      <c r="C430" s="174"/>
    </row>
    <row r="431">
      <c r="B431" s="173"/>
      <c r="C431" s="174"/>
    </row>
    <row r="432">
      <c r="B432" s="173"/>
      <c r="C432" s="174"/>
    </row>
    <row r="433">
      <c r="B433" s="173"/>
      <c r="C433" s="174"/>
    </row>
    <row r="434">
      <c r="B434" s="173"/>
      <c r="C434" s="174"/>
    </row>
    <row r="435">
      <c r="B435" s="173"/>
      <c r="C435" s="174"/>
    </row>
    <row r="436">
      <c r="B436" s="173"/>
      <c r="C436" s="174"/>
    </row>
    <row r="437">
      <c r="B437" s="173"/>
      <c r="C437" s="174"/>
    </row>
    <row r="438">
      <c r="B438" s="173"/>
      <c r="C438" s="174"/>
    </row>
    <row r="439">
      <c r="B439" s="173"/>
      <c r="C439" s="174"/>
    </row>
    <row r="440">
      <c r="B440" s="173"/>
      <c r="C440" s="174"/>
    </row>
    <row r="441">
      <c r="B441" s="173"/>
      <c r="C441" s="174"/>
    </row>
    <row r="442">
      <c r="B442" s="173"/>
      <c r="C442" s="174"/>
    </row>
    <row r="443">
      <c r="B443" s="173"/>
      <c r="C443" s="174"/>
    </row>
    <row r="444">
      <c r="B444" s="173"/>
      <c r="C444" s="174"/>
    </row>
    <row r="445">
      <c r="B445" s="173"/>
      <c r="C445" s="174"/>
    </row>
    <row r="446">
      <c r="B446" s="173"/>
      <c r="C446" s="174"/>
    </row>
    <row r="447">
      <c r="B447" s="173"/>
      <c r="C447" s="174"/>
    </row>
    <row r="448">
      <c r="B448" s="173"/>
      <c r="C448" s="174"/>
    </row>
    <row r="449">
      <c r="B449" s="173"/>
      <c r="C449" s="174"/>
    </row>
    <row r="450">
      <c r="B450" s="173"/>
      <c r="C450" s="174"/>
    </row>
    <row r="451">
      <c r="B451" s="173"/>
      <c r="C451" s="174"/>
    </row>
    <row r="452">
      <c r="B452" s="173"/>
      <c r="C452" s="174"/>
    </row>
    <row r="453">
      <c r="B453" s="173"/>
      <c r="C453" s="174"/>
    </row>
    <row r="454">
      <c r="B454" s="173"/>
      <c r="C454" s="174"/>
    </row>
    <row r="455">
      <c r="B455" s="173"/>
      <c r="C455" s="174"/>
    </row>
    <row r="456">
      <c r="B456" s="173"/>
      <c r="C456" s="174"/>
    </row>
    <row r="457">
      <c r="B457" s="173"/>
      <c r="C457" s="174"/>
    </row>
    <row r="458">
      <c r="B458" s="173"/>
      <c r="C458" s="174"/>
    </row>
    <row r="459">
      <c r="B459" s="173"/>
      <c r="C459" s="174"/>
    </row>
    <row r="460">
      <c r="B460" s="173"/>
      <c r="C460" s="174"/>
    </row>
    <row r="461">
      <c r="B461" s="173"/>
      <c r="C461" s="174"/>
    </row>
    <row r="462">
      <c r="B462" s="173"/>
      <c r="C462" s="174"/>
    </row>
    <row r="463">
      <c r="B463" s="173"/>
      <c r="C463" s="174"/>
    </row>
    <row r="464">
      <c r="B464" s="173"/>
      <c r="C464" s="174"/>
    </row>
    <row r="465">
      <c r="B465" s="173"/>
      <c r="C465" s="174"/>
    </row>
    <row r="466">
      <c r="B466" s="173"/>
      <c r="C466" s="174"/>
    </row>
    <row r="467">
      <c r="B467" s="173"/>
      <c r="C467" s="174"/>
    </row>
    <row r="468">
      <c r="B468" s="173"/>
      <c r="C468" s="174"/>
    </row>
    <row r="469">
      <c r="B469" s="173"/>
      <c r="C469" s="174"/>
    </row>
    <row r="470">
      <c r="B470" s="173"/>
      <c r="C470" s="174"/>
    </row>
    <row r="471">
      <c r="B471" s="173"/>
      <c r="C471" s="174"/>
    </row>
    <row r="472">
      <c r="B472" s="173"/>
      <c r="C472" s="174"/>
    </row>
    <row r="473">
      <c r="B473" s="173"/>
      <c r="C473" s="174"/>
    </row>
    <row r="474">
      <c r="B474" s="173"/>
      <c r="C474" s="174"/>
    </row>
    <row r="475">
      <c r="B475" s="173"/>
      <c r="C475" s="174"/>
    </row>
    <row r="476">
      <c r="B476" s="173"/>
      <c r="C476" s="174"/>
    </row>
    <row r="477">
      <c r="B477" s="173"/>
      <c r="C477" s="174"/>
    </row>
    <row r="478">
      <c r="B478" s="173"/>
      <c r="C478" s="174"/>
    </row>
    <row r="479">
      <c r="B479" s="173"/>
      <c r="C479" s="174"/>
    </row>
    <row r="480">
      <c r="B480" s="173"/>
      <c r="C480" s="174"/>
    </row>
    <row r="481">
      <c r="B481" s="173"/>
      <c r="C481" s="174"/>
    </row>
    <row r="482">
      <c r="B482" s="173"/>
      <c r="C482" s="174"/>
    </row>
    <row r="483">
      <c r="B483" s="173"/>
      <c r="C483" s="174"/>
    </row>
    <row r="484">
      <c r="B484" s="173"/>
      <c r="C484" s="174"/>
    </row>
    <row r="485">
      <c r="B485" s="173"/>
      <c r="C485" s="174"/>
    </row>
    <row r="486">
      <c r="B486" s="173"/>
      <c r="C486" s="174"/>
    </row>
    <row r="487">
      <c r="B487" s="173"/>
      <c r="C487" s="174"/>
    </row>
    <row r="488">
      <c r="B488" s="173"/>
      <c r="C488" s="174"/>
    </row>
    <row r="489">
      <c r="B489" s="173"/>
      <c r="C489" s="174"/>
    </row>
    <row r="490">
      <c r="B490" s="173"/>
      <c r="C490" s="174"/>
    </row>
    <row r="491">
      <c r="B491" s="173"/>
      <c r="C491" s="174"/>
    </row>
    <row r="492">
      <c r="B492" s="173"/>
      <c r="C492" s="174"/>
    </row>
    <row r="493">
      <c r="B493" s="173"/>
      <c r="C493" s="174"/>
    </row>
    <row r="494">
      <c r="B494" s="173"/>
      <c r="C494" s="174"/>
    </row>
    <row r="495">
      <c r="B495" s="173"/>
      <c r="C495" s="174"/>
    </row>
    <row r="496">
      <c r="B496" s="173"/>
      <c r="C496" s="174"/>
    </row>
    <row r="497">
      <c r="B497" s="173"/>
      <c r="C497" s="174"/>
    </row>
    <row r="498">
      <c r="B498" s="173"/>
      <c r="C498" s="174"/>
    </row>
    <row r="499">
      <c r="B499" s="173"/>
      <c r="C499" s="174"/>
    </row>
    <row r="500">
      <c r="B500" s="173"/>
      <c r="C500" s="174"/>
    </row>
    <row r="501">
      <c r="B501" s="173"/>
      <c r="C501" s="174"/>
    </row>
    <row r="502">
      <c r="B502" s="173"/>
      <c r="C502" s="174"/>
    </row>
    <row r="503">
      <c r="B503" s="173"/>
      <c r="C503" s="174"/>
    </row>
    <row r="504">
      <c r="B504" s="173"/>
      <c r="C504" s="174"/>
    </row>
    <row r="505">
      <c r="B505" s="173"/>
      <c r="C505" s="174"/>
    </row>
    <row r="506">
      <c r="B506" s="173"/>
      <c r="C506" s="174"/>
    </row>
    <row r="507">
      <c r="B507" s="173"/>
      <c r="C507" s="174"/>
    </row>
    <row r="508">
      <c r="B508" s="173"/>
      <c r="C508" s="174"/>
    </row>
    <row r="509">
      <c r="B509" s="173"/>
      <c r="C509" s="174"/>
    </row>
    <row r="510">
      <c r="B510" s="173"/>
      <c r="C510" s="174"/>
    </row>
    <row r="511">
      <c r="B511" s="173"/>
      <c r="C511" s="174"/>
    </row>
    <row r="512">
      <c r="B512" s="173"/>
      <c r="C512" s="174"/>
    </row>
    <row r="513">
      <c r="B513" s="173"/>
      <c r="C513" s="174"/>
    </row>
    <row r="514">
      <c r="B514" s="173"/>
      <c r="C514" s="174"/>
    </row>
    <row r="515">
      <c r="B515" s="173"/>
      <c r="C515" s="174"/>
    </row>
    <row r="516">
      <c r="B516" s="173"/>
      <c r="C516" s="174"/>
    </row>
    <row r="517">
      <c r="B517" s="173"/>
      <c r="C517" s="174"/>
    </row>
    <row r="518">
      <c r="B518" s="173"/>
      <c r="C518" s="174"/>
    </row>
    <row r="519">
      <c r="B519" s="173"/>
      <c r="C519" s="174"/>
    </row>
    <row r="520">
      <c r="B520" s="173"/>
      <c r="C520" s="174"/>
    </row>
    <row r="521">
      <c r="B521" s="173"/>
      <c r="C521" s="174"/>
    </row>
    <row r="522">
      <c r="B522" s="173"/>
      <c r="C522" s="174"/>
    </row>
    <row r="523">
      <c r="B523" s="173"/>
      <c r="C523" s="174"/>
    </row>
    <row r="524">
      <c r="B524" s="173"/>
      <c r="C524" s="174"/>
    </row>
    <row r="525">
      <c r="B525" s="173"/>
      <c r="C525" s="174"/>
    </row>
    <row r="526">
      <c r="B526" s="173"/>
      <c r="C526" s="174"/>
    </row>
    <row r="527">
      <c r="B527" s="173"/>
      <c r="C527" s="174"/>
    </row>
    <row r="528">
      <c r="B528" s="173"/>
      <c r="C528" s="174"/>
    </row>
    <row r="529">
      <c r="B529" s="173"/>
      <c r="C529" s="174"/>
    </row>
    <row r="530">
      <c r="B530" s="173"/>
      <c r="C530" s="174"/>
    </row>
    <row r="531">
      <c r="B531" s="173"/>
      <c r="C531" s="174"/>
    </row>
    <row r="532">
      <c r="B532" s="173"/>
      <c r="C532" s="174"/>
    </row>
    <row r="533">
      <c r="B533" s="173"/>
      <c r="C533" s="174"/>
    </row>
    <row r="534">
      <c r="B534" s="173"/>
      <c r="C534" s="174"/>
    </row>
    <row r="535">
      <c r="B535" s="173"/>
      <c r="C535" s="174"/>
    </row>
    <row r="536">
      <c r="B536" s="173"/>
      <c r="C536" s="174"/>
    </row>
    <row r="537">
      <c r="B537" s="173"/>
      <c r="C537" s="174"/>
    </row>
    <row r="538">
      <c r="B538" s="173"/>
      <c r="C538" s="174"/>
    </row>
    <row r="539">
      <c r="B539" s="173"/>
      <c r="C539" s="174"/>
    </row>
    <row r="540">
      <c r="B540" s="173"/>
      <c r="C540" s="174"/>
    </row>
    <row r="541">
      <c r="B541" s="173"/>
      <c r="C541" s="174"/>
    </row>
    <row r="542">
      <c r="B542" s="173"/>
      <c r="C542" s="174"/>
    </row>
    <row r="543">
      <c r="B543" s="173"/>
      <c r="C543" s="174"/>
    </row>
    <row r="544">
      <c r="B544" s="173"/>
      <c r="C544" s="174"/>
    </row>
    <row r="545">
      <c r="B545" s="173"/>
      <c r="C545" s="174"/>
    </row>
    <row r="546">
      <c r="B546" s="173"/>
      <c r="C546" s="174"/>
    </row>
    <row r="547">
      <c r="B547" s="173"/>
      <c r="C547" s="174"/>
    </row>
    <row r="548">
      <c r="B548" s="173"/>
      <c r="C548" s="174"/>
    </row>
    <row r="549">
      <c r="B549" s="173"/>
      <c r="C549" s="174"/>
    </row>
    <row r="550">
      <c r="B550" s="173"/>
      <c r="C550" s="174"/>
    </row>
    <row r="551">
      <c r="B551" s="173"/>
      <c r="C551" s="174"/>
    </row>
    <row r="552">
      <c r="B552" s="173"/>
      <c r="C552" s="174"/>
    </row>
    <row r="553">
      <c r="B553" s="173"/>
      <c r="C553" s="174"/>
    </row>
    <row r="554">
      <c r="B554" s="173"/>
      <c r="C554" s="174"/>
    </row>
    <row r="555">
      <c r="B555" s="173"/>
      <c r="C555" s="174"/>
    </row>
    <row r="556">
      <c r="B556" s="173"/>
      <c r="C556" s="174"/>
    </row>
    <row r="557">
      <c r="B557" s="173"/>
      <c r="C557" s="174"/>
    </row>
    <row r="558">
      <c r="B558" s="173"/>
      <c r="C558" s="174"/>
    </row>
    <row r="559">
      <c r="B559" s="173"/>
      <c r="C559" s="174"/>
    </row>
    <row r="560">
      <c r="B560" s="173"/>
      <c r="C560" s="174"/>
    </row>
    <row r="561">
      <c r="B561" s="173"/>
      <c r="C561" s="174"/>
    </row>
    <row r="562">
      <c r="B562" s="173"/>
      <c r="C562" s="174"/>
    </row>
    <row r="563">
      <c r="B563" s="173"/>
      <c r="C563" s="174"/>
    </row>
    <row r="564">
      <c r="B564" s="173"/>
      <c r="C564" s="174"/>
    </row>
    <row r="565">
      <c r="B565" s="173"/>
      <c r="C565" s="174"/>
    </row>
    <row r="566">
      <c r="B566" s="173"/>
      <c r="C566" s="174"/>
    </row>
    <row r="567">
      <c r="B567" s="173"/>
      <c r="C567" s="174"/>
    </row>
    <row r="568">
      <c r="B568" s="173"/>
      <c r="C568" s="174"/>
    </row>
    <row r="569">
      <c r="B569" s="173"/>
      <c r="C569" s="174"/>
    </row>
    <row r="570">
      <c r="B570" s="173"/>
      <c r="C570" s="174"/>
    </row>
    <row r="571">
      <c r="B571" s="173"/>
      <c r="C571" s="174"/>
    </row>
    <row r="572">
      <c r="B572" s="173"/>
      <c r="C572" s="174"/>
    </row>
    <row r="573">
      <c r="B573" s="173"/>
      <c r="C573" s="174"/>
    </row>
    <row r="574">
      <c r="B574" s="173"/>
      <c r="C574" s="174"/>
    </row>
    <row r="575">
      <c r="B575" s="173"/>
      <c r="C575" s="174"/>
    </row>
    <row r="576">
      <c r="B576" s="173"/>
      <c r="C576" s="174"/>
    </row>
    <row r="577">
      <c r="B577" s="173"/>
      <c r="C577" s="174"/>
    </row>
    <row r="578">
      <c r="B578" s="173"/>
      <c r="C578" s="174"/>
    </row>
    <row r="579">
      <c r="B579" s="173"/>
      <c r="C579" s="174"/>
    </row>
    <row r="580">
      <c r="B580" s="173"/>
      <c r="C580" s="174"/>
    </row>
    <row r="581">
      <c r="B581" s="173"/>
      <c r="C581" s="174"/>
    </row>
    <row r="582">
      <c r="B582" s="173"/>
      <c r="C582" s="174"/>
    </row>
    <row r="583">
      <c r="B583" s="173"/>
      <c r="C583" s="174"/>
    </row>
    <row r="584">
      <c r="B584" s="173"/>
      <c r="C584" s="174"/>
    </row>
    <row r="585">
      <c r="B585" s="173"/>
      <c r="C585" s="174"/>
    </row>
    <row r="586">
      <c r="B586" s="173"/>
      <c r="C586" s="174"/>
    </row>
    <row r="587">
      <c r="B587" s="173"/>
      <c r="C587" s="174"/>
    </row>
    <row r="588">
      <c r="B588" s="173"/>
      <c r="C588" s="174"/>
    </row>
    <row r="589">
      <c r="B589" s="173"/>
      <c r="C589" s="174"/>
    </row>
    <row r="590">
      <c r="B590" s="173"/>
      <c r="C590" s="174"/>
    </row>
    <row r="591">
      <c r="B591" s="173"/>
      <c r="C591" s="174"/>
    </row>
    <row r="592">
      <c r="B592" s="173"/>
      <c r="C592" s="174"/>
    </row>
    <row r="593">
      <c r="B593" s="173"/>
      <c r="C593" s="174"/>
    </row>
    <row r="594">
      <c r="B594" s="173"/>
      <c r="C594" s="174"/>
    </row>
    <row r="595">
      <c r="B595" s="173"/>
      <c r="C595" s="174"/>
    </row>
    <row r="596">
      <c r="B596" s="173"/>
      <c r="C596" s="174"/>
    </row>
    <row r="597">
      <c r="B597" s="173"/>
      <c r="C597" s="174"/>
    </row>
    <row r="598">
      <c r="B598" s="173"/>
      <c r="C598" s="174"/>
    </row>
    <row r="599">
      <c r="B599" s="173"/>
      <c r="C599" s="174"/>
    </row>
    <row r="600">
      <c r="B600" s="173"/>
      <c r="C600" s="174"/>
    </row>
    <row r="601">
      <c r="B601" s="173"/>
      <c r="C601" s="174"/>
    </row>
    <row r="602">
      <c r="B602" s="173"/>
      <c r="C602" s="174"/>
    </row>
    <row r="603">
      <c r="B603" s="173"/>
      <c r="C603" s="174"/>
    </row>
    <row r="604">
      <c r="B604" s="173"/>
      <c r="C604" s="174"/>
    </row>
    <row r="605">
      <c r="B605" s="173"/>
      <c r="C605" s="174"/>
    </row>
    <row r="606">
      <c r="B606" s="173"/>
      <c r="C606" s="174"/>
    </row>
    <row r="607">
      <c r="B607" s="173"/>
      <c r="C607" s="174"/>
    </row>
    <row r="608">
      <c r="B608" s="173"/>
      <c r="C608" s="174"/>
    </row>
    <row r="609">
      <c r="B609" s="173"/>
      <c r="C609" s="174"/>
    </row>
    <row r="610">
      <c r="B610" s="173"/>
      <c r="C610" s="174"/>
    </row>
    <row r="611">
      <c r="B611" s="173"/>
      <c r="C611" s="174"/>
    </row>
    <row r="612">
      <c r="B612" s="173"/>
      <c r="C612" s="174"/>
    </row>
    <row r="613">
      <c r="B613" s="173"/>
      <c r="C613" s="174"/>
    </row>
    <row r="614">
      <c r="B614" s="173"/>
      <c r="C614" s="174"/>
    </row>
    <row r="615">
      <c r="B615" s="173"/>
      <c r="C615" s="174"/>
    </row>
    <row r="616">
      <c r="B616" s="173"/>
      <c r="C616" s="174"/>
    </row>
    <row r="617">
      <c r="B617" s="173"/>
      <c r="C617" s="174"/>
    </row>
    <row r="618">
      <c r="B618" s="173"/>
      <c r="C618" s="174"/>
    </row>
    <row r="619">
      <c r="B619" s="173"/>
      <c r="C619" s="174"/>
    </row>
    <row r="620">
      <c r="B620" s="173"/>
      <c r="C620" s="174"/>
    </row>
    <row r="621">
      <c r="B621" s="173"/>
      <c r="C621" s="174"/>
    </row>
    <row r="622">
      <c r="B622" s="173"/>
      <c r="C622" s="174"/>
    </row>
    <row r="623">
      <c r="B623" s="173"/>
      <c r="C623" s="174"/>
    </row>
    <row r="624">
      <c r="B624" s="173"/>
      <c r="C624" s="174"/>
    </row>
    <row r="625">
      <c r="B625" s="173"/>
      <c r="C625" s="174"/>
    </row>
    <row r="626">
      <c r="B626" s="173"/>
      <c r="C626" s="174"/>
    </row>
    <row r="627">
      <c r="B627" s="173"/>
      <c r="C627" s="174"/>
    </row>
    <row r="628">
      <c r="B628" s="173"/>
      <c r="C628" s="174"/>
    </row>
    <row r="629">
      <c r="B629" s="173"/>
      <c r="C629" s="174"/>
    </row>
    <row r="630">
      <c r="B630" s="173"/>
      <c r="C630" s="174"/>
    </row>
    <row r="631">
      <c r="B631" s="173"/>
      <c r="C631" s="174"/>
    </row>
    <row r="632">
      <c r="B632" s="173"/>
      <c r="C632" s="174"/>
    </row>
    <row r="633">
      <c r="B633" s="173"/>
      <c r="C633" s="174"/>
    </row>
    <row r="634">
      <c r="B634" s="173"/>
      <c r="C634" s="174"/>
    </row>
    <row r="635">
      <c r="B635" s="173"/>
      <c r="C635" s="174"/>
    </row>
    <row r="636">
      <c r="B636" s="173"/>
      <c r="C636" s="174"/>
    </row>
    <row r="637">
      <c r="B637" s="173"/>
      <c r="C637" s="174"/>
    </row>
    <row r="638">
      <c r="B638" s="173"/>
      <c r="C638" s="174"/>
    </row>
    <row r="639">
      <c r="B639" s="173"/>
      <c r="C639" s="174"/>
    </row>
    <row r="640">
      <c r="B640" s="173"/>
      <c r="C640" s="174"/>
    </row>
    <row r="641">
      <c r="B641" s="173"/>
      <c r="C641" s="174"/>
    </row>
    <row r="642">
      <c r="B642" s="173"/>
      <c r="C642" s="174"/>
    </row>
    <row r="643">
      <c r="B643" s="173"/>
      <c r="C643" s="174"/>
    </row>
    <row r="644">
      <c r="B644" s="173"/>
      <c r="C644" s="174"/>
    </row>
    <row r="645">
      <c r="B645" s="173"/>
      <c r="C645" s="174"/>
    </row>
    <row r="646">
      <c r="B646" s="173"/>
      <c r="C646" s="174"/>
    </row>
    <row r="647">
      <c r="B647" s="173"/>
      <c r="C647" s="174"/>
    </row>
    <row r="648">
      <c r="B648" s="173"/>
      <c r="C648" s="174"/>
    </row>
    <row r="649">
      <c r="B649" s="173"/>
      <c r="C649" s="174"/>
    </row>
    <row r="650">
      <c r="B650" s="173"/>
      <c r="C650" s="174"/>
    </row>
    <row r="651">
      <c r="B651" s="173"/>
      <c r="C651" s="174"/>
    </row>
    <row r="652">
      <c r="B652" s="173"/>
      <c r="C652" s="174"/>
    </row>
    <row r="653">
      <c r="B653" s="173"/>
      <c r="C653" s="174"/>
    </row>
    <row r="654">
      <c r="B654" s="173"/>
      <c r="C654" s="174"/>
    </row>
    <row r="655">
      <c r="B655" s="173"/>
      <c r="C655" s="174"/>
    </row>
    <row r="656">
      <c r="B656" s="173"/>
      <c r="C656" s="174"/>
    </row>
    <row r="657">
      <c r="B657" s="173"/>
      <c r="C657" s="174"/>
    </row>
    <row r="658">
      <c r="B658" s="173"/>
      <c r="C658" s="174"/>
    </row>
    <row r="659">
      <c r="B659" s="173"/>
      <c r="C659" s="174"/>
    </row>
    <row r="660">
      <c r="B660" s="173"/>
      <c r="C660" s="174"/>
    </row>
    <row r="661">
      <c r="B661" s="173"/>
      <c r="C661" s="174"/>
    </row>
    <row r="662">
      <c r="B662" s="173"/>
      <c r="C662" s="174"/>
    </row>
    <row r="663">
      <c r="B663" s="173"/>
      <c r="C663" s="174"/>
    </row>
    <row r="664">
      <c r="B664" s="173"/>
      <c r="C664" s="174"/>
    </row>
    <row r="665">
      <c r="B665" s="173"/>
      <c r="C665" s="174"/>
    </row>
    <row r="666">
      <c r="B666" s="173"/>
      <c r="C666" s="174"/>
    </row>
    <row r="667">
      <c r="B667" s="173"/>
      <c r="C667" s="174"/>
    </row>
    <row r="668">
      <c r="B668" s="173"/>
      <c r="C668" s="174"/>
    </row>
    <row r="669">
      <c r="B669" s="173"/>
      <c r="C669" s="174"/>
    </row>
    <row r="670">
      <c r="B670" s="173"/>
      <c r="C670" s="174"/>
    </row>
    <row r="671">
      <c r="B671" s="173"/>
      <c r="C671" s="174"/>
    </row>
    <row r="672">
      <c r="B672" s="173"/>
      <c r="C672" s="174"/>
    </row>
    <row r="673">
      <c r="B673" s="173"/>
      <c r="C673" s="174"/>
    </row>
    <row r="674">
      <c r="B674" s="173"/>
      <c r="C674" s="174"/>
    </row>
    <row r="675">
      <c r="B675" s="173"/>
      <c r="C675" s="174"/>
    </row>
    <row r="676">
      <c r="B676" s="173"/>
      <c r="C676" s="174"/>
    </row>
    <row r="677">
      <c r="B677" s="173"/>
      <c r="C677" s="174"/>
    </row>
    <row r="678">
      <c r="B678" s="173"/>
      <c r="C678" s="174"/>
    </row>
    <row r="679">
      <c r="B679" s="173"/>
      <c r="C679" s="174"/>
    </row>
    <row r="680">
      <c r="B680" s="173"/>
      <c r="C680" s="174"/>
    </row>
    <row r="681">
      <c r="B681" s="173"/>
      <c r="C681" s="174"/>
    </row>
    <row r="682">
      <c r="B682" s="173"/>
      <c r="C682" s="174"/>
    </row>
    <row r="683">
      <c r="B683" s="173"/>
      <c r="C683" s="174"/>
    </row>
    <row r="684">
      <c r="B684" s="173"/>
      <c r="C684" s="174"/>
    </row>
    <row r="685">
      <c r="B685" s="173"/>
      <c r="C685" s="174"/>
    </row>
    <row r="686">
      <c r="B686" s="173"/>
      <c r="C686" s="174"/>
    </row>
    <row r="687">
      <c r="B687" s="173"/>
      <c r="C687" s="174"/>
    </row>
    <row r="688">
      <c r="B688" s="173"/>
      <c r="C688" s="174"/>
    </row>
    <row r="689">
      <c r="B689" s="173"/>
      <c r="C689" s="174"/>
    </row>
    <row r="690">
      <c r="B690" s="173"/>
      <c r="C690" s="174"/>
    </row>
    <row r="691">
      <c r="B691" s="173"/>
      <c r="C691" s="174"/>
    </row>
    <row r="692">
      <c r="B692" s="173"/>
      <c r="C692" s="174"/>
    </row>
    <row r="693">
      <c r="B693" s="173"/>
      <c r="C693" s="174"/>
    </row>
    <row r="694">
      <c r="B694" s="173"/>
      <c r="C694" s="174"/>
    </row>
    <row r="695">
      <c r="B695" s="173"/>
      <c r="C695" s="174"/>
    </row>
    <row r="696">
      <c r="B696" s="173"/>
      <c r="C696" s="174"/>
    </row>
    <row r="697">
      <c r="B697" s="173"/>
      <c r="C697" s="174"/>
    </row>
    <row r="698">
      <c r="B698" s="173"/>
      <c r="C698" s="174"/>
    </row>
    <row r="699">
      <c r="B699" s="173"/>
      <c r="C699" s="174"/>
    </row>
    <row r="700">
      <c r="B700" s="173"/>
      <c r="C700" s="174"/>
    </row>
    <row r="701">
      <c r="B701" s="173"/>
      <c r="C701" s="174"/>
    </row>
    <row r="702">
      <c r="B702" s="173"/>
      <c r="C702" s="174"/>
    </row>
    <row r="703">
      <c r="B703" s="173"/>
      <c r="C703" s="174"/>
    </row>
    <row r="704">
      <c r="B704" s="173"/>
      <c r="C704" s="174"/>
    </row>
    <row r="705">
      <c r="B705" s="173"/>
      <c r="C705" s="174"/>
    </row>
    <row r="706">
      <c r="B706" s="173"/>
      <c r="C706" s="174"/>
    </row>
    <row r="707">
      <c r="B707" s="173"/>
      <c r="C707" s="174"/>
    </row>
    <row r="708">
      <c r="B708" s="173"/>
      <c r="C708" s="174"/>
    </row>
    <row r="709">
      <c r="B709" s="173"/>
      <c r="C709" s="174"/>
    </row>
    <row r="710">
      <c r="B710" s="173"/>
      <c r="C710" s="174"/>
    </row>
    <row r="711">
      <c r="B711" s="173"/>
      <c r="C711" s="174"/>
    </row>
    <row r="712">
      <c r="B712" s="173"/>
      <c r="C712" s="174"/>
    </row>
    <row r="713">
      <c r="B713" s="173"/>
      <c r="C713" s="174"/>
    </row>
    <row r="714">
      <c r="B714" s="173"/>
      <c r="C714" s="174"/>
    </row>
    <row r="715">
      <c r="B715" s="173"/>
      <c r="C715" s="174"/>
    </row>
    <row r="716">
      <c r="B716" s="173"/>
      <c r="C716" s="174"/>
    </row>
    <row r="717">
      <c r="B717" s="173"/>
      <c r="C717" s="174"/>
    </row>
    <row r="718">
      <c r="B718" s="173"/>
      <c r="C718" s="174"/>
    </row>
    <row r="719">
      <c r="B719" s="173"/>
      <c r="C719" s="174"/>
    </row>
    <row r="720">
      <c r="B720" s="173"/>
      <c r="C720" s="174"/>
    </row>
    <row r="721">
      <c r="B721" s="173"/>
      <c r="C721" s="174"/>
    </row>
    <row r="722">
      <c r="B722" s="173"/>
      <c r="C722" s="174"/>
    </row>
    <row r="723">
      <c r="B723" s="173"/>
      <c r="C723" s="174"/>
    </row>
    <row r="724">
      <c r="B724" s="173"/>
      <c r="C724" s="174"/>
    </row>
    <row r="725">
      <c r="B725" s="173"/>
      <c r="C725" s="174"/>
    </row>
    <row r="726">
      <c r="B726" s="173"/>
      <c r="C726" s="174"/>
    </row>
    <row r="727">
      <c r="B727" s="173"/>
      <c r="C727" s="174"/>
    </row>
    <row r="728">
      <c r="B728" s="173"/>
      <c r="C728" s="174"/>
    </row>
    <row r="729">
      <c r="B729" s="173"/>
      <c r="C729" s="174"/>
    </row>
    <row r="730">
      <c r="B730" s="173"/>
      <c r="C730" s="174"/>
    </row>
    <row r="731">
      <c r="B731" s="173"/>
      <c r="C731" s="174"/>
    </row>
    <row r="732">
      <c r="B732" s="173"/>
      <c r="C732" s="174"/>
    </row>
    <row r="733">
      <c r="B733" s="173"/>
      <c r="C733" s="174"/>
    </row>
    <row r="734">
      <c r="B734" s="173"/>
      <c r="C734" s="174"/>
    </row>
    <row r="735">
      <c r="B735" s="173"/>
      <c r="C735" s="174"/>
    </row>
    <row r="736">
      <c r="B736" s="173"/>
      <c r="C736" s="174"/>
    </row>
    <row r="737">
      <c r="B737" s="173"/>
      <c r="C737" s="174"/>
    </row>
    <row r="738">
      <c r="B738" s="173"/>
      <c r="C738" s="174"/>
    </row>
    <row r="739">
      <c r="B739" s="173"/>
      <c r="C739" s="174"/>
    </row>
    <row r="740">
      <c r="B740" s="173"/>
      <c r="C740" s="174"/>
    </row>
    <row r="741">
      <c r="B741" s="173"/>
      <c r="C741" s="174"/>
    </row>
    <row r="742">
      <c r="B742" s="173"/>
      <c r="C742" s="174"/>
    </row>
    <row r="743">
      <c r="B743" s="173"/>
      <c r="C743" s="174"/>
    </row>
    <row r="744">
      <c r="B744" s="173"/>
      <c r="C744" s="174"/>
    </row>
    <row r="745">
      <c r="B745" s="173"/>
      <c r="C745" s="174"/>
    </row>
    <row r="746">
      <c r="B746" s="173"/>
      <c r="C746" s="174"/>
    </row>
    <row r="747">
      <c r="B747" s="173"/>
      <c r="C747" s="174"/>
    </row>
    <row r="748">
      <c r="B748" s="173"/>
      <c r="C748" s="174"/>
    </row>
    <row r="749">
      <c r="B749" s="173"/>
      <c r="C749" s="174"/>
    </row>
    <row r="750">
      <c r="B750" s="173"/>
      <c r="C750" s="174"/>
    </row>
    <row r="751">
      <c r="B751" s="173"/>
      <c r="C751" s="174"/>
    </row>
    <row r="752">
      <c r="B752" s="173"/>
      <c r="C752" s="174"/>
    </row>
    <row r="753">
      <c r="B753" s="173"/>
      <c r="C753" s="174"/>
    </row>
    <row r="754">
      <c r="B754" s="173"/>
      <c r="C754" s="174"/>
    </row>
    <row r="755">
      <c r="B755" s="173"/>
      <c r="C755" s="174"/>
    </row>
    <row r="756">
      <c r="B756" s="173"/>
      <c r="C756" s="174"/>
    </row>
    <row r="757">
      <c r="B757" s="173"/>
      <c r="C757" s="174"/>
    </row>
    <row r="758">
      <c r="B758" s="173"/>
      <c r="C758" s="174"/>
    </row>
    <row r="759">
      <c r="B759" s="173"/>
      <c r="C759" s="174"/>
    </row>
    <row r="760">
      <c r="B760" s="173"/>
      <c r="C760" s="174"/>
    </row>
    <row r="761">
      <c r="B761" s="173"/>
      <c r="C761" s="174"/>
    </row>
    <row r="762">
      <c r="B762" s="173"/>
      <c r="C762" s="174"/>
    </row>
    <row r="763">
      <c r="B763" s="173"/>
      <c r="C763" s="174"/>
    </row>
    <row r="764">
      <c r="B764" s="173"/>
      <c r="C764" s="174"/>
    </row>
    <row r="765">
      <c r="B765" s="173"/>
      <c r="C765" s="174"/>
    </row>
    <row r="766">
      <c r="B766" s="173"/>
      <c r="C766" s="174"/>
    </row>
    <row r="767">
      <c r="B767" s="173"/>
      <c r="C767" s="174"/>
    </row>
    <row r="768">
      <c r="B768" s="173"/>
      <c r="C768" s="174"/>
    </row>
    <row r="769">
      <c r="B769" s="173"/>
      <c r="C769" s="174"/>
    </row>
    <row r="770">
      <c r="B770" s="173"/>
      <c r="C770" s="174"/>
    </row>
    <row r="771">
      <c r="B771" s="173"/>
      <c r="C771" s="174"/>
    </row>
    <row r="772">
      <c r="B772" s="173"/>
      <c r="C772" s="174"/>
    </row>
    <row r="773">
      <c r="B773" s="173"/>
      <c r="C773" s="174"/>
    </row>
    <row r="774">
      <c r="B774" s="173"/>
      <c r="C774" s="174"/>
    </row>
    <row r="775">
      <c r="B775" s="173"/>
      <c r="C775" s="174"/>
    </row>
    <row r="776">
      <c r="B776" s="173"/>
      <c r="C776" s="174"/>
    </row>
    <row r="777">
      <c r="B777" s="173"/>
      <c r="C777" s="174"/>
    </row>
    <row r="778">
      <c r="B778" s="173"/>
      <c r="C778" s="174"/>
    </row>
    <row r="779">
      <c r="B779" s="173"/>
      <c r="C779" s="174"/>
    </row>
    <row r="780">
      <c r="B780" s="173"/>
      <c r="C780" s="174"/>
    </row>
    <row r="781">
      <c r="B781" s="173"/>
      <c r="C781" s="174"/>
    </row>
    <row r="782">
      <c r="B782" s="173"/>
      <c r="C782" s="174"/>
    </row>
    <row r="783">
      <c r="B783" s="173"/>
      <c r="C783" s="174"/>
    </row>
    <row r="784">
      <c r="B784" s="173"/>
      <c r="C784" s="174"/>
    </row>
    <row r="785">
      <c r="B785" s="173"/>
      <c r="C785" s="174"/>
    </row>
    <row r="786">
      <c r="B786" s="173"/>
      <c r="C786" s="174"/>
    </row>
    <row r="787">
      <c r="B787" s="173"/>
      <c r="C787" s="174"/>
    </row>
    <row r="788">
      <c r="B788" s="173"/>
      <c r="C788" s="174"/>
    </row>
    <row r="789">
      <c r="B789" s="173"/>
      <c r="C789" s="174"/>
    </row>
    <row r="790">
      <c r="B790" s="173"/>
      <c r="C790" s="174"/>
    </row>
    <row r="791">
      <c r="B791" s="173"/>
      <c r="C791" s="174"/>
    </row>
    <row r="792">
      <c r="B792" s="173"/>
      <c r="C792" s="174"/>
    </row>
    <row r="793">
      <c r="B793" s="173"/>
      <c r="C793" s="174"/>
    </row>
    <row r="794">
      <c r="B794" s="173"/>
      <c r="C794" s="174"/>
    </row>
    <row r="795">
      <c r="B795" s="173"/>
      <c r="C795" s="174"/>
    </row>
    <row r="796">
      <c r="B796" s="173"/>
      <c r="C796" s="174"/>
    </row>
    <row r="797">
      <c r="B797" s="173"/>
      <c r="C797" s="174"/>
    </row>
    <row r="798">
      <c r="B798" s="173"/>
      <c r="C798" s="174"/>
    </row>
    <row r="799">
      <c r="B799" s="173"/>
      <c r="C799" s="174"/>
    </row>
    <row r="800">
      <c r="B800" s="173"/>
      <c r="C800" s="174"/>
    </row>
    <row r="801">
      <c r="B801" s="173"/>
      <c r="C801" s="174"/>
    </row>
    <row r="802">
      <c r="B802" s="173"/>
      <c r="C802" s="174"/>
    </row>
    <row r="803">
      <c r="B803" s="173"/>
      <c r="C803" s="174"/>
    </row>
    <row r="804">
      <c r="B804" s="173"/>
      <c r="C804" s="174"/>
    </row>
    <row r="805">
      <c r="B805" s="173"/>
      <c r="C805" s="174"/>
    </row>
    <row r="806">
      <c r="B806" s="173"/>
      <c r="C806" s="174"/>
    </row>
    <row r="807">
      <c r="B807" s="173"/>
      <c r="C807" s="174"/>
    </row>
    <row r="808">
      <c r="B808" s="173"/>
      <c r="C808" s="174"/>
    </row>
    <row r="809">
      <c r="B809" s="173"/>
      <c r="C809" s="174"/>
    </row>
    <row r="810">
      <c r="B810" s="173"/>
      <c r="C810" s="174"/>
    </row>
    <row r="811">
      <c r="B811" s="173"/>
      <c r="C811" s="174"/>
    </row>
    <row r="812">
      <c r="B812" s="173"/>
      <c r="C812" s="174"/>
    </row>
    <row r="813">
      <c r="B813" s="173"/>
      <c r="C813" s="174"/>
    </row>
    <row r="814">
      <c r="B814" s="173"/>
      <c r="C814" s="174"/>
    </row>
    <row r="815">
      <c r="B815" s="173"/>
      <c r="C815" s="174"/>
    </row>
    <row r="816">
      <c r="B816" s="173"/>
      <c r="C816" s="174"/>
    </row>
    <row r="817">
      <c r="B817" s="173"/>
      <c r="C817" s="174"/>
    </row>
    <row r="818">
      <c r="B818" s="173"/>
      <c r="C818" s="174"/>
    </row>
    <row r="819">
      <c r="B819" s="173"/>
      <c r="C819" s="174"/>
    </row>
    <row r="820">
      <c r="B820" s="173"/>
      <c r="C820" s="174"/>
    </row>
    <row r="821">
      <c r="B821" s="173"/>
      <c r="C821" s="174"/>
    </row>
    <row r="822">
      <c r="B822" s="173"/>
      <c r="C822" s="174"/>
    </row>
    <row r="823">
      <c r="B823" s="173"/>
      <c r="C823" s="174"/>
    </row>
    <row r="824">
      <c r="B824" s="173"/>
      <c r="C824" s="174"/>
    </row>
    <row r="825">
      <c r="B825" s="173"/>
      <c r="C825" s="174"/>
    </row>
    <row r="826">
      <c r="B826" s="173"/>
      <c r="C826" s="174"/>
    </row>
    <row r="827">
      <c r="B827" s="173"/>
      <c r="C827" s="174"/>
    </row>
    <row r="828">
      <c r="B828" s="173"/>
      <c r="C828" s="174"/>
    </row>
    <row r="829">
      <c r="B829" s="173"/>
      <c r="C829" s="174"/>
    </row>
    <row r="830">
      <c r="B830" s="173"/>
      <c r="C830" s="174"/>
    </row>
    <row r="831">
      <c r="B831" s="173"/>
      <c r="C831" s="174"/>
    </row>
    <row r="832">
      <c r="B832" s="173"/>
      <c r="C832" s="174"/>
    </row>
    <row r="833">
      <c r="B833" s="173"/>
      <c r="C833" s="174"/>
    </row>
    <row r="834">
      <c r="B834" s="173"/>
      <c r="C834" s="174"/>
    </row>
    <row r="835">
      <c r="B835" s="173"/>
      <c r="C835" s="174"/>
    </row>
    <row r="836">
      <c r="B836" s="173"/>
      <c r="C836" s="174"/>
    </row>
    <row r="837">
      <c r="B837" s="173"/>
      <c r="C837" s="174"/>
    </row>
    <row r="838">
      <c r="B838" s="173"/>
      <c r="C838" s="174"/>
    </row>
    <row r="839">
      <c r="B839" s="173"/>
      <c r="C839" s="174"/>
    </row>
    <row r="840">
      <c r="B840" s="173"/>
      <c r="C840" s="174"/>
    </row>
    <row r="841">
      <c r="B841" s="173"/>
      <c r="C841" s="174"/>
    </row>
    <row r="842">
      <c r="B842" s="173"/>
      <c r="C842" s="174"/>
    </row>
    <row r="843">
      <c r="B843" s="173"/>
      <c r="C843" s="174"/>
    </row>
    <row r="844">
      <c r="B844" s="173"/>
      <c r="C844" s="174"/>
    </row>
    <row r="845">
      <c r="B845" s="173"/>
      <c r="C845" s="174"/>
    </row>
    <row r="846">
      <c r="B846" s="173"/>
      <c r="C846" s="174"/>
    </row>
    <row r="847">
      <c r="B847" s="173"/>
      <c r="C847" s="174"/>
    </row>
    <row r="848">
      <c r="B848" s="173"/>
      <c r="C848" s="174"/>
    </row>
    <row r="849">
      <c r="B849" s="173"/>
      <c r="C849" s="174"/>
    </row>
    <row r="850">
      <c r="B850" s="173"/>
      <c r="C850" s="174"/>
    </row>
    <row r="851">
      <c r="B851" s="173"/>
      <c r="C851" s="174"/>
    </row>
    <row r="852">
      <c r="B852" s="173"/>
      <c r="C852" s="174"/>
    </row>
    <row r="853">
      <c r="B853" s="173"/>
      <c r="C853" s="174"/>
    </row>
    <row r="854">
      <c r="B854" s="173"/>
      <c r="C854" s="174"/>
    </row>
    <row r="855">
      <c r="B855" s="173"/>
      <c r="C855" s="174"/>
    </row>
    <row r="856">
      <c r="B856" s="173"/>
      <c r="C856" s="174"/>
    </row>
    <row r="857">
      <c r="B857" s="173"/>
      <c r="C857" s="174"/>
    </row>
    <row r="858">
      <c r="B858" s="173"/>
      <c r="C858" s="174"/>
    </row>
    <row r="859">
      <c r="B859" s="173"/>
      <c r="C859" s="174"/>
    </row>
    <row r="860">
      <c r="B860" s="173"/>
      <c r="C860" s="174"/>
    </row>
    <row r="861">
      <c r="B861" s="173"/>
      <c r="C861" s="174"/>
    </row>
    <row r="862">
      <c r="B862" s="173"/>
      <c r="C862" s="174"/>
    </row>
    <row r="863">
      <c r="B863" s="173"/>
      <c r="C863" s="174"/>
    </row>
    <row r="864">
      <c r="B864" s="173"/>
      <c r="C864" s="174"/>
    </row>
    <row r="865">
      <c r="B865" s="173"/>
      <c r="C865" s="174"/>
    </row>
    <row r="866">
      <c r="B866" s="173"/>
      <c r="C866" s="174"/>
    </row>
    <row r="867">
      <c r="B867" s="173"/>
      <c r="C867" s="174"/>
    </row>
    <row r="868">
      <c r="B868" s="173"/>
      <c r="C868" s="174"/>
    </row>
    <row r="869">
      <c r="B869" s="173"/>
      <c r="C869" s="174"/>
    </row>
    <row r="870">
      <c r="B870" s="173"/>
      <c r="C870" s="174"/>
    </row>
    <row r="871">
      <c r="B871" s="173"/>
      <c r="C871" s="174"/>
    </row>
    <row r="872">
      <c r="B872" s="173"/>
      <c r="C872" s="174"/>
    </row>
    <row r="873">
      <c r="B873" s="173"/>
      <c r="C873" s="174"/>
    </row>
    <row r="874">
      <c r="B874" s="173"/>
      <c r="C874" s="174"/>
    </row>
    <row r="875">
      <c r="B875" s="173"/>
      <c r="C875" s="174"/>
    </row>
    <row r="876">
      <c r="B876" s="173"/>
      <c r="C876" s="174"/>
    </row>
    <row r="877">
      <c r="B877" s="173"/>
      <c r="C877" s="174"/>
    </row>
    <row r="878">
      <c r="B878" s="173"/>
      <c r="C878" s="174"/>
    </row>
    <row r="879">
      <c r="B879" s="173"/>
      <c r="C879" s="174"/>
    </row>
    <row r="880">
      <c r="B880" s="173"/>
      <c r="C880" s="174"/>
    </row>
    <row r="881">
      <c r="B881" s="173"/>
      <c r="C881" s="174"/>
    </row>
    <row r="882">
      <c r="B882" s="173"/>
      <c r="C882" s="174"/>
    </row>
    <row r="883">
      <c r="B883" s="173"/>
      <c r="C883" s="174"/>
    </row>
    <row r="884">
      <c r="B884" s="173"/>
      <c r="C884" s="174"/>
    </row>
    <row r="885">
      <c r="B885" s="173"/>
      <c r="C885" s="174"/>
    </row>
    <row r="886">
      <c r="B886" s="173"/>
      <c r="C886" s="174"/>
    </row>
    <row r="887">
      <c r="B887" s="173"/>
      <c r="C887" s="174"/>
    </row>
    <row r="888">
      <c r="B888" s="173"/>
      <c r="C888" s="174"/>
    </row>
    <row r="889">
      <c r="B889" s="173"/>
      <c r="C889" s="174"/>
    </row>
    <row r="890">
      <c r="B890" s="173"/>
      <c r="C890" s="174"/>
    </row>
    <row r="891">
      <c r="B891" s="173"/>
      <c r="C891" s="174"/>
    </row>
    <row r="892">
      <c r="B892" s="173"/>
      <c r="C892" s="174"/>
    </row>
    <row r="893">
      <c r="B893" s="173"/>
      <c r="C893" s="174"/>
    </row>
    <row r="894">
      <c r="B894" s="173"/>
      <c r="C894" s="174"/>
    </row>
    <row r="895">
      <c r="B895" s="173"/>
      <c r="C895" s="174"/>
    </row>
    <row r="896">
      <c r="B896" s="173"/>
      <c r="C896" s="174"/>
    </row>
    <row r="897">
      <c r="B897" s="173"/>
      <c r="C897" s="174"/>
    </row>
    <row r="898">
      <c r="B898" s="173"/>
      <c r="C898" s="174"/>
    </row>
    <row r="899">
      <c r="B899" s="173"/>
      <c r="C899" s="174"/>
    </row>
    <row r="900">
      <c r="B900" s="173"/>
      <c r="C900" s="174"/>
    </row>
    <row r="901">
      <c r="B901" s="173"/>
      <c r="C901" s="174"/>
    </row>
    <row r="902">
      <c r="B902" s="173"/>
      <c r="C902" s="174"/>
    </row>
    <row r="903">
      <c r="B903" s="173"/>
      <c r="C903" s="174"/>
    </row>
    <row r="904">
      <c r="B904" s="173"/>
      <c r="C904" s="174"/>
    </row>
    <row r="905">
      <c r="B905" s="173"/>
      <c r="C905" s="174"/>
    </row>
    <row r="906">
      <c r="B906" s="173"/>
      <c r="C906" s="174"/>
    </row>
    <row r="907">
      <c r="B907" s="173"/>
      <c r="C907" s="174"/>
    </row>
    <row r="908">
      <c r="B908" s="173"/>
      <c r="C908" s="174"/>
    </row>
    <row r="909">
      <c r="B909" s="173"/>
      <c r="C909" s="174"/>
    </row>
    <row r="910">
      <c r="B910" s="173"/>
      <c r="C910" s="174"/>
    </row>
    <row r="911">
      <c r="B911" s="173"/>
      <c r="C911" s="174"/>
    </row>
    <row r="912">
      <c r="B912" s="173"/>
      <c r="C912" s="174"/>
    </row>
    <row r="913">
      <c r="B913" s="173"/>
      <c r="C913" s="174"/>
    </row>
    <row r="914">
      <c r="B914" s="173"/>
      <c r="C914" s="174"/>
    </row>
    <row r="915">
      <c r="B915" s="173"/>
      <c r="C915" s="174"/>
    </row>
    <row r="916">
      <c r="B916" s="173"/>
      <c r="C916" s="174"/>
    </row>
    <row r="917">
      <c r="B917" s="173"/>
      <c r="C917" s="174"/>
    </row>
    <row r="918">
      <c r="B918" s="173"/>
      <c r="C918" s="174"/>
    </row>
    <row r="919">
      <c r="B919" s="173"/>
      <c r="C919" s="174"/>
    </row>
    <row r="920">
      <c r="B920" s="173"/>
      <c r="C920" s="174"/>
    </row>
    <row r="921">
      <c r="B921" s="173"/>
      <c r="C921" s="174"/>
    </row>
    <row r="922">
      <c r="B922" s="173"/>
      <c r="C922" s="174"/>
    </row>
    <row r="923">
      <c r="B923" s="173"/>
      <c r="C923" s="174"/>
    </row>
    <row r="924">
      <c r="B924" s="173"/>
      <c r="C924" s="174"/>
    </row>
    <row r="925">
      <c r="B925" s="173"/>
      <c r="C925" s="174"/>
    </row>
    <row r="926">
      <c r="B926" s="173"/>
      <c r="C926" s="174"/>
    </row>
    <row r="927">
      <c r="B927" s="173"/>
      <c r="C927" s="174"/>
    </row>
    <row r="928">
      <c r="B928" s="173"/>
      <c r="C928" s="174"/>
    </row>
    <row r="929">
      <c r="B929" s="173"/>
      <c r="C929" s="174"/>
    </row>
    <row r="930">
      <c r="B930" s="173"/>
      <c r="C930" s="174"/>
    </row>
    <row r="931">
      <c r="B931" s="173"/>
      <c r="C931" s="174"/>
    </row>
    <row r="932">
      <c r="B932" s="173"/>
      <c r="C932" s="174"/>
    </row>
    <row r="933">
      <c r="B933" s="173"/>
      <c r="C933" s="174"/>
    </row>
    <row r="934">
      <c r="B934" s="173"/>
      <c r="C934" s="174"/>
    </row>
    <row r="935">
      <c r="B935" s="173"/>
      <c r="C935" s="174"/>
    </row>
    <row r="936">
      <c r="B936" s="173"/>
      <c r="C936" s="174"/>
    </row>
    <row r="937">
      <c r="B937" s="173"/>
      <c r="C937" s="174"/>
    </row>
    <row r="938">
      <c r="B938" s="173"/>
      <c r="C938" s="174"/>
    </row>
    <row r="939">
      <c r="B939" s="173"/>
      <c r="C939" s="174"/>
    </row>
    <row r="940">
      <c r="B940" s="173"/>
      <c r="C940" s="174"/>
    </row>
    <row r="941">
      <c r="B941" s="173"/>
      <c r="C941" s="174"/>
    </row>
    <row r="942">
      <c r="B942" s="173"/>
      <c r="C942" s="174"/>
    </row>
    <row r="943">
      <c r="B943" s="173"/>
      <c r="C943" s="174"/>
    </row>
    <row r="944">
      <c r="B944" s="173"/>
      <c r="C944" s="174"/>
    </row>
    <row r="945">
      <c r="B945" s="173"/>
      <c r="C945" s="174"/>
    </row>
    <row r="946">
      <c r="B946" s="173"/>
      <c r="C946" s="174"/>
    </row>
    <row r="947">
      <c r="B947" s="173"/>
      <c r="C947" s="174"/>
    </row>
    <row r="948">
      <c r="B948" s="173"/>
      <c r="C948" s="174"/>
    </row>
    <row r="949">
      <c r="B949" s="173"/>
      <c r="C949" s="174"/>
    </row>
    <row r="950">
      <c r="B950" s="173"/>
      <c r="C950" s="174"/>
    </row>
    <row r="951">
      <c r="B951" s="173"/>
      <c r="C951" s="174"/>
    </row>
    <row r="952">
      <c r="B952" s="173"/>
      <c r="C952" s="174"/>
    </row>
    <row r="953">
      <c r="B953" s="173"/>
      <c r="C953" s="174"/>
    </row>
    <row r="954">
      <c r="B954" s="173"/>
      <c r="C954" s="174"/>
    </row>
    <row r="955">
      <c r="B955" s="173"/>
      <c r="C955" s="174"/>
    </row>
    <row r="956">
      <c r="B956" s="173"/>
      <c r="C956" s="174"/>
    </row>
    <row r="957">
      <c r="B957" s="173"/>
      <c r="C957" s="174"/>
    </row>
    <row r="958">
      <c r="B958" s="173"/>
      <c r="C958" s="174"/>
    </row>
    <row r="959">
      <c r="B959" s="173"/>
      <c r="C959" s="174"/>
    </row>
    <row r="960">
      <c r="B960" s="173"/>
      <c r="C960" s="174"/>
    </row>
    <row r="961">
      <c r="B961" s="173"/>
      <c r="C961" s="174"/>
    </row>
    <row r="962">
      <c r="B962" s="173"/>
      <c r="C962" s="174"/>
    </row>
    <row r="963">
      <c r="B963" s="173"/>
      <c r="C963" s="174"/>
    </row>
    <row r="964">
      <c r="B964" s="173"/>
      <c r="C964" s="174"/>
    </row>
    <row r="965">
      <c r="B965" s="173"/>
      <c r="C965" s="174"/>
    </row>
    <row r="966">
      <c r="B966" s="173"/>
      <c r="C966" s="174"/>
    </row>
    <row r="967">
      <c r="B967" s="173"/>
      <c r="C967" s="174"/>
    </row>
    <row r="968">
      <c r="B968" s="173"/>
      <c r="C968" s="174"/>
    </row>
    <row r="969">
      <c r="B969" s="173"/>
      <c r="C969" s="174"/>
    </row>
    <row r="970">
      <c r="B970" s="173"/>
      <c r="C970" s="174"/>
    </row>
    <row r="971">
      <c r="B971" s="173"/>
      <c r="C971" s="174"/>
    </row>
    <row r="972">
      <c r="B972" s="173"/>
      <c r="C972" s="174"/>
    </row>
    <row r="973">
      <c r="B973" s="173"/>
      <c r="C973" s="174"/>
    </row>
    <row r="974">
      <c r="B974" s="173"/>
      <c r="C974" s="174"/>
    </row>
    <row r="975">
      <c r="B975" s="173"/>
      <c r="C975" s="174"/>
    </row>
    <row r="976">
      <c r="B976" s="173"/>
      <c r="C976" s="174"/>
    </row>
    <row r="977">
      <c r="B977" s="173"/>
      <c r="C977" s="174"/>
    </row>
    <row r="978">
      <c r="B978" s="173"/>
      <c r="C978" s="174"/>
    </row>
    <row r="979">
      <c r="B979" s="173"/>
      <c r="C979" s="174"/>
    </row>
    <row r="980">
      <c r="B980" s="173"/>
      <c r="C980" s="174"/>
    </row>
    <row r="981">
      <c r="B981" s="173"/>
      <c r="C981" s="174"/>
    </row>
    <row r="982">
      <c r="B982" s="173"/>
      <c r="C982" s="174"/>
    </row>
    <row r="983">
      <c r="B983" s="173"/>
      <c r="C983" s="174"/>
    </row>
    <row r="984">
      <c r="B984" s="173"/>
      <c r="C984" s="174"/>
    </row>
    <row r="985">
      <c r="B985" s="173"/>
      <c r="C985" s="174"/>
    </row>
    <row r="986">
      <c r="B986" s="173"/>
      <c r="C986" s="174"/>
    </row>
    <row r="987">
      <c r="B987" s="173"/>
      <c r="C987" s="174"/>
    </row>
    <row r="988">
      <c r="B988" s="173"/>
      <c r="C988" s="174"/>
    </row>
    <row r="989">
      <c r="B989" s="173"/>
      <c r="C989" s="174"/>
    </row>
    <row r="990">
      <c r="B990" s="173"/>
      <c r="C990" s="174"/>
    </row>
    <row r="991">
      <c r="B991" s="173"/>
      <c r="C991" s="174"/>
    </row>
    <row r="992">
      <c r="B992" s="173"/>
      <c r="C992" s="174"/>
    </row>
    <row r="993">
      <c r="B993" s="173"/>
      <c r="C993" s="174"/>
    </row>
    <row r="994">
      <c r="B994" s="173"/>
      <c r="C994" s="17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149" t="s">
        <v>199</v>
      </c>
      <c r="B3" s="155"/>
      <c r="C3" s="155"/>
      <c r="D3" s="175"/>
      <c r="E3" s="149" t="s">
        <v>200</v>
      </c>
      <c r="F3" s="155"/>
      <c r="G3" s="155"/>
      <c r="H3" s="175"/>
      <c r="I3" s="149" t="s">
        <v>201</v>
      </c>
      <c r="J3" s="155"/>
      <c r="K3" s="155"/>
      <c r="L3" s="176" t="s">
        <v>202</v>
      </c>
      <c r="M3" s="149" t="s">
        <v>203</v>
      </c>
      <c r="N3" s="155"/>
      <c r="O3" s="155"/>
      <c r="P3" s="175"/>
      <c r="Q3" s="149" t="s">
        <v>204</v>
      </c>
      <c r="R3" s="155"/>
      <c r="S3" s="146"/>
    </row>
    <row r="4">
      <c r="A4" s="177">
        <v>596.0</v>
      </c>
      <c r="B4" s="178" t="s">
        <v>205</v>
      </c>
      <c r="C4" s="179"/>
      <c r="D4" s="175"/>
      <c r="E4" s="177">
        <v>434.0</v>
      </c>
      <c r="F4" s="178" t="s">
        <v>206</v>
      </c>
      <c r="G4" s="179"/>
      <c r="H4" s="175"/>
      <c r="I4" s="177">
        <v>106.0</v>
      </c>
      <c r="J4" s="178" t="s">
        <v>206</v>
      </c>
      <c r="K4" s="179"/>
      <c r="L4" s="175"/>
      <c r="M4" s="177">
        <v>15.0</v>
      </c>
      <c r="N4" s="178" t="s">
        <v>206</v>
      </c>
      <c r="O4" s="179"/>
      <c r="P4" s="175"/>
      <c r="Q4" s="177">
        <v>1051.0</v>
      </c>
      <c r="R4" s="178" t="s">
        <v>205</v>
      </c>
      <c r="S4" s="146"/>
    </row>
    <row r="5">
      <c r="A5" s="177"/>
      <c r="B5" s="178"/>
      <c r="C5" s="179"/>
      <c r="D5" s="175"/>
      <c r="E5" s="177"/>
      <c r="F5" s="178"/>
      <c r="G5" s="179"/>
      <c r="H5" s="175"/>
      <c r="I5" s="177"/>
      <c r="J5" s="178"/>
      <c r="K5" s="179"/>
      <c r="L5" s="175"/>
      <c r="M5" s="177"/>
      <c r="N5" s="178"/>
      <c r="O5" s="179"/>
      <c r="P5" s="175"/>
      <c r="Q5" s="180"/>
      <c r="R5" s="178"/>
      <c r="S5" s="146"/>
    </row>
    <row r="6">
      <c r="A6" s="177">
        <v>700.0</v>
      </c>
      <c r="B6" s="178" t="s">
        <v>207</v>
      </c>
      <c r="C6" s="179"/>
      <c r="D6" s="175"/>
      <c r="E6" s="177">
        <v>456.0</v>
      </c>
      <c r="F6" s="178" t="s">
        <v>207</v>
      </c>
      <c r="G6" s="179"/>
      <c r="H6" s="175"/>
      <c r="I6" s="177">
        <v>45.0</v>
      </c>
      <c r="J6" s="178" t="s">
        <v>207</v>
      </c>
      <c r="K6" s="179"/>
      <c r="L6" s="175"/>
      <c r="M6" s="177">
        <v>65.0</v>
      </c>
      <c r="N6" s="178" t="s">
        <v>207</v>
      </c>
      <c r="O6" s="179"/>
      <c r="P6" s="175"/>
      <c r="Q6" s="180">
        <f t="shared" ref="Q6:Q7" si="1">SUM(A6+E6+I6+M6)</f>
        <v>1266</v>
      </c>
      <c r="R6" s="178" t="s">
        <v>207</v>
      </c>
      <c r="S6" s="146"/>
    </row>
    <row r="7">
      <c r="A7" s="177">
        <v>676.0</v>
      </c>
      <c r="B7" s="178" t="s">
        <v>208</v>
      </c>
      <c r="C7" s="179"/>
      <c r="D7" s="175"/>
      <c r="E7" s="177">
        <v>524.0</v>
      </c>
      <c r="F7" s="178" t="s">
        <v>208</v>
      </c>
      <c r="G7" s="179"/>
      <c r="H7" s="175"/>
      <c r="I7" s="177">
        <v>56.0</v>
      </c>
      <c r="J7" s="178" t="s">
        <v>208</v>
      </c>
      <c r="K7" s="179"/>
      <c r="L7" s="175"/>
      <c r="M7" s="177">
        <v>118.0</v>
      </c>
      <c r="N7" s="178" t="s">
        <v>208</v>
      </c>
      <c r="O7" s="179"/>
      <c r="P7" s="175"/>
      <c r="Q7" s="180">
        <f t="shared" si="1"/>
        <v>1374</v>
      </c>
      <c r="R7" s="178" t="s">
        <v>208</v>
      </c>
      <c r="S7" s="146"/>
    </row>
    <row r="8">
      <c r="A8" s="177">
        <v>584.0</v>
      </c>
      <c r="B8" s="178" t="s">
        <v>209</v>
      </c>
      <c r="C8" s="179"/>
      <c r="D8" s="175"/>
      <c r="E8" s="177">
        <v>485.0</v>
      </c>
      <c r="F8" s="178" t="s">
        <v>209</v>
      </c>
      <c r="G8" s="179"/>
      <c r="H8" s="175"/>
      <c r="I8" s="177">
        <v>254.0</v>
      </c>
      <c r="J8" s="178" t="s">
        <v>210</v>
      </c>
      <c r="K8" s="179"/>
      <c r="L8" s="176">
        <v>200.0</v>
      </c>
      <c r="M8" s="177">
        <v>61.0</v>
      </c>
      <c r="N8" s="178" t="s">
        <v>209</v>
      </c>
      <c r="O8" s="179"/>
      <c r="P8" s="175"/>
      <c r="Q8" s="180">
        <f>SUM(A8+E8+I8+M8)+L8</f>
        <v>1584</v>
      </c>
      <c r="R8" s="178" t="s">
        <v>209</v>
      </c>
      <c r="S8" s="157"/>
    </row>
    <row r="9">
      <c r="A9" s="180"/>
      <c r="B9" s="179"/>
      <c r="C9" s="179"/>
      <c r="D9" s="175"/>
      <c r="E9" s="180"/>
      <c r="F9" s="179"/>
      <c r="G9" s="179"/>
      <c r="H9" s="175"/>
      <c r="I9" s="180"/>
      <c r="J9" s="179"/>
      <c r="K9" s="179"/>
      <c r="L9" s="175"/>
      <c r="M9" s="180"/>
      <c r="N9" s="179"/>
      <c r="O9" s="179"/>
      <c r="P9" s="175"/>
      <c r="Q9" s="180"/>
      <c r="R9" s="179"/>
      <c r="S9" s="146"/>
    </row>
    <row r="10">
      <c r="A10" s="177">
        <v>473.0</v>
      </c>
      <c r="B10" s="178" t="s">
        <v>211</v>
      </c>
      <c r="C10" s="179"/>
      <c r="D10" s="175"/>
      <c r="E10" s="177">
        <v>678.0</v>
      </c>
      <c r="F10" s="178" t="s">
        <v>212</v>
      </c>
      <c r="G10" s="179"/>
      <c r="H10" s="175"/>
      <c r="I10" s="177">
        <v>112.0</v>
      </c>
      <c r="J10" s="178" t="s">
        <v>212</v>
      </c>
      <c r="K10" s="179"/>
      <c r="L10" s="176">
        <v>200.0</v>
      </c>
      <c r="M10" s="177">
        <v>90.0</v>
      </c>
      <c r="N10" s="178" t="s">
        <v>212</v>
      </c>
      <c r="O10" s="179"/>
      <c r="P10" s="175"/>
      <c r="Q10" s="177">
        <f>SUM(A10+E10+I10+M10)+L10</f>
        <v>1553</v>
      </c>
      <c r="R10" s="178" t="s">
        <v>212</v>
      </c>
      <c r="S10" s="157"/>
    </row>
    <row r="11">
      <c r="A11" s="180"/>
      <c r="B11" s="179"/>
      <c r="C11" s="179"/>
      <c r="D11" s="175"/>
      <c r="E11" s="180"/>
      <c r="F11" s="179"/>
      <c r="G11" s="179"/>
      <c r="H11" s="175"/>
      <c r="I11" s="180"/>
      <c r="J11" s="179"/>
      <c r="K11" s="179"/>
      <c r="L11" s="175"/>
      <c r="M11" s="180"/>
      <c r="N11" s="179"/>
      <c r="O11" s="179"/>
      <c r="P11" s="175"/>
      <c r="Q11" s="180"/>
      <c r="R11" s="179"/>
      <c r="S11" s="146"/>
    </row>
    <row r="12">
      <c r="A12" s="177">
        <v>470.0</v>
      </c>
      <c r="B12" s="178" t="s">
        <v>213</v>
      </c>
      <c r="C12" s="179"/>
      <c r="D12" s="175"/>
      <c r="E12" s="177">
        <v>687.0</v>
      </c>
      <c r="F12" s="178" t="s">
        <v>214</v>
      </c>
      <c r="G12" s="179"/>
      <c r="H12" s="175"/>
      <c r="I12" s="177">
        <v>117.0</v>
      </c>
      <c r="J12" s="178" t="s">
        <v>214</v>
      </c>
      <c r="K12" s="179"/>
      <c r="L12" s="175"/>
      <c r="M12" s="177">
        <v>125.0</v>
      </c>
      <c r="N12" s="178" t="s">
        <v>214</v>
      </c>
      <c r="O12" s="179"/>
      <c r="P12" s="175"/>
      <c r="Q12" s="180">
        <f>SUM(A12+E12+I12+M12)</f>
        <v>1399</v>
      </c>
      <c r="R12" s="178" t="s">
        <v>213</v>
      </c>
      <c r="S12" s="146"/>
    </row>
    <row r="13">
      <c r="A13" s="180"/>
      <c r="B13" s="179"/>
      <c r="C13" s="179"/>
      <c r="D13" s="175"/>
      <c r="E13" s="180"/>
      <c r="F13" s="179"/>
      <c r="G13" s="179"/>
      <c r="H13" s="175"/>
      <c r="I13" s="180"/>
      <c r="J13" s="179"/>
      <c r="K13" s="179"/>
      <c r="L13" s="175"/>
      <c r="M13" s="180"/>
      <c r="N13" s="179"/>
      <c r="O13" s="179"/>
      <c r="P13" s="175"/>
      <c r="Q13" s="180"/>
      <c r="R13" s="179"/>
      <c r="S13" s="146"/>
    </row>
    <row r="14">
      <c r="A14" s="177">
        <v>382.0</v>
      </c>
      <c r="B14" s="178" t="s">
        <v>215</v>
      </c>
      <c r="C14" s="179"/>
      <c r="D14" s="175"/>
      <c r="E14" s="177">
        <v>571.0</v>
      </c>
      <c r="F14" s="178" t="s">
        <v>215</v>
      </c>
      <c r="G14" s="179"/>
      <c r="H14" s="175"/>
      <c r="I14" s="177">
        <v>193.0</v>
      </c>
      <c r="J14" s="178" t="s">
        <v>215</v>
      </c>
      <c r="K14" s="179"/>
      <c r="L14" s="175"/>
      <c r="M14" s="177">
        <v>105.0</v>
      </c>
      <c r="N14" s="178" t="s">
        <v>215</v>
      </c>
      <c r="O14" s="179"/>
      <c r="P14" s="175"/>
      <c r="Q14" s="180">
        <f t="shared" ref="Q14:Q17" si="2">SUM(A14+E14+I14+M14)</f>
        <v>1251</v>
      </c>
      <c r="R14" s="178" t="s">
        <v>215</v>
      </c>
      <c r="S14" s="146"/>
    </row>
    <row r="15">
      <c r="A15" s="177">
        <v>484.0</v>
      </c>
      <c r="B15" s="178" t="s">
        <v>216</v>
      </c>
      <c r="C15" s="179"/>
      <c r="D15" s="175"/>
      <c r="E15" s="181">
        <v>551.0</v>
      </c>
      <c r="F15" s="182" t="s">
        <v>217</v>
      </c>
      <c r="G15" s="183"/>
      <c r="H15" s="175"/>
      <c r="I15" s="181">
        <v>340.0</v>
      </c>
      <c r="J15" s="182" t="s">
        <v>217</v>
      </c>
      <c r="K15" s="184"/>
      <c r="L15" s="175"/>
      <c r="M15" s="181">
        <v>81.0</v>
      </c>
      <c r="N15" s="182" t="s">
        <v>217</v>
      </c>
      <c r="O15" s="184"/>
      <c r="P15" s="175"/>
      <c r="Q15" s="185">
        <f t="shared" si="2"/>
        <v>1456</v>
      </c>
      <c r="R15" s="182" t="s">
        <v>217</v>
      </c>
      <c r="S15" s="186"/>
    </row>
    <row r="16">
      <c r="A16" s="177">
        <v>290.0</v>
      </c>
      <c r="B16" s="178" t="s">
        <v>218</v>
      </c>
      <c r="C16" s="179"/>
      <c r="D16" s="175"/>
      <c r="E16" s="187">
        <v>656.0</v>
      </c>
      <c r="F16" s="182" t="s">
        <v>219</v>
      </c>
      <c r="G16" s="183"/>
      <c r="H16" s="175"/>
      <c r="I16" s="187">
        <v>201.0</v>
      </c>
      <c r="J16" s="182" t="s">
        <v>219</v>
      </c>
      <c r="K16" s="184"/>
      <c r="L16" s="175"/>
      <c r="M16" s="187">
        <v>61.0</v>
      </c>
      <c r="N16" s="182" t="s">
        <v>219</v>
      </c>
      <c r="O16" s="184"/>
      <c r="P16" s="175"/>
      <c r="Q16" s="188">
        <f t="shared" si="2"/>
        <v>1208</v>
      </c>
      <c r="R16" s="182" t="s">
        <v>220</v>
      </c>
      <c r="S16" s="186"/>
    </row>
    <row r="17">
      <c r="A17" s="177">
        <v>390.0</v>
      </c>
      <c r="B17" s="178"/>
      <c r="C17" s="179"/>
      <c r="D17" s="175"/>
      <c r="E17" s="181">
        <v>599.0</v>
      </c>
      <c r="F17" s="182" t="s">
        <v>221</v>
      </c>
      <c r="G17" s="183"/>
      <c r="H17" s="175"/>
      <c r="I17" s="181">
        <v>170.0</v>
      </c>
      <c r="J17" s="182" t="s">
        <v>222</v>
      </c>
      <c r="K17" s="184"/>
      <c r="L17" s="175"/>
      <c r="M17" s="181">
        <v>108.0</v>
      </c>
      <c r="N17" s="182" t="s">
        <v>222</v>
      </c>
      <c r="O17" s="184"/>
      <c r="P17" s="175"/>
      <c r="Q17" s="185">
        <f t="shared" si="2"/>
        <v>1267</v>
      </c>
      <c r="R17" s="182" t="s">
        <v>221</v>
      </c>
      <c r="S17" s="186"/>
    </row>
    <row r="18">
      <c r="A18" s="153"/>
      <c r="B18" s="164"/>
      <c r="C18" s="164"/>
      <c r="D18" s="175"/>
      <c r="E18" s="189"/>
      <c r="F18" s="186"/>
      <c r="G18" s="190"/>
      <c r="H18" s="175"/>
      <c r="I18" s="186"/>
      <c r="J18" s="186"/>
      <c r="K18" s="186"/>
      <c r="L18" s="175"/>
      <c r="M18" s="186"/>
      <c r="N18" s="186"/>
      <c r="O18" s="186"/>
      <c r="P18" s="175"/>
      <c r="Q18" s="186"/>
      <c r="R18" s="186"/>
      <c r="S18" s="186"/>
    </row>
    <row r="19">
      <c r="A19" s="177">
        <v>426.0</v>
      </c>
      <c r="B19" s="178" t="s">
        <v>223</v>
      </c>
      <c r="C19" s="179"/>
      <c r="D19" s="175"/>
      <c r="E19" s="181">
        <v>922.0</v>
      </c>
      <c r="F19" s="182" t="s">
        <v>223</v>
      </c>
      <c r="G19" s="183"/>
      <c r="H19" s="175"/>
      <c r="I19" s="181">
        <v>227.0</v>
      </c>
      <c r="J19" s="182" t="s">
        <v>223</v>
      </c>
      <c r="K19" s="184"/>
      <c r="L19" s="175"/>
      <c r="M19" s="181">
        <v>92.0</v>
      </c>
      <c r="N19" s="182" t="s">
        <v>223</v>
      </c>
      <c r="O19" s="184"/>
      <c r="P19" s="175"/>
      <c r="Q19" s="185">
        <f t="shared" ref="Q19:Q22" si="3">SUM(A19+E19+I19+M19)</f>
        <v>1667</v>
      </c>
      <c r="R19" s="182" t="s">
        <v>224</v>
      </c>
      <c r="S19" s="186"/>
    </row>
    <row r="20">
      <c r="A20" s="177">
        <v>380.0</v>
      </c>
      <c r="B20" s="178" t="s">
        <v>225</v>
      </c>
      <c r="C20" s="179"/>
      <c r="D20" s="175"/>
      <c r="E20" s="187">
        <v>960.0</v>
      </c>
      <c r="F20" s="182" t="s">
        <v>226</v>
      </c>
      <c r="G20" s="183"/>
      <c r="H20" s="175"/>
      <c r="I20" s="187">
        <v>193.0</v>
      </c>
      <c r="J20" s="182" t="s">
        <v>226</v>
      </c>
      <c r="K20" s="184"/>
      <c r="L20" s="175"/>
      <c r="M20" s="187">
        <v>85.0</v>
      </c>
      <c r="N20" s="182" t="s">
        <v>226</v>
      </c>
      <c r="O20" s="184"/>
      <c r="P20" s="175"/>
      <c r="Q20" s="188">
        <f t="shared" si="3"/>
        <v>1618</v>
      </c>
      <c r="R20" s="182" t="s">
        <v>226</v>
      </c>
      <c r="S20" s="186"/>
    </row>
    <row r="21">
      <c r="A21" s="177">
        <v>394.0</v>
      </c>
      <c r="B21" s="178" t="s">
        <v>206</v>
      </c>
      <c r="C21" s="179"/>
      <c r="D21" s="175"/>
      <c r="E21" s="187">
        <v>1015.0</v>
      </c>
      <c r="F21" s="182" t="s">
        <v>205</v>
      </c>
      <c r="G21" s="183"/>
      <c r="H21" s="175"/>
      <c r="I21" s="187">
        <v>300.0</v>
      </c>
      <c r="J21" s="182" t="s">
        <v>206</v>
      </c>
      <c r="K21" s="184"/>
      <c r="L21" s="175"/>
      <c r="M21" s="187">
        <v>101.0</v>
      </c>
      <c r="N21" s="182" t="s">
        <v>206</v>
      </c>
      <c r="O21" s="184"/>
      <c r="P21" s="175"/>
      <c r="Q21" s="188">
        <f t="shared" si="3"/>
        <v>1810</v>
      </c>
      <c r="R21" s="182" t="s">
        <v>205</v>
      </c>
      <c r="S21" s="186"/>
    </row>
    <row r="22">
      <c r="A22" s="177">
        <v>413.0</v>
      </c>
      <c r="B22" s="178" t="s">
        <v>207</v>
      </c>
      <c r="C22" s="179"/>
      <c r="D22" s="175"/>
      <c r="E22" s="187">
        <v>885.0</v>
      </c>
      <c r="F22" s="182" t="s">
        <v>207</v>
      </c>
      <c r="G22" s="183"/>
      <c r="H22" s="175"/>
      <c r="I22" s="187">
        <v>168.0</v>
      </c>
      <c r="J22" s="182" t="s">
        <v>207</v>
      </c>
      <c r="K22" s="184"/>
      <c r="L22" s="175"/>
      <c r="M22" s="187">
        <v>80.0</v>
      </c>
      <c r="N22" s="182" t="s">
        <v>207</v>
      </c>
      <c r="O22" s="184"/>
      <c r="P22" s="175"/>
      <c r="Q22" s="188">
        <f t="shared" si="3"/>
        <v>1546</v>
      </c>
      <c r="R22" s="182" t="s">
        <v>207</v>
      </c>
      <c r="S22" s="186"/>
    </row>
    <row r="23">
      <c r="A23" s="177"/>
      <c r="B23" s="178"/>
      <c r="C23" s="179"/>
      <c r="D23" s="175"/>
      <c r="E23" s="185"/>
      <c r="F23" s="184"/>
      <c r="G23" s="183"/>
      <c r="H23" s="175"/>
      <c r="I23" s="185"/>
      <c r="J23" s="184"/>
      <c r="K23" s="184"/>
      <c r="L23" s="175"/>
      <c r="M23" s="185"/>
      <c r="N23" s="184"/>
      <c r="O23" s="184"/>
      <c r="P23" s="175"/>
      <c r="Q23" s="185"/>
      <c r="R23" s="184"/>
      <c r="S23" s="186"/>
    </row>
    <row r="24">
      <c r="A24" s="177"/>
      <c r="B24" s="179"/>
      <c r="C24" s="179"/>
      <c r="D24" s="175"/>
      <c r="E24" s="188"/>
      <c r="F24" s="184"/>
      <c r="G24" s="183"/>
      <c r="H24" s="175"/>
      <c r="I24" s="188"/>
      <c r="J24" s="184"/>
      <c r="K24" s="184"/>
      <c r="L24" s="175"/>
      <c r="M24" s="188"/>
      <c r="N24" s="184"/>
      <c r="O24" s="184"/>
      <c r="P24" s="175"/>
      <c r="Q24" s="188"/>
      <c r="R24" s="184"/>
      <c r="S24" s="186"/>
    </row>
    <row r="25">
      <c r="A25" s="177"/>
      <c r="B25" s="178"/>
      <c r="C25" s="179"/>
      <c r="D25" s="175"/>
      <c r="E25" s="185"/>
      <c r="F25" s="184"/>
      <c r="G25" s="183"/>
      <c r="H25" s="175"/>
      <c r="I25" s="185"/>
      <c r="J25" s="184"/>
      <c r="K25" s="184"/>
      <c r="L25" s="175"/>
      <c r="M25" s="185"/>
      <c r="N25" s="184"/>
      <c r="O25" s="184"/>
      <c r="P25" s="175"/>
      <c r="Q25" s="185"/>
      <c r="R25" s="184"/>
      <c r="S25" s="186"/>
    </row>
    <row r="26">
      <c r="A26" s="177"/>
      <c r="B26" s="179"/>
      <c r="C26" s="179"/>
      <c r="E26" s="188"/>
      <c r="F26" s="184"/>
      <c r="G26" s="183"/>
      <c r="I26" s="188"/>
      <c r="J26" s="184"/>
      <c r="K26" s="184"/>
      <c r="L26" s="175"/>
      <c r="M26" s="188"/>
      <c r="N26" s="184"/>
      <c r="O26" s="184"/>
      <c r="P26" s="175"/>
      <c r="Q26" s="188"/>
      <c r="R26" s="184"/>
      <c r="S26" s="186"/>
    </row>
    <row r="27">
      <c r="A27" s="177"/>
      <c r="B27" s="178"/>
      <c r="C27" s="179"/>
      <c r="E27" s="185"/>
      <c r="F27" s="184"/>
      <c r="G27" s="183"/>
      <c r="I27" s="185"/>
      <c r="J27" s="184"/>
      <c r="K27" s="184"/>
      <c r="L27" s="175"/>
      <c r="M27" s="185"/>
      <c r="N27" s="184"/>
      <c r="O27" s="184"/>
      <c r="P27" s="175"/>
      <c r="Q27" s="185"/>
      <c r="R27" s="184"/>
      <c r="S27" s="186"/>
    </row>
    <row r="28">
      <c r="A28" s="180"/>
      <c r="B28" s="179"/>
      <c r="C28" s="179"/>
      <c r="E28" s="188"/>
      <c r="F28" s="184"/>
      <c r="G28" s="183"/>
      <c r="I28" s="188"/>
      <c r="J28" s="184"/>
      <c r="K28" s="184"/>
      <c r="L28" s="175"/>
      <c r="M28" s="188"/>
      <c r="N28" s="184"/>
      <c r="O28" s="184"/>
      <c r="P28" s="175"/>
      <c r="Q28" s="188"/>
      <c r="R28" s="184"/>
      <c r="S28" s="186"/>
    </row>
    <row r="29">
      <c r="A29" s="177"/>
      <c r="B29" s="178"/>
      <c r="C29" s="179"/>
      <c r="E29" s="185"/>
      <c r="F29" s="184"/>
      <c r="G29" s="183"/>
      <c r="I29" s="185"/>
      <c r="J29" s="184"/>
      <c r="K29" s="184"/>
      <c r="L29" s="175"/>
      <c r="M29" s="185"/>
      <c r="N29" s="184"/>
      <c r="O29" s="184"/>
      <c r="P29" s="175"/>
      <c r="Q29" s="185"/>
      <c r="R29" s="184"/>
      <c r="S29" s="186"/>
    </row>
    <row r="30">
      <c r="F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</row>
    <row r="31">
      <c r="F31" s="17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7.88"/>
    <col customWidth="1" min="2" max="2" width="33.13"/>
    <col customWidth="1" min="4" max="4" width="52.5"/>
    <col customWidth="1" min="5" max="5" width="32.63"/>
    <col customWidth="1" min="6" max="6" width="26.75"/>
  </cols>
  <sheetData>
    <row r="1">
      <c r="A1" s="191" t="s">
        <v>18</v>
      </c>
      <c r="B1" s="192"/>
      <c r="E1" s="192"/>
      <c r="F1" s="193" t="s">
        <v>227</v>
      </c>
    </row>
    <row r="2">
      <c r="A2" s="194" t="s">
        <v>228</v>
      </c>
      <c r="B2" s="195"/>
      <c r="C2" s="196"/>
      <c r="D2" s="194" t="s">
        <v>229</v>
      </c>
      <c r="E2" s="195"/>
      <c r="F2" s="197">
        <f>SUM(B14-E14)</f>
        <v>-8290</v>
      </c>
      <c r="G2" s="196"/>
      <c r="H2" s="196"/>
    </row>
    <row r="3">
      <c r="A3" s="198"/>
      <c r="B3" s="199"/>
      <c r="C3" s="198"/>
      <c r="D3" s="198"/>
      <c r="E3" s="199"/>
      <c r="F3" s="198"/>
      <c r="G3" s="198"/>
      <c r="H3" s="198"/>
    </row>
    <row r="4">
      <c r="A4" s="200"/>
      <c r="B4" s="201"/>
      <c r="C4" s="198"/>
      <c r="D4" s="200"/>
      <c r="E4" s="201"/>
      <c r="F4" s="198"/>
      <c r="G4" s="198"/>
      <c r="H4" s="198"/>
    </row>
    <row r="5">
      <c r="A5" s="200"/>
      <c r="B5" s="202">
        <v>0.0</v>
      </c>
      <c r="C5" s="198"/>
      <c r="D5" s="200" t="s">
        <v>230</v>
      </c>
      <c r="E5" s="201">
        <v>5018.0</v>
      </c>
      <c r="F5" s="198"/>
      <c r="G5" s="198"/>
      <c r="H5" s="198"/>
    </row>
    <row r="6">
      <c r="A6" s="200" t="s">
        <v>231</v>
      </c>
      <c r="B6" s="203"/>
      <c r="C6" s="198"/>
      <c r="D6" s="200" t="s">
        <v>232</v>
      </c>
      <c r="E6" s="201">
        <v>132.0</v>
      </c>
      <c r="F6" s="198"/>
      <c r="G6" s="198"/>
      <c r="H6" s="198"/>
    </row>
    <row r="7">
      <c r="A7" s="200" t="s">
        <v>233</v>
      </c>
      <c r="B7" s="203"/>
      <c r="C7" s="198"/>
      <c r="D7" s="200" t="s">
        <v>234</v>
      </c>
      <c r="E7" s="201">
        <v>2280.0</v>
      </c>
      <c r="F7" s="198"/>
      <c r="G7" s="198"/>
      <c r="H7" s="198"/>
    </row>
    <row r="8">
      <c r="A8" s="200" t="s">
        <v>235</v>
      </c>
      <c r="B8" s="204"/>
      <c r="C8" s="198"/>
      <c r="D8" s="200" t="s">
        <v>236</v>
      </c>
      <c r="E8" s="201">
        <v>620.0</v>
      </c>
      <c r="F8" s="198"/>
      <c r="G8" s="198"/>
      <c r="H8" s="198"/>
    </row>
    <row r="9">
      <c r="A9" s="200" t="s">
        <v>237</v>
      </c>
      <c r="B9" s="204"/>
      <c r="C9" s="198"/>
      <c r="D9" s="200" t="s">
        <v>238</v>
      </c>
      <c r="E9" s="201">
        <v>240.0</v>
      </c>
      <c r="F9" s="198"/>
      <c r="G9" s="198"/>
      <c r="H9" s="198"/>
    </row>
    <row r="10" ht="33.75" customHeight="1">
      <c r="A10" s="200" t="s">
        <v>239</v>
      </c>
      <c r="B10" s="205"/>
      <c r="C10" s="198"/>
      <c r="D10" s="200"/>
      <c r="E10" s="201"/>
      <c r="F10" s="198"/>
      <c r="G10" s="198"/>
      <c r="H10" s="198"/>
    </row>
    <row r="11" ht="27.75" customHeight="1">
      <c r="A11" s="200"/>
      <c r="B11" s="204"/>
      <c r="C11" s="198"/>
      <c r="D11" s="200"/>
      <c r="E11" s="201"/>
      <c r="F11" s="198"/>
      <c r="G11" s="198"/>
      <c r="H11" s="198"/>
    </row>
    <row r="12" ht="27.75" customHeight="1">
      <c r="A12" s="200"/>
      <c r="B12" s="201"/>
      <c r="C12" s="198"/>
      <c r="D12" s="198"/>
      <c r="E12" s="199"/>
      <c r="F12" s="198"/>
      <c r="G12" s="198"/>
      <c r="H12" s="198"/>
    </row>
    <row r="13" ht="27.75" customHeight="1">
      <c r="A13" s="200"/>
      <c r="B13" s="202">
        <v>0.0</v>
      </c>
      <c r="C13" s="198"/>
      <c r="D13" s="198"/>
      <c r="E13" s="199"/>
      <c r="F13" s="198"/>
      <c r="G13" s="198"/>
      <c r="H13" s="198"/>
    </row>
    <row r="14">
      <c r="A14" s="200" t="s">
        <v>240</v>
      </c>
      <c r="B14" s="195">
        <f>SUM(B4:B13)</f>
        <v>0</v>
      </c>
      <c r="C14" s="198"/>
      <c r="D14" s="198"/>
      <c r="E14" s="195">
        <f>SUM(E4:E13)</f>
        <v>8290</v>
      </c>
      <c r="F14" s="198"/>
      <c r="G14" s="198"/>
      <c r="H14" s="19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63"/>
    <col customWidth="1" min="2" max="2" width="51.25"/>
    <col customWidth="1" min="3" max="3" width="51.0"/>
    <col customWidth="1" min="4" max="5" width="26.0"/>
    <col customWidth="1" min="6" max="6" width="20.5"/>
    <col customWidth="1" min="9" max="9" width="42.63"/>
  </cols>
  <sheetData>
    <row r="1">
      <c r="A1" s="206" t="s">
        <v>16</v>
      </c>
      <c r="B1" s="206" t="s">
        <v>241</v>
      </c>
      <c r="C1" s="206" t="s">
        <v>242</v>
      </c>
      <c r="D1" s="206" t="s">
        <v>243</v>
      </c>
      <c r="E1" s="206" t="s">
        <v>152</v>
      </c>
      <c r="F1" s="207" t="s">
        <v>115</v>
      </c>
      <c r="G1" s="206" t="s">
        <v>244</v>
      </c>
      <c r="H1" s="206" t="s">
        <v>245</v>
      </c>
      <c r="I1" s="206" t="s">
        <v>246</v>
      </c>
    </row>
    <row r="2">
      <c r="A2" s="208" t="s">
        <v>247</v>
      </c>
      <c r="B2" s="208" t="s">
        <v>248</v>
      </c>
      <c r="C2" s="208" t="s">
        <v>249</v>
      </c>
      <c r="D2" s="209">
        <v>45773.79046296296</v>
      </c>
      <c r="E2" s="209">
        <v>45773.809224537035</v>
      </c>
      <c r="F2" s="210" t="s">
        <v>250</v>
      </c>
      <c r="G2" s="211" t="s">
        <v>251</v>
      </c>
      <c r="H2" s="208" t="s">
        <v>252</v>
      </c>
      <c r="I2" s="208" t="s">
        <v>253</v>
      </c>
    </row>
    <row r="3">
      <c r="A3" s="212" t="s">
        <v>254</v>
      </c>
      <c r="B3" s="212" t="s">
        <v>255</v>
      </c>
      <c r="C3" s="212" t="s">
        <v>256</v>
      </c>
      <c r="D3" s="213">
        <v>45550.67255787037</v>
      </c>
      <c r="E3" s="213"/>
      <c r="F3" s="214" t="s">
        <v>257</v>
      </c>
      <c r="G3" s="215" t="s">
        <v>258</v>
      </c>
      <c r="H3" s="212" t="s">
        <v>259</v>
      </c>
      <c r="I3" s="212" t="s">
        <v>260</v>
      </c>
    </row>
    <row r="4">
      <c r="A4" s="216" t="s">
        <v>261</v>
      </c>
      <c r="B4" s="216" t="s">
        <v>255</v>
      </c>
      <c r="C4" s="216" t="s">
        <v>262</v>
      </c>
      <c r="D4" s="217">
        <v>45514.61512731481</v>
      </c>
      <c r="E4" s="217"/>
      <c r="F4" s="218" t="s">
        <v>263</v>
      </c>
      <c r="G4" s="219" t="s">
        <v>264</v>
      </c>
      <c r="H4" s="216" t="s">
        <v>265</v>
      </c>
      <c r="I4" s="216" t="s">
        <v>260</v>
      </c>
    </row>
    <row r="5">
      <c r="A5" s="216" t="s">
        <v>266</v>
      </c>
      <c r="B5" s="216" t="s">
        <v>267</v>
      </c>
      <c r="C5" s="216" t="s">
        <v>268</v>
      </c>
      <c r="D5" s="217">
        <v>45777.58059027778</v>
      </c>
      <c r="E5" s="217">
        <v>45777.743125</v>
      </c>
      <c r="F5" s="218" t="s">
        <v>269</v>
      </c>
      <c r="G5" s="219" t="s">
        <v>269</v>
      </c>
      <c r="H5" s="216" t="s">
        <v>270</v>
      </c>
      <c r="I5" s="216" t="s">
        <v>271</v>
      </c>
    </row>
    <row r="6">
      <c r="A6" s="216" t="s">
        <v>272</v>
      </c>
      <c r="B6" s="216" t="s">
        <v>273</v>
      </c>
      <c r="C6" s="216" t="s">
        <v>274</v>
      </c>
      <c r="D6" s="217">
        <v>45714.59905092593</v>
      </c>
      <c r="E6" s="217">
        <v>45714.618113425924</v>
      </c>
      <c r="F6" s="218" t="s">
        <v>275</v>
      </c>
      <c r="G6" s="219" t="s">
        <v>276</v>
      </c>
      <c r="H6" s="216" t="s">
        <v>259</v>
      </c>
      <c r="I6" s="216" t="s">
        <v>277</v>
      </c>
    </row>
    <row r="7">
      <c r="A7" s="216" t="s">
        <v>278</v>
      </c>
      <c r="B7" s="216" t="s">
        <v>279</v>
      </c>
      <c r="C7" s="216" t="s">
        <v>280</v>
      </c>
      <c r="D7" s="217">
        <v>45469.588796296295</v>
      </c>
      <c r="E7" s="217"/>
      <c r="F7" s="218" t="s">
        <v>281</v>
      </c>
      <c r="G7" s="219" t="s">
        <v>282</v>
      </c>
      <c r="H7" s="216" t="s">
        <v>283</v>
      </c>
      <c r="I7" s="216" t="s">
        <v>284</v>
      </c>
    </row>
    <row r="8">
      <c r="A8" s="212" t="s">
        <v>285</v>
      </c>
      <c r="B8" s="212" t="s">
        <v>279</v>
      </c>
      <c r="C8" s="212" t="s">
        <v>280</v>
      </c>
      <c r="D8" s="213">
        <v>45467.70658564815</v>
      </c>
      <c r="E8" s="213"/>
      <c r="F8" s="214" t="s">
        <v>286</v>
      </c>
      <c r="G8" s="215" t="s">
        <v>287</v>
      </c>
      <c r="H8" s="212" t="s">
        <v>283</v>
      </c>
      <c r="I8" s="212" t="s">
        <v>284</v>
      </c>
    </row>
    <row r="9">
      <c r="A9" s="216" t="s">
        <v>288</v>
      </c>
      <c r="B9" s="216" t="s">
        <v>289</v>
      </c>
      <c r="C9" s="216" t="s">
        <v>290</v>
      </c>
      <c r="D9" s="217">
        <v>45542.489432870374</v>
      </c>
      <c r="E9" s="217"/>
      <c r="F9" s="218" t="s">
        <v>291</v>
      </c>
      <c r="G9" s="219" t="s">
        <v>292</v>
      </c>
      <c r="H9" s="216" t="s">
        <v>293</v>
      </c>
      <c r="I9" s="216" t="s">
        <v>294</v>
      </c>
    </row>
    <row r="10">
      <c r="A10" s="212" t="s">
        <v>295</v>
      </c>
      <c r="B10" s="212" t="s">
        <v>289</v>
      </c>
      <c r="C10" s="212" t="s">
        <v>296</v>
      </c>
      <c r="D10" s="213">
        <v>45508.79542824074</v>
      </c>
      <c r="E10" s="213"/>
      <c r="F10" s="214" t="s">
        <v>297</v>
      </c>
      <c r="G10" s="215" t="s">
        <v>298</v>
      </c>
      <c r="H10" s="212" t="s">
        <v>265</v>
      </c>
      <c r="I10" s="212" t="s">
        <v>299</v>
      </c>
    </row>
    <row r="11">
      <c r="A11" s="216" t="s">
        <v>300</v>
      </c>
      <c r="B11" s="216" t="s">
        <v>289</v>
      </c>
      <c r="C11" s="216" t="s">
        <v>301</v>
      </c>
      <c r="D11" s="217">
        <v>45501.781956018516</v>
      </c>
      <c r="E11" s="217"/>
      <c r="F11" s="218" t="s">
        <v>302</v>
      </c>
      <c r="G11" s="219" t="s">
        <v>303</v>
      </c>
      <c r="H11" s="216" t="s">
        <v>265</v>
      </c>
      <c r="I11" s="216" t="s">
        <v>304</v>
      </c>
    </row>
    <row r="12">
      <c r="A12" s="212" t="s">
        <v>305</v>
      </c>
      <c r="B12" s="212" t="s">
        <v>306</v>
      </c>
      <c r="C12" s="212" t="s">
        <v>290</v>
      </c>
      <c r="D12" s="213">
        <v>45501.492476851854</v>
      </c>
      <c r="E12" s="213"/>
      <c r="F12" s="214" t="s">
        <v>291</v>
      </c>
      <c r="G12" s="215" t="s">
        <v>307</v>
      </c>
      <c r="H12" s="212" t="s">
        <v>293</v>
      </c>
      <c r="I12" s="212" t="s">
        <v>294</v>
      </c>
    </row>
    <row r="13">
      <c r="A13" s="212" t="s">
        <v>308</v>
      </c>
      <c r="B13" s="212" t="s">
        <v>309</v>
      </c>
      <c r="C13" s="212" t="s">
        <v>310</v>
      </c>
      <c r="D13" s="213">
        <v>45760.85951388889</v>
      </c>
      <c r="E13" s="213">
        <v>45761.52452546296</v>
      </c>
      <c r="F13" s="214" t="s">
        <v>311</v>
      </c>
      <c r="G13" s="215" t="s">
        <v>312</v>
      </c>
      <c r="H13" s="212" t="s">
        <v>259</v>
      </c>
      <c r="I13" s="212" t="s">
        <v>313</v>
      </c>
    </row>
    <row r="14">
      <c r="A14" s="212" t="s">
        <v>314</v>
      </c>
      <c r="B14" s="212" t="s">
        <v>315</v>
      </c>
      <c r="C14" s="212" t="s">
        <v>316</v>
      </c>
      <c r="D14" s="213">
        <v>45431.53377314815</v>
      </c>
      <c r="E14" s="213">
        <v>45432.3334837963</v>
      </c>
      <c r="F14" s="214" t="s">
        <v>317</v>
      </c>
      <c r="G14" s="215" t="s">
        <v>318</v>
      </c>
      <c r="H14" s="212" t="s">
        <v>319</v>
      </c>
      <c r="I14" s="212" t="s">
        <v>320</v>
      </c>
    </row>
    <row r="15">
      <c r="A15" s="216" t="s">
        <v>321</v>
      </c>
      <c r="B15" s="216" t="s">
        <v>322</v>
      </c>
      <c r="C15" s="216" t="s">
        <v>323</v>
      </c>
      <c r="D15" s="217">
        <v>45705.78238425926</v>
      </c>
      <c r="E15" s="217">
        <v>45707.833402777775</v>
      </c>
      <c r="F15" s="218" t="s">
        <v>324</v>
      </c>
      <c r="G15" s="219" t="s">
        <v>325</v>
      </c>
      <c r="H15" s="216" t="s">
        <v>259</v>
      </c>
      <c r="I15" s="216" t="s">
        <v>326</v>
      </c>
    </row>
    <row r="16">
      <c r="A16" s="216" t="s">
        <v>327</v>
      </c>
      <c r="B16" s="216" t="s">
        <v>328</v>
      </c>
      <c r="C16" s="216" t="s">
        <v>329</v>
      </c>
      <c r="D16" s="217">
        <v>45774.6172337963</v>
      </c>
      <c r="E16" s="217">
        <v>45774.62520833333</v>
      </c>
      <c r="F16" s="218" t="s">
        <v>330</v>
      </c>
      <c r="G16" s="219" t="s">
        <v>331</v>
      </c>
      <c r="H16" s="216" t="s">
        <v>259</v>
      </c>
      <c r="I16" s="216" t="s">
        <v>332</v>
      </c>
    </row>
    <row r="17">
      <c r="A17" s="216" t="s">
        <v>333</v>
      </c>
      <c r="B17" s="216" t="s">
        <v>334</v>
      </c>
      <c r="C17" s="216" t="s">
        <v>335</v>
      </c>
      <c r="D17" s="217">
        <v>45487.71791666667</v>
      </c>
      <c r="E17" s="217"/>
      <c r="F17" s="218" t="s">
        <v>250</v>
      </c>
      <c r="G17" s="219" t="s">
        <v>336</v>
      </c>
      <c r="H17" s="216" t="s">
        <v>337</v>
      </c>
      <c r="I17" s="216" t="s">
        <v>260</v>
      </c>
    </row>
    <row r="18">
      <c r="A18" s="216" t="s">
        <v>333</v>
      </c>
      <c r="B18" s="216" t="s">
        <v>334</v>
      </c>
      <c r="C18" s="216" t="s">
        <v>335</v>
      </c>
      <c r="D18" s="217">
        <v>45487.71791666667</v>
      </c>
      <c r="E18" s="217"/>
      <c r="F18" s="218" t="s">
        <v>250</v>
      </c>
      <c r="G18" s="219" t="s">
        <v>336</v>
      </c>
      <c r="H18" s="216" t="s">
        <v>337</v>
      </c>
      <c r="I18" s="216" t="s">
        <v>260</v>
      </c>
    </row>
    <row r="19">
      <c r="A19" s="216" t="s">
        <v>338</v>
      </c>
      <c r="B19" s="216" t="s">
        <v>334</v>
      </c>
      <c r="C19" s="216" t="s">
        <v>335</v>
      </c>
      <c r="D19" s="217">
        <v>45473.90090277778</v>
      </c>
      <c r="E19" s="217"/>
      <c r="F19" s="218" t="s">
        <v>339</v>
      </c>
      <c r="G19" s="219" t="s">
        <v>340</v>
      </c>
      <c r="H19" s="216" t="s">
        <v>337</v>
      </c>
      <c r="I19" s="216" t="s">
        <v>260</v>
      </c>
    </row>
    <row r="20">
      <c r="A20" s="216" t="s">
        <v>341</v>
      </c>
      <c r="B20" s="216" t="s">
        <v>342</v>
      </c>
      <c r="C20" s="216" t="s">
        <v>343</v>
      </c>
      <c r="D20" s="217">
        <v>45549.47094907407</v>
      </c>
      <c r="E20" s="217"/>
      <c r="F20" s="218" t="s">
        <v>344</v>
      </c>
      <c r="G20" s="219" t="s">
        <v>345</v>
      </c>
      <c r="H20" s="216" t="s">
        <v>346</v>
      </c>
      <c r="I20" s="216" t="s">
        <v>347</v>
      </c>
    </row>
    <row r="21">
      <c r="A21" s="212" t="s">
        <v>348</v>
      </c>
      <c r="B21" s="212" t="s">
        <v>342</v>
      </c>
      <c r="C21" s="212" t="s">
        <v>349</v>
      </c>
      <c r="D21" s="213">
        <v>45542.43952546296</v>
      </c>
      <c r="E21" s="213"/>
      <c r="F21" s="214" t="s">
        <v>350</v>
      </c>
      <c r="G21" s="215" t="s">
        <v>351</v>
      </c>
      <c r="H21" s="212" t="s">
        <v>346</v>
      </c>
      <c r="I21" s="212" t="s">
        <v>347</v>
      </c>
    </row>
    <row r="22">
      <c r="A22" s="216" t="s">
        <v>352</v>
      </c>
      <c r="B22" s="216" t="s">
        <v>342</v>
      </c>
      <c r="C22" s="216" t="s">
        <v>353</v>
      </c>
      <c r="D22" s="217">
        <v>45542.4380787037</v>
      </c>
      <c r="E22" s="217"/>
      <c r="F22" s="218" t="s">
        <v>354</v>
      </c>
      <c r="G22" s="219" t="s">
        <v>355</v>
      </c>
      <c r="H22" s="216" t="s">
        <v>356</v>
      </c>
      <c r="I22" s="216" t="s">
        <v>357</v>
      </c>
    </row>
    <row r="23">
      <c r="A23" s="212" t="s">
        <v>358</v>
      </c>
      <c r="B23" s="212" t="s">
        <v>342</v>
      </c>
      <c r="C23" s="212" t="s">
        <v>359</v>
      </c>
      <c r="D23" s="213">
        <v>45542.43709490741</v>
      </c>
      <c r="E23" s="213"/>
      <c r="F23" s="214" t="s">
        <v>360</v>
      </c>
      <c r="G23" s="215" t="s">
        <v>361</v>
      </c>
      <c r="H23" s="212" t="s">
        <v>346</v>
      </c>
      <c r="I23" s="212" t="s">
        <v>347</v>
      </c>
    </row>
    <row r="24">
      <c r="A24" s="220" t="s">
        <v>362</v>
      </c>
      <c r="B24" s="220" t="s">
        <v>342</v>
      </c>
      <c r="C24" s="220" t="s">
        <v>363</v>
      </c>
      <c r="D24" s="221">
        <v>45542.43546296296</v>
      </c>
      <c r="E24" s="221"/>
      <c r="F24" s="222" t="s">
        <v>364</v>
      </c>
      <c r="G24" s="223" t="s">
        <v>365</v>
      </c>
      <c r="H24" s="220" t="s">
        <v>356</v>
      </c>
      <c r="I24" s="220" t="s">
        <v>366</v>
      </c>
    </row>
    <row r="25">
      <c r="A25" s="212" t="s">
        <v>367</v>
      </c>
      <c r="B25" s="212" t="s">
        <v>342</v>
      </c>
      <c r="C25" s="212" t="s">
        <v>343</v>
      </c>
      <c r="D25" s="213">
        <v>45495.47837962963</v>
      </c>
      <c r="E25" s="213"/>
      <c r="F25" s="214" t="s">
        <v>368</v>
      </c>
      <c r="G25" s="215" t="s">
        <v>369</v>
      </c>
      <c r="H25" s="212" t="s">
        <v>346</v>
      </c>
      <c r="I25" s="212" t="s">
        <v>347</v>
      </c>
    </row>
    <row r="26">
      <c r="A26" s="212" t="s">
        <v>370</v>
      </c>
      <c r="B26" s="212" t="s">
        <v>342</v>
      </c>
      <c r="C26" s="212" t="s">
        <v>371</v>
      </c>
      <c r="D26" s="213">
        <v>45437.502175925925</v>
      </c>
      <c r="E26" s="213">
        <v>45437.31612268519</v>
      </c>
      <c r="F26" s="214" t="s">
        <v>339</v>
      </c>
      <c r="G26" s="215" t="s">
        <v>372</v>
      </c>
      <c r="H26" s="212" t="s">
        <v>259</v>
      </c>
      <c r="I26" s="212" t="s">
        <v>373</v>
      </c>
    </row>
    <row r="27">
      <c r="A27" s="212" t="s">
        <v>374</v>
      </c>
      <c r="B27" s="212" t="s">
        <v>342</v>
      </c>
      <c r="C27" s="212" t="s">
        <v>363</v>
      </c>
      <c r="D27" s="213">
        <v>45702.87244212963</v>
      </c>
      <c r="E27" s="213">
        <v>45703.66332175926</v>
      </c>
      <c r="F27" s="214" t="s">
        <v>375</v>
      </c>
      <c r="G27" s="215" t="s">
        <v>376</v>
      </c>
      <c r="H27" s="212" t="s">
        <v>377</v>
      </c>
      <c r="I27" s="212" t="s">
        <v>366</v>
      </c>
    </row>
    <row r="28">
      <c r="A28" s="212" t="s">
        <v>378</v>
      </c>
      <c r="B28" s="212" t="s">
        <v>342</v>
      </c>
      <c r="C28" s="212" t="s">
        <v>379</v>
      </c>
      <c r="D28" s="213">
        <v>45747.87329861111</v>
      </c>
      <c r="E28" s="213">
        <v>45748.4896875</v>
      </c>
      <c r="F28" s="214" t="s">
        <v>380</v>
      </c>
      <c r="G28" s="215" t="s">
        <v>381</v>
      </c>
      <c r="H28" s="212" t="s">
        <v>356</v>
      </c>
      <c r="I28" s="212" t="s">
        <v>366</v>
      </c>
    </row>
    <row r="29">
      <c r="A29" s="212" t="s">
        <v>382</v>
      </c>
      <c r="B29" s="212" t="s">
        <v>342</v>
      </c>
      <c r="C29" s="212" t="s">
        <v>363</v>
      </c>
      <c r="D29" s="213">
        <v>45738.49050925926</v>
      </c>
      <c r="E29" s="213">
        <v>45740.77439814815</v>
      </c>
      <c r="F29" s="214" t="s">
        <v>380</v>
      </c>
      <c r="G29" s="215" t="s">
        <v>383</v>
      </c>
      <c r="H29" s="212" t="s">
        <v>377</v>
      </c>
      <c r="I29" s="212" t="s">
        <v>366</v>
      </c>
    </row>
    <row r="30">
      <c r="A30" s="212" t="s">
        <v>384</v>
      </c>
      <c r="B30" s="212" t="s">
        <v>342</v>
      </c>
      <c r="C30" s="212" t="s">
        <v>385</v>
      </c>
      <c r="D30" s="213">
        <v>45749.644733796296</v>
      </c>
      <c r="E30" s="213">
        <v>45750.46533564815</v>
      </c>
      <c r="F30" s="214" t="s">
        <v>386</v>
      </c>
      <c r="G30" s="215" t="s">
        <v>387</v>
      </c>
      <c r="H30" s="212" t="s">
        <v>388</v>
      </c>
      <c r="I30" s="212" t="s">
        <v>389</v>
      </c>
    </row>
    <row r="31">
      <c r="A31" s="216" t="s">
        <v>390</v>
      </c>
      <c r="B31" s="216" t="s">
        <v>342</v>
      </c>
      <c r="C31" s="216" t="s">
        <v>385</v>
      </c>
      <c r="D31" s="217">
        <v>45749.64325231482</v>
      </c>
      <c r="E31" s="224"/>
      <c r="F31" s="218" t="s">
        <v>391</v>
      </c>
      <c r="G31" s="219" t="s">
        <v>392</v>
      </c>
      <c r="H31" s="216" t="s">
        <v>388</v>
      </c>
      <c r="I31" s="216" t="s">
        <v>389</v>
      </c>
    </row>
    <row r="32">
      <c r="A32" s="216" t="s">
        <v>393</v>
      </c>
      <c r="B32" s="216" t="s">
        <v>394</v>
      </c>
      <c r="C32" s="216" t="s">
        <v>395</v>
      </c>
      <c r="D32" s="217">
        <v>45507.509884259256</v>
      </c>
      <c r="E32" s="217"/>
      <c r="F32" s="218" t="s">
        <v>396</v>
      </c>
      <c r="G32" s="219" t="s">
        <v>397</v>
      </c>
      <c r="H32" s="216" t="s">
        <v>398</v>
      </c>
      <c r="I32" s="216" t="s">
        <v>399</v>
      </c>
    </row>
    <row r="33">
      <c r="A33" s="216" t="s">
        <v>400</v>
      </c>
      <c r="B33" s="216" t="s">
        <v>401</v>
      </c>
      <c r="C33" s="216" t="s">
        <v>402</v>
      </c>
      <c r="D33" s="217">
        <v>45538.876608796294</v>
      </c>
      <c r="E33" s="217"/>
      <c r="F33" s="218" t="s">
        <v>403</v>
      </c>
      <c r="G33" s="219" t="s">
        <v>404</v>
      </c>
      <c r="H33" s="216" t="s">
        <v>265</v>
      </c>
      <c r="I33" s="216" t="s">
        <v>260</v>
      </c>
    </row>
    <row r="34">
      <c r="A34" s="216" t="s">
        <v>405</v>
      </c>
      <c r="B34" s="216" t="s">
        <v>401</v>
      </c>
      <c r="C34" s="216" t="s">
        <v>402</v>
      </c>
      <c r="D34" s="217">
        <v>45537.73297453704</v>
      </c>
      <c r="E34" s="225"/>
      <c r="F34" s="218" t="s">
        <v>403</v>
      </c>
      <c r="G34" s="219" t="s">
        <v>404</v>
      </c>
      <c r="H34" s="216" t="s">
        <v>259</v>
      </c>
      <c r="I34" s="216" t="s">
        <v>260</v>
      </c>
    </row>
    <row r="35">
      <c r="A35" s="212" t="s">
        <v>406</v>
      </c>
      <c r="B35" s="212" t="s">
        <v>401</v>
      </c>
      <c r="C35" s="212" t="s">
        <v>402</v>
      </c>
      <c r="D35" s="213">
        <v>45474.721342592595</v>
      </c>
      <c r="E35" s="213"/>
      <c r="F35" s="214" t="s">
        <v>407</v>
      </c>
      <c r="G35" s="215" t="s">
        <v>408</v>
      </c>
      <c r="H35" s="212" t="s">
        <v>259</v>
      </c>
      <c r="I35" s="212" t="s">
        <v>260</v>
      </c>
    </row>
    <row r="36">
      <c r="A36" s="212" t="s">
        <v>409</v>
      </c>
      <c r="B36" s="212" t="s">
        <v>401</v>
      </c>
      <c r="C36" s="212" t="s">
        <v>402</v>
      </c>
      <c r="D36" s="213">
        <v>45456.75959490741</v>
      </c>
      <c r="E36" s="213">
        <v>45457.704884259256</v>
      </c>
      <c r="F36" s="214" t="s">
        <v>410</v>
      </c>
      <c r="G36" s="215" t="s">
        <v>411</v>
      </c>
      <c r="H36" s="212" t="s">
        <v>259</v>
      </c>
      <c r="I36" s="212" t="s">
        <v>260</v>
      </c>
    </row>
    <row r="37">
      <c r="A37" s="216" t="s">
        <v>412</v>
      </c>
      <c r="B37" s="216" t="s">
        <v>401</v>
      </c>
      <c r="C37" s="216" t="s">
        <v>413</v>
      </c>
      <c r="D37" s="217">
        <v>45446.75678240741</v>
      </c>
      <c r="E37" s="217">
        <v>45458.281377314815</v>
      </c>
      <c r="F37" s="218" t="s">
        <v>414</v>
      </c>
      <c r="G37" s="219" t="s">
        <v>415</v>
      </c>
      <c r="H37" s="216" t="s">
        <v>416</v>
      </c>
      <c r="I37" s="216" t="s">
        <v>417</v>
      </c>
    </row>
    <row r="38">
      <c r="A38" s="212" t="s">
        <v>418</v>
      </c>
      <c r="B38" s="212" t="s">
        <v>401</v>
      </c>
      <c r="C38" s="212" t="s">
        <v>402</v>
      </c>
      <c r="D38" s="213">
        <v>45446.755532407406</v>
      </c>
      <c r="E38" s="213">
        <v>45455.65282407407</v>
      </c>
      <c r="F38" s="214" t="s">
        <v>419</v>
      </c>
      <c r="G38" s="215" t="s">
        <v>420</v>
      </c>
      <c r="H38" s="212" t="s">
        <v>259</v>
      </c>
      <c r="I38" s="212" t="s">
        <v>260</v>
      </c>
    </row>
    <row r="39">
      <c r="A39" s="216" t="s">
        <v>421</v>
      </c>
      <c r="B39" s="216" t="s">
        <v>401</v>
      </c>
      <c r="C39" s="216" t="s">
        <v>402</v>
      </c>
      <c r="D39" s="217">
        <v>45443.84443287037</v>
      </c>
      <c r="E39" s="217">
        <v>45446.711875</v>
      </c>
      <c r="F39" s="218" t="s">
        <v>422</v>
      </c>
      <c r="G39" s="219" t="s">
        <v>423</v>
      </c>
      <c r="H39" s="216" t="s">
        <v>259</v>
      </c>
      <c r="I39" s="216" t="s">
        <v>260</v>
      </c>
    </row>
    <row r="40">
      <c r="A40" s="216" t="s">
        <v>424</v>
      </c>
      <c r="B40" s="216" t="s">
        <v>401</v>
      </c>
      <c r="C40" s="216" t="s">
        <v>413</v>
      </c>
      <c r="D40" s="217">
        <v>45436.82357638889</v>
      </c>
      <c r="E40" s="217">
        <v>45438.437581018516</v>
      </c>
      <c r="F40" s="218" t="s">
        <v>425</v>
      </c>
      <c r="G40" s="219" t="s">
        <v>426</v>
      </c>
      <c r="H40" s="216" t="s">
        <v>416</v>
      </c>
      <c r="I40" s="216" t="s">
        <v>417</v>
      </c>
    </row>
    <row r="41">
      <c r="A41" s="212" t="s">
        <v>427</v>
      </c>
      <c r="B41" s="212" t="s">
        <v>401</v>
      </c>
      <c r="C41" s="212" t="s">
        <v>402</v>
      </c>
      <c r="D41" s="213">
        <v>45436.8218287037</v>
      </c>
      <c r="E41" s="213">
        <v>45436.72224537037</v>
      </c>
      <c r="F41" s="214" t="s">
        <v>428</v>
      </c>
      <c r="G41" s="215" t="s">
        <v>429</v>
      </c>
      <c r="H41" s="212" t="s">
        <v>259</v>
      </c>
      <c r="I41" s="212" t="s">
        <v>260</v>
      </c>
    </row>
    <row r="42">
      <c r="A42" s="212" t="s">
        <v>430</v>
      </c>
      <c r="B42" s="212" t="s">
        <v>401</v>
      </c>
      <c r="C42" s="212" t="s">
        <v>402</v>
      </c>
      <c r="D42" s="213">
        <v>45713.86335648148</v>
      </c>
      <c r="E42" s="213">
        <v>45714.69800925926</v>
      </c>
      <c r="F42" s="214" t="s">
        <v>431</v>
      </c>
      <c r="G42" s="215" t="s">
        <v>432</v>
      </c>
      <c r="H42" s="212" t="s">
        <v>259</v>
      </c>
      <c r="I42" s="212" t="s">
        <v>260</v>
      </c>
    </row>
    <row r="43">
      <c r="A43" s="216" t="s">
        <v>433</v>
      </c>
      <c r="B43" s="216" t="s">
        <v>401</v>
      </c>
      <c r="C43" s="216" t="s">
        <v>434</v>
      </c>
      <c r="D43" s="217">
        <v>45713.86194444444</v>
      </c>
      <c r="E43" s="217">
        <v>45714.79865740741</v>
      </c>
      <c r="F43" s="218" t="s">
        <v>435</v>
      </c>
      <c r="G43" s="219" t="s">
        <v>436</v>
      </c>
      <c r="H43" s="216" t="s">
        <v>416</v>
      </c>
      <c r="I43" s="216" t="s">
        <v>417</v>
      </c>
    </row>
    <row r="44">
      <c r="A44" s="212" t="s">
        <v>437</v>
      </c>
      <c r="B44" s="212" t="s">
        <v>401</v>
      </c>
      <c r="C44" s="212" t="s">
        <v>438</v>
      </c>
      <c r="D44" s="213">
        <v>45704.44153935185</v>
      </c>
      <c r="E44" s="213">
        <v>45707.49657407407</v>
      </c>
      <c r="F44" s="214" t="s">
        <v>439</v>
      </c>
      <c r="G44" s="215" t="s">
        <v>440</v>
      </c>
      <c r="H44" s="212" t="s">
        <v>319</v>
      </c>
      <c r="I44" s="212" t="s">
        <v>417</v>
      </c>
    </row>
    <row r="45">
      <c r="A45" s="216" t="s">
        <v>441</v>
      </c>
      <c r="B45" s="216" t="s">
        <v>401</v>
      </c>
      <c r="C45" s="216" t="s">
        <v>402</v>
      </c>
      <c r="D45" s="217">
        <v>45704.44028935185</v>
      </c>
      <c r="E45" s="217">
        <v>45705.82298611111</v>
      </c>
      <c r="F45" s="218" t="s">
        <v>442</v>
      </c>
      <c r="G45" s="219" t="s">
        <v>443</v>
      </c>
      <c r="H45" s="216" t="s">
        <v>259</v>
      </c>
      <c r="I45" s="216" t="s">
        <v>260</v>
      </c>
    </row>
    <row r="46">
      <c r="A46" s="216" t="s">
        <v>444</v>
      </c>
      <c r="B46" s="216" t="s">
        <v>445</v>
      </c>
      <c r="C46" s="216" t="s">
        <v>446</v>
      </c>
      <c r="D46" s="217">
        <v>45734.82555555556</v>
      </c>
      <c r="E46" s="217">
        <v>45734.91670138889</v>
      </c>
      <c r="F46" s="218" t="s">
        <v>447</v>
      </c>
      <c r="G46" s="219" t="s">
        <v>448</v>
      </c>
      <c r="H46" s="216" t="s">
        <v>259</v>
      </c>
      <c r="I46" s="216" t="s">
        <v>449</v>
      </c>
    </row>
    <row r="47">
      <c r="A47" s="216" t="s">
        <v>450</v>
      </c>
      <c r="B47" s="216" t="s">
        <v>445</v>
      </c>
      <c r="C47" s="216" t="s">
        <v>446</v>
      </c>
      <c r="D47" s="217">
        <v>45773.66523148148</v>
      </c>
      <c r="E47" s="217">
        <v>45773.76059027778</v>
      </c>
      <c r="F47" s="218" t="s">
        <v>291</v>
      </c>
      <c r="G47" s="219" t="s">
        <v>451</v>
      </c>
      <c r="H47" s="216" t="s">
        <v>259</v>
      </c>
      <c r="I47" s="216" t="s">
        <v>449</v>
      </c>
    </row>
    <row r="48">
      <c r="A48" s="216" t="s">
        <v>452</v>
      </c>
      <c r="B48" s="216" t="s">
        <v>445</v>
      </c>
      <c r="C48" s="216" t="s">
        <v>446</v>
      </c>
      <c r="D48" s="217">
        <v>45760.67490740741</v>
      </c>
      <c r="E48" s="217">
        <v>45761.63898148148</v>
      </c>
      <c r="F48" s="218" t="s">
        <v>380</v>
      </c>
      <c r="G48" s="219" t="s">
        <v>453</v>
      </c>
      <c r="H48" s="216" t="s">
        <v>259</v>
      </c>
      <c r="I48" s="216" t="s">
        <v>449</v>
      </c>
    </row>
    <row r="49">
      <c r="A49" s="212" t="s">
        <v>454</v>
      </c>
      <c r="B49" s="212" t="s">
        <v>445</v>
      </c>
      <c r="C49" s="212" t="s">
        <v>446</v>
      </c>
      <c r="D49" s="213">
        <v>45759.72519675926</v>
      </c>
      <c r="E49" s="213">
        <v>45759.76751157407</v>
      </c>
      <c r="F49" s="214" t="s">
        <v>250</v>
      </c>
      <c r="G49" s="215" t="s">
        <v>455</v>
      </c>
      <c r="H49" s="212" t="s">
        <v>259</v>
      </c>
      <c r="I49" s="212" t="s">
        <v>449</v>
      </c>
    </row>
    <row r="50">
      <c r="A50" s="212" t="s">
        <v>456</v>
      </c>
      <c r="B50" s="212" t="s">
        <v>457</v>
      </c>
      <c r="C50" s="212" t="s">
        <v>458</v>
      </c>
      <c r="D50" s="213">
        <v>45716.54173611111</v>
      </c>
      <c r="E50" s="213">
        <v>45716.59730324074</v>
      </c>
      <c r="F50" s="214" t="s">
        <v>459</v>
      </c>
      <c r="G50" s="215" t="s">
        <v>460</v>
      </c>
      <c r="H50" s="212" t="s">
        <v>259</v>
      </c>
      <c r="I50" s="212" t="s">
        <v>461</v>
      </c>
    </row>
    <row r="51">
      <c r="A51" s="216" t="s">
        <v>462</v>
      </c>
      <c r="B51" s="216" t="s">
        <v>463</v>
      </c>
      <c r="C51" s="216" t="s">
        <v>464</v>
      </c>
      <c r="D51" s="217">
        <v>45489.469189814816</v>
      </c>
      <c r="E51" s="217"/>
      <c r="F51" s="218" t="s">
        <v>465</v>
      </c>
      <c r="G51" s="219" t="s">
        <v>466</v>
      </c>
      <c r="H51" s="216" t="s">
        <v>259</v>
      </c>
      <c r="I51" s="216" t="s">
        <v>467</v>
      </c>
    </row>
    <row r="52">
      <c r="A52" s="216" t="s">
        <v>462</v>
      </c>
      <c r="B52" s="216" t="s">
        <v>463</v>
      </c>
      <c r="C52" s="216" t="s">
        <v>464</v>
      </c>
      <c r="D52" s="217">
        <v>45489.469189814816</v>
      </c>
      <c r="E52" s="217"/>
      <c r="F52" s="218" t="s">
        <v>465</v>
      </c>
      <c r="G52" s="219" t="s">
        <v>466</v>
      </c>
      <c r="H52" s="216" t="s">
        <v>259</v>
      </c>
      <c r="I52" s="216" t="s">
        <v>467</v>
      </c>
    </row>
    <row r="53">
      <c r="A53" s="212" t="s">
        <v>468</v>
      </c>
      <c r="B53" s="212" t="s">
        <v>463</v>
      </c>
      <c r="C53" s="212" t="s">
        <v>469</v>
      </c>
      <c r="D53" s="213">
        <v>45712.61210648148</v>
      </c>
      <c r="E53" s="213">
        <v>45713.670219907406</v>
      </c>
      <c r="F53" s="214" t="s">
        <v>470</v>
      </c>
      <c r="G53" s="215" t="s">
        <v>471</v>
      </c>
      <c r="H53" s="212" t="s">
        <v>472</v>
      </c>
      <c r="I53" s="212" t="s">
        <v>467</v>
      </c>
    </row>
    <row r="54">
      <c r="A54" s="212" t="s">
        <v>473</v>
      </c>
      <c r="B54" s="212" t="s">
        <v>474</v>
      </c>
      <c r="C54" s="212" t="s">
        <v>475</v>
      </c>
      <c r="D54" s="213">
        <v>45479.80296296296</v>
      </c>
      <c r="E54" s="213"/>
      <c r="F54" s="214" t="s">
        <v>281</v>
      </c>
      <c r="G54" s="215" t="s">
        <v>476</v>
      </c>
      <c r="H54" s="212" t="s">
        <v>265</v>
      </c>
      <c r="I54" s="212" t="s">
        <v>477</v>
      </c>
    </row>
    <row r="55">
      <c r="A55" s="212" t="s">
        <v>478</v>
      </c>
      <c r="B55" s="212" t="s">
        <v>479</v>
      </c>
      <c r="C55" s="212" t="s">
        <v>480</v>
      </c>
      <c r="D55" s="213">
        <v>45711.82821759259</v>
      </c>
      <c r="E55" s="213">
        <v>45712.430659722224</v>
      </c>
      <c r="F55" s="214" t="s">
        <v>481</v>
      </c>
      <c r="G55" s="215" t="s">
        <v>482</v>
      </c>
      <c r="H55" s="212" t="s">
        <v>356</v>
      </c>
      <c r="I55" s="212" t="s">
        <v>483</v>
      </c>
    </row>
    <row r="56">
      <c r="A56" s="216" t="s">
        <v>484</v>
      </c>
      <c r="B56" s="216" t="s">
        <v>479</v>
      </c>
      <c r="C56" s="216" t="s">
        <v>480</v>
      </c>
      <c r="D56" s="217">
        <v>45711.82792824074</v>
      </c>
      <c r="E56" s="224"/>
      <c r="F56" s="218" t="s">
        <v>391</v>
      </c>
      <c r="G56" s="219" t="s">
        <v>485</v>
      </c>
      <c r="H56" s="216" t="s">
        <v>356</v>
      </c>
      <c r="I56" s="216" t="s">
        <v>483</v>
      </c>
    </row>
    <row r="57">
      <c r="A57" s="212" t="s">
        <v>486</v>
      </c>
      <c r="B57" s="212" t="s">
        <v>479</v>
      </c>
      <c r="C57" s="212" t="s">
        <v>487</v>
      </c>
      <c r="D57" s="213">
        <v>45736.55506944445</v>
      </c>
      <c r="E57" s="213">
        <v>45737.78136574074</v>
      </c>
      <c r="F57" s="214" t="s">
        <v>488</v>
      </c>
      <c r="G57" s="215" t="s">
        <v>489</v>
      </c>
      <c r="H57" s="212" t="s">
        <v>356</v>
      </c>
      <c r="I57" s="212" t="s">
        <v>490</v>
      </c>
    </row>
    <row r="58">
      <c r="A58" s="216" t="s">
        <v>491</v>
      </c>
      <c r="B58" s="216" t="s">
        <v>479</v>
      </c>
      <c r="C58" s="216" t="s">
        <v>492</v>
      </c>
      <c r="D58" s="217">
        <v>45748.87747685185</v>
      </c>
      <c r="E58" s="217">
        <v>45751.74317129629</v>
      </c>
      <c r="F58" s="218" t="s">
        <v>493</v>
      </c>
      <c r="G58" s="219" t="s">
        <v>494</v>
      </c>
      <c r="H58" s="216" t="s">
        <v>356</v>
      </c>
      <c r="I58" s="216" t="s">
        <v>490</v>
      </c>
    </row>
    <row r="59">
      <c r="A59" s="216" t="s">
        <v>495</v>
      </c>
      <c r="B59" s="216" t="s">
        <v>496</v>
      </c>
      <c r="C59" s="216" t="s">
        <v>497</v>
      </c>
      <c r="D59" s="217">
        <v>45541.88251157408</v>
      </c>
      <c r="E59" s="217"/>
      <c r="F59" s="218" t="s">
        <v>498</v>
      </c>
      <c r="G59" s="219" t="s">
        <v>499</v>
      </c>
      <c r="H59" s="216" t="s">
        <v>265</v>
      </c>
      <c r="I59" s="216" t="s">
        <v>500</v>
      </c>
    </row>
    <row r="60">
      <c r="A60" s="212" t="s">
        <v>501</v>
      </c>
      <c r="B60" s="212" t="s">
        <v>496</v>
      </c>
      <c r="C60" s="212" t="s">
        <v>502</v>
      </c>
      <c r="D60" s="213">
        <v>45541.819560185184</v>
      </c>
      <c r="E60" s="213"/>
      <c r="F60" s="214" t="s">
        <v>503</v>
      </c>
      <c r="G60" s="215" t="s">
        <v>504</v>
      </c>
      <c r="H60" s="212" t="s">
        <v>259</v>
      </c>
      <c r="I60" s="212" t="s">
        <v>505</v>
      </c>
    </row>
    <row r="61">
      <c r="A61" s="212" t="s">
        <v>506</v>
      </c>
      <c r="B61" s="212" t="s">
        <v>507</v>
      </c>
      <c r="C61" s="212" t="s">
        <v>508</v>
      </c>
      <c r="D61" s="213">
        <v>45550.55106481481</v>
      </c>
      <c r="E61" s="213"/>
      <c r="F61" s="214" t="s">
        <v>509</v>
      </c>
      <c r="G61" s="215" t="s">
        <v>510</v>
      </c>
      <c r="H61" s="212" t="s">
        <v>377</v>
      </c>
      <c r="I61" s="212" t="s">
        <v>357</v>
      </c>
    </row>
    <row r="62">
      <c r="A62" s="216" t="s">
        <v>511</v>
      </c>
      <c r="B62" s="216" t="s">
        <v>507</v>
      </c>
      <c r="C62" s="216" t="s">
        <v>512</v>
      </c>
      <c r="D62" s="217">
        <v>45550.55059027778</v>
      </c>
      <c r="E62" s="217"/>
      <c r="F62" s="218" t="s">
        <v>431</v>
      </c>
      <c r="G62" s="219" t="s">
        <v>513</v>
      </c>
      <c r="H62" s="216" t="s">
        <v>377</v>
      </c>
      <c r="I62" s="216" t="s">
        <v>357</v>
      </c>
    </row>
    <row r="63">
      <c r="A63" s="212" t="s">
        <v>514</v>
      </c>
      <c r="B63" s="212" t="s">
        <v>507</v>
      </c>
      <c r="C63" s="212" t="s">
        <v>515</v>
      </c>
      <c r="D63" s="213">
        <v>45550.54953703703</v>
      </c>
      <c r="E63" s="226"/>
      <c r="F63" s="214" t="s">
        <v>516</v>
      </c>
      <c r="G63" s="215" t="s">
        <v>517</v>
      </c>
      <c r="H63" s="212" t="s">
        <v>377</v>
      </c>
      <c r="I63" s="212" t="s">
        <v>357</v>
      </c>
    </row>
    <row r="64">
      <c r="A64" s="212" t="s">
        <v>518</v>
      </c>
      <c r="B64" s="212" t="s">
        <v>507</v>
      </c>
      <c r="C64" s="212" t="s">
        <v>508</v>
      </c>
      <c r="D64" s="213">
        <v>45529.538125</v>
      </c>
      <c r="E64" s="213"/>
      <c r="F64" s="214" t="s">
        <v>269</v>
      </c>
      <c r="G64" s="215" t="s">
        <v>519</v>
      </c>
      <c r="H64" s="212" t="s">
        <v>377</v>
      </c>
      <c r="I64" s="212" t="s">
        <v>357</v>
      </c>
    </row>
    <row r="65">
      <c r="A65" s="212" t="s">
        <v>520</v>
      </c>
      <c r="B65" s="212" t="s">
        <v>507</v>
      </c>
      <c r="C65" s="212" t="s">
        <v>508</v>
      </c>
      <c r="D65" s="213">
        <v>45451.65221064815</v>
      </c>
      <c r="E65" s="213">
        <v>45453.61119212963</v>
      </c>
      <c r="F65" s="214" t="s">
        <v>431</v>
      </c>
      <c r="G65" s="215" t="s">
        <v>521</v>
      </c>
      <c r="H65" s="212" t="s">
        <v>377</v>
      </c>
      <c r="I65" s="212" t="s">
        <v>357</v>
      </c>
    </row>
    <row r="66">
      <c r="A66" s="212" t="s">
        <v>522</v>
      </c>
      <c r="B66" s="212" t="s">
        <v>507</v>
      </c>
      <c r="C66" s="212" t="s">
        <v>515</v>
      </c>
      <c r="D66" s="213">
        <v>45451.49915509259</v>
      </c>
      <c r="E66" s="213">
        <v>45451.32653935185</v>
      </c>
      <c r="F66" s="214" t="s">
        <v>339</v>
      </c>
      <c r="G66" s="215" t="s">
        <v>523</v>
      </c>
      <c r="H66" s="212" t="s">
        <v>377</v>
      </c>
      <c r="I66" s="212" t="s">
        <v>357</v>
      </c>
    </row>
    <row r="67">
      <c r="A67" s="216" t="s">
        <v>524</v>
      </c>
      <c r="B67" s="216" t="s">
        <v>507</v>
      </c>
      <c r="C67" s="216" t="s">
        <v>512</v>
      </c>
      <c r="D67" s="217">
        <v>45745.66334490741</v>
      </c>
      <c r="E67" s="217">
        <v>45745.69804398148</v>
      </c>
      <c r="F67" s="218" t="s">
        <v>431</v>
      </c>
      <c r="G67" s="219" t="s">
        <v>525</v>
      </c>
      <c r="H67" s="216" t="s">
        <v>377</v>
      </c>
      <c r="I67" s="216" t="s">
        <v>357</v>
      </c>
    </row>
    <row r="68">
      <c r="A68" s="220" t="s">
        <v>526</v>
      </c>
      <c r="B68" s="220" t="s">
        <v>527</v>
      </c>
      <c r="C68" s="220" t="s">
        <v>528</v>
      </c>
      <c r="D68" s="221">
        <v>45439.80842592593</v>
      </c>
      <c r="E68" s="221">
        <v>45440.30568287037</v>
      </c>
      <c r="F68" s="222" t="s">
        <v>529</v>
      </c>
      <c r="G68" s="223" t="s">
        <v>530</v>
      </c>
      <c r="H68" s="220" t="s">
        <v>259</v>
      </c>
      <c r="I68" s="220" t="s">
        <v>531</v>
      </c>
    </row>
    <row r="69">
      <c r="A69" s="216" t="s">
        <v>532</v>
      </c>
      <c r="B69" s="216" t="s">
        <v>527</v>
      </c>
      <c r="C69" s="216" t="s">
        <v>533</v>
      </c>
      <c r="D69" s="217">
        <v>45438.653344907405</v>
      </c>
      <c r="E69" s="217">
        <v>45438.524375</v>
      </c>
      <c r="F69" s="218" t="s">
        <v>344</v>
      </c>
      <c r="G69" s="219" t="s">
        <v>534</v>
      </c>
      <c r="H69" s="216" t="s">
        <v>535</v>
      </c>
      <c r="I69" s="216" t="s">
        <v>536</v>
      </c>
    </row>
    <row r="70">
      <c r="A70" s="212" t="s">
        <v>537</v>
      </c>
      <c r="B70" s="212" t="s">
        <v>527</v>
      </c>
      <c r="C70" s="212" t="s">
        <v>528</v>
      </c>
      <c r="D70" s="213">
        <v>45438.65090277778</v>
      </c>
      <c r="E70" s="213">
        <v>45438.60072916667</v>
      </c>
      <c r="F70" s="214" t="s">
        <v>538</v>
      </c>
      <c r="G70" s="215" t="s">
        <v>539</v>
      </c>
      <c r="H70" s="212" t="s">
        <v>259</v>
      </c>
      <c r="I70" s="212" t="s">
        <v>531</v>
      </c>
    </row>
    <row r="71">
      <c r="A71" s="212" t="s">
        <v>540</v>
      </c>
      <c r="B71" s="212" t="s">
        <v>527</v>
      </c>
      <c r="C71" s="212" t="s">
        <v>541</v>
      </c>
      <c r="D71" s="213">
        <v>45432.84434027778</v>
      </c>
      <c r="E71" s="213">
        <v>45433.33689814815</v>
      </c>
      <c r="F71" s="214" t="s">
        <v>542</v>
      </c>
      <c r="G71" s="215" t="s">
        <v>543</v>
      </c>
      <c r="H71" s="212" t="s">
        <v>544</v>
      </c>
      <c r="I71" s="212" t="s">
        <v>531</v>
      </c>
    </row>
    <row r="72">
      <c r="A72" s="216" t="s">
        <v>545</v>
      </c>
      <c r="B72" s="216" t="s">
        <v>546</v>
      </c>
      <c r="C72" s="216" t="s">
        <v>547</v>
      </c>
      <c r="D72" s="217">
        <v>45549.53693287037</v>
      </c>
      <c r="E72" s="217"/>
      <c r="F72" s="218" t="s">
        <v>250</v>
      </c>
      <c r="G72" s="219" t="s">
        <v>548</v>
      </c>
      <c r="H72" s="216" t="s">
        <v>293</v>
      </c>
      <c r="I72" s="216" t="s">
        <v>549</v>
      </c>
    </row>
    <row r="73">
      <c r="A73" s="212" t="s">
        <v>550</v>
      </c>
      <c r="B73" s="212" t="s">
        <v>546</v>
      </c>
      <c r="C73" s="212" t="s">
        <v>547</v>
      </c>
      <c r="D73" s="213">
        <v>45542.59986111111</v>
      </c>
      <c r="E73" s="213"/>
      <c r="F73" s="214" t="s">
        <v>250</v>
      </c>
      <c r="G73" s="215" t="s">
        <v>551</v>
      </c>
      <c r="H73" s="212" t="s">
        <v>293</v>
      </c>
      <c r="I73" s="212" t="s">
        <v>549</v>
      </c>
    </row>
    <row r="74">
      <c r="A74" s="212" t="s">
        <v>552</v>
      </c>
      <c r="B74" s="212" t="s">
        <v>546</v>
      </c>
      <c r="C74" s="212" t="s">
        <v>547</v>
      </c>
      <c r="D74" s="213">
        <v>45529.749872685185</v>
      </c>
      <c r="E74" s="213"/>
      <c r="F74" s="214" t="s">
        <v>250</v>
      </c>
      <c r="G74" s="215" t="s">
        <v>553</v>
      </c>
      <c r="H74" s="212" t="s">
        <v>293</v>
      </c>
      <c r="I74" s="212" t="s">
        <v>549</v>
      </c>
    </row>
    <row r="75">
      <c r="A75" s="216" t="s">
        <v>554</v>
      </c>
      <c r="B75" s="216" t="s">
        <v>546</v>
      </c>
      <c r="C75" s="216" t="s">
        <v>547</v>
      </c>
      <c r="D75" s="217">
        <v>45521.57849537037</v>
      </c>
      <c r="E75" s="217"/>
      <c r="F75" s="218" t="s">
        <v>470</v>
      </c>
      <c r="G75" s="219" t="s">
        <v>555</v>
      </c>
      <c r="H75" s="216" t="s">
        <v>293</v>
      </c>
      <c r="I75" s="216" t="s">
        <v>549</v>
      </c>
    </row>
    <row r="76">
      <c r="A76" s="212" t="s">
        <v>556</v>
      </c>
      <c r="B76" s="212" t="s">
        <v>546</v>
      </c>
      <c r="C76" s="212" t="s">
        <v>547</v>
      </c>
      <c r="D76" s="213">
        <v>45514.57469907407</v>
      </c>
      <c r="E76" s="213"/>
      <c r="F76" s="214" t="s">
        <v>250</v>
      </c>
      <c r="G76" s="215" t="s">
        <v>557</v>
      </c>
      <c r="H76" s="212" t="s">
        <v>293</v>
      </c>
      <c r="I76" s="212" t="s">
        <v>549</v>
      </c>
    </row>
    <row r="77">
      <c r="A77" s="212" t="s">
        <v>558</v>
      </c>
      <c r="B77" s="212" t="s">
        <v>546</v>
      </c>
      <c r="C77" s="212" t="s">
        <v>559</v>
      </c>
      <c r="D77" s="213">
        <v>45507.53165509259</v>
      </c>
      <c r="E77" s="213"/>
      <c r="F77" s="214" t="s">
        <v>538</v>
      </c>
      <c r="G77" s="215" t="s">
        <v>560</v>
      </c>
      <c r="H77" s="212" t="s">
        <v>561</v>
      </c>
      <c r="I77" s="212" t="s">
        <v>399</v>
      </c>
    </row>
    <row r="78">
      <c r="A78" s="212" t="s">
        <v>562</v>
      </c>
      <c r="B78" s="212" t="s">
        <v>546</v>
      </c>
      <c r="C78" s="212" t="s">
        <v>547</v>
      </c>
      <c r="D78" s="213">
        <v>45493.5753125</v>
      </c>
      <c r="E78" s="213"/>
      <c r="F78" s="214" t="s">
        <v>563</v>
      </c>
      <c r="G78" s="215" t="s">
        <v>564</v>
      </c>
      <c r="H78" s="212" t="s">
        <v>293</v>
      </c>
      <c r="I78" s="212" t="s">
        <v>549</v>
      </c>
    </row>
    <row r="79">
      <c r="A79" s="216" t="s">
        <v>565</v>
      </c>
      <c r="B79" s="216" t="s">
        <v>546</v>
      </c>
      <c r="C79" s="216" t="s">
        <v>547</v>
      </c>
      <c r="D79" s="217">
        <v>45464.421331018515</v>
      </c>
      <c r="E79" s="217"/>
      <c r="F79" s="218" t="s">
        <v>563</v>
      </c>
      <c r="G79" s="219" t="s">
        <v>566</v>
      </c>
      <c r="H79" s="216" t="s">
        <v>259</v>
      </c>
      <c r="I79" s="216" t="s">
        <v>567</v>
      </c>
    </row>
    <row r="80">
      <c r="A80" s="216" t="s">
        <v>568</v>
      </c>
      <c r="B80" s="216" t="s">
        <v>546</v>
      </c>
      <c r="C80" s="216" t="s">
        <v>547</v>
      </c>
      <c r="D80" s="217">
        <v>45449.489907407406</v>
      </c>
      <c r="E80" s="217">
        <v>45449.43407407407</v>
      </c>
      <c r="F80" s="218" t="s">
        <v>250</v>
      </c>
      <c r="G80" s="219" t="s">
        <v>569</v>
      </c>
      <c r="H80" s="216" t="s">
        <v>293</v>
      </c>
      <c r="I80" s="216" t="s">
        <v>549</v>
      </c>
    </row>
    <row r="81">
      <c r="A81" s="216" t="s">
        <v>570</v>
      </c>
      <c r="B81" s="216" t="s">
        <v>546</v>
      </c>
      <c r="C81" s="216" t="s">
        <v>571</v>
      </c>
      <c r="D81" s="217">
        <v>45437.77719907407</v>
      </c>
      <c r="E81" s="217">
        <v>45437.5799537037</v>
      </c>
      <c r="F81" s="218" t="s">
        <v>572</v>
      </c>
      <c r="G81" s="219" t="s">
        <v>573</v>
      </c>
      <c r="H81" s="216" t="s">
        <v>561</v>
      </c>
      <c r="I81" s="216" t="s">
        <v>549</v>
      </c>
    </row>
    <row r="82">
      <c r="A82" s="212" t="s">
        <v>574</v>
      </c>
      <c r="B82" s="212" t="s">
        <v>546</v>
      </c>
      <c r="C82" s="212" t="s">
        <v>571</v>
      </c>
      <c r="D82" s="213">
        <v>45434.47077546296</v>
      </c>
      <c r="E82" s="227"/>
      <c r="F82" s="214" t="s">
        <v>572</v>
      </c>
      <c r="G82" s="215" t="s">
        <v>575</v>
      </c>
      <c r="H82" s="212" t="s">
        <v>252</v>
      </c>
      <c r="I82" s="212" t="s">
        <v>549</v>
      </c>
    </row>
    <row r="83">
      <c r="A83" s="212" t="s">
        <v>576</v>
      </c>
      <c r="B83" s="212" t="s">
        <v>546</v>
      </c>
      <c r="C83" s="212" t="s">
        <v>547</v>
      </c>
      <c r="D83" s="213">
        <v>45714.446608796294</v>
      </c>
      <c r="E83" s="213">
        <v>45714.45491898148</v>
      </c>
      <c r="F83" s="214" t="s">
        <v>291</v>
      </c>
      <c r="G83" s="215" t="s">
        <v>577</v>
      </c>
      <c r="H83" s="212" t="s">
        <v>259</v>
      </c>
      <c r="I83" s="212" t="s">
        <v>578</v>
      </c>
    </row>
    <row r="84">
      <c r="A84" s="216" t="s">
        <v>579</v>
      </c>
      <c r="B84" s="216" t="s">
        <v>546</v>
      </c>
      <c r="C84" s="216" t="s">
        <v>571</v>
      </c>
      <c r="D84" s="217">
        <v>45710.44734953704</v>
      </c>
      <c r="E84" s="224"/>
      <c r="F84" s="218" t="s">
        <v>580</v>
      </c>
      <c r="G84" s="219" t="s">
        <v>581</v>
      </c>
      <c r="H84" s="216" t="s">
        <v>259</v>
      </c>
      <c r="I84" s="216" t="s">
        <v>399</v>
      </c>
    </row>
    <row r="85">
      <c r="A85" s="212" t="s">
        <v>582</v>
      </c>
      <c r="B85" s="212" t="s">
        <v>546</v>
      </c>
      <c r="C85" s="212" t="s">
        <v>571</v>
      </c>
      <c r="D85" s="213">
        <v>45733.6394212963</v>
      </c>
      <c r="E85" s="213">
        <v>45733.64945601852</v>
      </c>
      <c r="F85" s="214" t="s">
        <v>281</v>
      </c>
      <c r="G85" s="215" t="s">
        <v>583</v>
      </c>
      <c r="H85" s="212" t="s">
        <v>561</v>
      </c>
      <c r="I85" s="212" t="s">
        <v>549</v>
      </c>
    </row>
    <row r="86">
      <c r="A86" s="216" t="s">
        <v>584</v>
      </c>
      <c r="B86" s="216" t="s">
        <v>546</v>
      </c>
      <c r="C86" s="216" t="s">
        <v>547</v>
      </c>
      <c r="D86" s="217">
        <v>45773.686377314814</v>
      </c>
      <c r="E86" s="217">
        <v>45785.54178240741</v>
      </c>
      <c r="F86" s="218" t="s">
        <v>281</v>
      </c>
      <c r="G86" s="219" t="s">
        <v>585</v>
      </c>
      <c r="H86" s="216" t="s">
        <v>293</v>
      </c>
      <c r="I86" s="216" t="s">
        <v>549</v>
      </c>
    </row>
    <row r="87">
      <c r="A87" s="216" t="s">
        <v>586</v>
      </c>
      <c r="B87" s="216" t="s">
        <v>546</v>
      </c>
      <c r="C87" s="216" t="s">
        <v>547</v>
      </c>
      <c r="D87" s="217">
        <v>45759.67568287037</v>
      </c>
      <c r="E87" s="217">
        <v>45759.68417824074</v>
      </c>
      <c r="F87" s="218" t="s">
        <v>470</v>
      </c>
      <c r="G87" s="219" t="s">
        <v>587</v>
      </c>
      <c r="H87" s="216" t="s">
        <v>259</v>
      </c>
      <c r="I87" s="216" t="s">
        <v>578</v>
      </c>
    </row>
    <row r="88">
      <c r="A88" s="212" t="s">
        <v>588</v>
      </c>
      <c r="B88" s="212" t="s">
        <v>546</v>
      </c>
      <c r="C88" s="212" t="s">
        <v>547</v>
      </c>
      <c r="D88" s="213">
        <v>45748.421215277776</v>
      </c>
      <c r="E88" s="213">
        <v>45748.43059027778</v>
      </c>
      <c r="F88" s="214" t="s">
        <v>291</v>
      </c>
      <c r="G88" s="215" t="s">
        <v>589</v>
      </c>
      <c r="H88" s="212" t="s">
        <v>259</v>
      </c>
      <c r="I88" s="212" t="s">
        <v>578</v>
      </c>
    </row>
    <row r="89">
      <c r="A89" s="212" t="s">
        <v>590</v>
      </c>
      <c r="B89" s="212" t="s">
        <v>591</v>
      </c>
      <c r="C89" s="212" t="s">
        <v>592</v>
      </c>
      <c r="D89" s="213">
        <v>45469.911631944444</v>
      </c>
      <c r="E89" s="213"/>
      <c r="F89" s="214" t="s">
        <v>593</v>
      </c>
      <c r="G89" s="215" t="s">
        <v>594</v>
      </c>
      <c r="H89" s="212" t="s">
        <v>561</v>
      </c>
      <c r="I89" s="212" t="s">
        <v>595</v>
      </c>
    </row>
    <row r="90">
      <c r="A90" s="216" t="s">
        <v>596</v>
      </c>
      <c r="B90" s="216" t="s">
        <v>597</v>
      </c>
      <c r="C90" s="216" t="s">
        <v>598</v>
      </c>
      <c r="D90" s="217">
        <v>45542.44770833333</v>
      </c>
      <c r="E90" s="217"/>
      <c r="F90" s="218" t="s">
        <v>599</v>
      </c>
      <c r="G90" s="219" t="s">
        <v>600</v>
      </c>
      <c r="H90" s="216" t="s">
        <v>265</v>
      </c>
      <c r="I90" s="216" t="s">
        <v>260</v>
      </c>
    </row>
    <row r="91">
      <c r="A91" s="212" t="s">
        <v>601</v>
      </c>
      <c r="B91" s="212" t="s">
        <v>597</v>
      </c>
      <c r="C91" s="212" t="s">
        <v>598</v>
      </c>
      <c r="D91" s="213">
        <v>45520.8272337963</v>
      </c>
      <c r="E91" s="213"/>
      <c r="F91" s="214" t="s">
        <v>257</v>
      </c>
      <c r="G91" s="215" t="s">
        <v>602</v>
      </c>
      <c r="H91" s="212" t="s">
        <v>265</v>
      </c>
      <c r="I91" s="212" t="s">
        <v>260</v>
      </c>
    </row>
    <row r="92">
      <c r="A92" s="216" t="s">
        <v>603</v>
      </c>
      <c r="B92" s="216" t="s">
        <v>604</v>
      </c>
      <c r="C92" s="216" t="s">
        <v>605</v>
      </c>
      <c r="D92" s="217">
        <v>45712.65268518519</v>
      </c>
      <c r="E92" s="217">
        <v>45712.66326388889</v>
      </c>
      <c r="F92" s="218" t="s">
        <v>281</v>
      </c>
      <c r="G92" s="219" t="s">
        <v>606</v>
      </c>
      <c r="H92" s="216" t="s">
        <v>265</v>
      </c>
      <c r="I92" s="216" t="s">
        <v>607</v>
      </c>
    </row>
    <row r="93">
      <c r="A93" s="216" t="s">
        <v>608</v>
      </c>
      <c r="B93" s="216" t="s">
        <v>604</v>
      </c>
      <c r="C93" s="216" t="s">
        <v>605</v>
      </c>
      <c r="D93" s="217">
        <v>45747.619166666664</v>
      </c>
      <c r="E93" s="217">
        <v>45747.63894675926</v>
      </c>
      <c r="F93" s="218" t="s">
        <v>580</v>
      </c>
      <c r="G93" s="219" t="s">
        <v>609</v>
      </c>
      <c r="H93" s="216" t="s">
        <v>259</v>
      </c>
      <c r="I93" s="216" t="s">
        <v>607</v>
      </c>
    </row>
    <row r="94">
      <c r="A94" s="212" t="s">
        <v>610</v>
      </c>
      <c r="B94" s="212" t="s">
        <v>611</v>
      </c>
      <c r="C94" s="212" t="s">
        <v>612</v>
      </c>
      <c r="D94" s="213">
        <v>45453.82356481482</v>
      </c>
      <c r="E94" s="213">
        <v>45453.62509259259</v>
      </c>
      <c r="F94" s="214" t="s">
        <v>613</v>
      </c>
      <c r="G94" s="215" t="s">
        <v>614</v>
      </c>
      <c r="H94" s="212" t="s">
        <v>265</v>
      </c>
      <c r="I94" s="212" t="s">
        <v>615</v>
      </c>
    </row>
    <row r="95">
      <c r="A95" s="216" t="s">
        <v>616</v>
      </c>
      <c r="B95" s="216" t="s">
        <v>617</v>
      </c>
      <c r="C95" s="216" t="s">
        <v>618</v>
      </c>
      <c r="D95" s="217">
        <v>45541.82336805556</v>
      </c>
      <c r="E95" s="217"/>
      <c r="F95" s="218" t="s">
        <v>503</v>
      </c>
      <c r="G95" s="219" t="s">
        <v>619</v>
      </c>
      <c r="H95" s="216" t="s">
        <v>259</v>
      </c>
      <c r="I95" s="216" t="s">
        <v>620</v>
      </c>
    </row>
    <row r="96">
      <c r="A96" s="212" t="s">
        <v>621</v>
      </c>
      <c r="B96" s="212" t="s">
        <v>622</v>
      </c>
      <c r="C96" s="212" t="s">
        <v>623</v>
      </c>
      <c r="D96" s="213">
        <v>45549.74931712963</v>
      </c>
      <c r="E96" s="213"/>
      <c r="F96" s="214" t="s">
        <v>624</v>
      </c>
      <c r="G96" s="215" t="s">
        <v>625</v>
      </c>
      <c r="H96" s="212" t="s">
        <v>265</v>
      </c>
      <c r="I96" s="212" t="s">
        <v>626</v>
      </c>
    </row>
    <row r="97">
      <c r="A97" s="212" t="s">
        <v>627</v>
      </c>
      <c r="B97" s="212" t="s">
        <v>622</v>
      </c>
      <c r="C97" s="212" t="s">
        <v>623</v>
      </c>
      <c r="D97" s="213">
        <v>45530.825949074075</v>
      </c>
      <c r="E97" s="213"/>
      <c r="F97" s="214" t="s">
        <v>572</v>
      </c>
      <c r="G97" s="215" t="s">
        <v>628</v>
      </c>
      <c r="H97" s="212" t="s">
        <v>265</v>
      </c>
      <c r="I97" s="212" t="s">
        <v>626</v>
      </c>
    </row>
    <row r="98">
      <c r="A98" s="212" t="s">
        <v>629</v>
      </c>
      <c r="B98" s="212" t="s">
        <v>622</v>
      </c>
      <c r="C98" s="212" t="s">
        <v>623</v>
      </c>
      <c r="D98" s="213">
        <v>45527.86516203704</v>
      </c>
      <c r="E98" s="226"/>
      <c r="F98" s="214" t="s">
        <v>630</v>
      </c>
      <c r="G98" s="215" t="s">
        <v>631</v>
      </c>
      <c r="H98" s="212" t="s">
        <v>632</v>
      </c>
      <c r="I98" s="212" t="s">
        <v>626</v>
      </c>
    </row>
    <row r="99">
      <c r="A99" s="216" t="s">
        <v>633</v>
      </c>
      <c r="B99" s="216" t="s">
        <v>622</v>
      </c>
      <c r="C99" s="216" t="s">
        <v>634</v>
      </c>
      <c r="D99" s="217">
        <v>45500.51652777778</v>
      </c>
      <c r="E99" s="217"/>
      <c r="F99" s="218" t="s">
        <v>459</v>
      </c>
      <c r="G99" s="219" t="s">
        <v>635</v>
      </c>
      <c r="H99" s="216" t="s">
        <v>265</v>
      </c>
      <c r="I99" s="216" t="s">
        <v>626</v>
      </c>
    </row>
    <row r="100">
      <c r="A100" s="216" t="s">
        <v>636</v>
      </c>
      <c r="B100" s="216" t="s">
        <v>622</v>
      </c>
      <c r="C100" s="216" t="s">
        <v>637</v>
      </c>
      <c r="D100" s="217">
        <v>45488.89372685185</v>
      </c>
      <c r="E100" s="217"/>
      <c r="F100" s="218" t="s">
        <v>638</v>
      </c>
      <c r="G100" s="219" t="s">
        <v>639</v>
      </c>
      <c r="H100" s="216" t="s">
        <v>265</v>
      </c>
      <c r="I100" s="216" t="s">
        <v>640</v>
      </c>
    </row>
    <row r="101">
      <c r="A101" s="216" t="s">
        <v>636</v>
      </c>
      <c r="B101" s="216" t="s">
        <v>622</v>
      </c>
      <c r="C101" s="216" t="s">
        <v>637</v>
      </c>
      <c r="D101" s="217">
        <v>45488.89372685185</v>
      </c>
      <c r="E101" s="217"/>
      <c r="F101" s="218" t="s">
        <v>638</v>
      </c>
      <c r="G101" s="219" t="s">
        <v>639</v>
      </c>
      <c r="H101" s="216" t="s">
        <v>265</v>
      </c>
      <c r="I101" s="216" t="s">
        <v>640</v>
      </c>
    </row>
    <row r="102">
      <c r="A102" s="212" t="s">
        <v>641</v>
      </c>
      <c r="B102" s="212" t="s">
        <v>622</v>
      </c>
      <c r="C102" s="212" t="s">
        <v>623</v>
      </c>
      <c r="D102" s="213">
        <v>45482.87971064815</v>
      </c>
      <c r="E102" s="213"/>
      <c r="F102" s="214" t="s">
        <v>516</v>
      </c>
      <c r="G102" s="215" t="s">
        <v>642</v>
      </c>
      <c r="H102" s="212" t="s">
        <v>259</v>
      </c>
      <c r="I102" s="212" t="s">
        <v>626</v>
      </c>
    </row>
    <row r="103">
      <c r="A103" s="216" t="s">
        <v>643</v>
      </c>
      <c r="B103" s="216" t="s">
        <v>622</v>
      </c>
      <c r="C103" s="216" t="s">
        <v>644</v>
      </c>
      <c r="D103" s="217">
        <v>45478.755277777775</v>
      </c>
      <c r="E103" s="217"/>
      <c r="F103" s="218" t="s">
        <v>645</v>
      </c>
      <c r="G103" s="219" t="s">
        <v>646</v>
      </c>
      <c r="H103" s="216" t="s">
        <v>265</v>
      </c>
      <c r="I103" s="216" t="s">
        <v>626</v>
      </c>
    </row>
    <row r="104">
      <c r="A104" s="212" t="s">
        <v>647</v>
      </c>
      <c r="B104" s="212" t="s">
        <v>622</v>
      </c>
      <c r="C104" s="212" t="s">
        <v>637</v>
      </c>
      <c r="D104" s="213">
        <v>45478.754583333335</v>
      </c>
      <c r="E104" s="213"/>
      <c r="F104" s="214" t="s">
        <v>648</v>
      </c>
      <c r="G104" s="215" t="s">
        <v>649</v>
      </c>
      <c r="H104" s="212" t="s">
        <v>265</v>
      </c>
      <c r="I104" s="212" t="s">
        <v>640</v>
      </c>
    </row>
    <row r="105">
      <c r="A105" s="212" t="s">
        <v>650</v>
      </c>
      <c r="B105" s="212" t="s">
        <v>622</v>
      </c>
      <c r="C105" s="212" t="s">
        <v>637</v>
      </c>
      <c r="D105" s="213">
        <v>45431.51452546296</v>
      </c>
      <c r="E105" s="213"/>
      <c r="F105" s="214" t="s">
        <v>651</v>
      </c>
      <c r="G105" s="215" t="s">
        <v>652</v>
      </c>
      <c r="H105" s="212" t="s">
        <v>265</v>
      </c>
      <c r="I105" s="212" t="s">
        <v>640</v>
      </c>
    </row>
    <row r="106">
      <c r="A106" s="216" t="s">
        <v>653</v>
      </c>
      <c r="B106" s="216" t="s">
        <v>622</v>
      </c>
      <c r="C106" s="216" t="s">
        <v>623</v>
      </c>
      <c r="D106" s="217">
        <v>45706.78984953704</v>
      </c>
      <c r="E106" s="217">
        <v>45707.5903587963</v>
      </c>
      <c r="F106" s="218" t="s">
        <v>431</v>
      </c>
      <c r="G106" s="219" t="s">
        <v>432</v>
      </c>
      <c r="H106" s="216" t="s">
        <v>265</v>
      </c>
      <c r="I106" s="216" t="s">
        <v>626</v>
      </c>
    </row>
    <row r="107">
      <c r="A107" s="212" t="s">
        <v>654</v>
      </c>
      <c r="B107" s="212" t="s">
        <v>622</v>
      </c>
      <c r="C107" s="212" t="s">
        <v>637</v>
      </c>
      <c r="D107" s="213">
        <v>45706.78958333333</v>
      </c>
      <c r="E107" s="213">
        <v>45707.47928240741</v>
      </c>
      <c r="F107" s="214" t="s">
        <v>431</v>
      </c>
      <c r="G107" s="215" t="s">
        <v>432</v>
      </c>
      <c r="H107" s="212" t="s">
        <v>265</v>
      </c>
      <c r="I107" s="212" t="s">
        <v>640</v>
      </c>
    </row>
    <row r="108">
      <c r="A108" s="216" t="s">
        <v>655</v>
      </c>
      <c r="B108" s="216" t="s">
        <v>656</v>
      </c>
      <c r="C108" s="216" t="s">
        <v>657</v>
      </c>
      <c r="D108" s="217">
        <v>45516.82009259259</v>
      </c>
      <c r="E108" s="217"/>
      <c r="F108" s="218" t="s">
        <v>658</v>
      </c>
      <c r="G108" s="219" t="s">
        <v>659</v>
      </c>
      <c r="H108" s="216" t="s">
        <v>259</v>
      </c>
      <c r="I108" s="216" t="s">
        <v>467</v>
      </c>
    </row>
    <row r="109">
      <c r="A109" s="216" t="s">
        <v>660</v>
      </c>
      <c r="B109" s="216" t="s">
        <v>656</v>
      </c>
      <c r="C109" s="216" t="s">
        <v>657</v>
      </c>
      <c r="D109" s="217">
        <v>45504.841365740744</v>
      </c>
      <c r="E109" s="217"/>
      <c r="F109" s="218" t="s">
        <v>651</v>
      </c>
      <c r="G109" s="219" t="s">
        <v>661</v>
      </c>
      <c r="H109" s="216" t="s">
        <v>259</v>
      </c>
      <c r="I109" s="216" t="s">
        <v>467</v>
      </c>
    </row>
    <row r="110">
      <c r="A110" s="216" t="s">
        <v>662</v>
      </c>
      <c r="B110" s="216" t="s">
        <v>663</v>
      </c>
      <c r="C110" s="216" t="s">
        <v>664</v>
      </c>
      <c r="D110" s="217">
        <v>45531.70622685185</v>
      </c>
      <c r="E110" s="217"/>
      <c r="F110" s="218" t="s">
        <v>580</v>
      </c>
      <c r="G110" s="219" t="s">
        <v>665</v>
      </c>
      <c r="H110" s="216" t="s">
        <v>265</v>
      </c>
      <c r="I110" s="216" t="s">
        <v>666</v>
      </c>
    </row>
    <row r="111">
      <c r="A111" s="212" t="s">
        <v>667</v>
      </c>
      <c r="B111" s="212" t="s">
        <v>663</v>
      </c>
      <c r="C111" s="212" t="s">
        <v>664</v>
      </c>
      <c r="D111" s="213">
        <v>45458.659479166665</v>
      </c>
      <c r="E111" s="213">
        <v>45458.461909722224</v>
      </c>
      <c r="F111" s="214" t="s">
        <v>580</v>
      </c>
      <c r="G111" s="215" t="s">
        <v>668</v>
      </c>
      <c r="H111" s="212" t="s">
        <v>265</v>
      </c>
      <c r="I111" s="212" t="s">
        <v>666</v>
      </c>
    </row>
    <row r="112">
      <c r="A112" s="216" t="s">
        <v>669</v>
      </c>
      <c r="B112" s="216" t="s">
        <v>670</v>
      </c>
      <c r="C112" s="216" t="s">
        <v>671</v>
      </c>
      <c r="D112" s="217">
        <v>45545.851793981485</v>
      </c>
      <c r="E112" s="217"/>
      <c r="F112" s="218" t="s">
        <v>291</v>
      </c>
      <c r="G112" s="219" t="s">
        <v>672</v>
      </c>
      <c r="H112" s="216" t="s">
        <v>632</v>
      </c>
      <c r="I112" s="216" t="s">
        <v>332</v>
      </c>
    </row>
    <row r="113">
      <c r="A113" s="216" t="s">
        <v>673</v>
      </c>
      <c r="B113" s="216" t="s">
        <v>670</v>
      </c>
      <c r="C113" s="216" t="s">
        <v>671</v>
      </c>
      <c r="D113" s="217">
        <v>45529.76325231481</v>
      </c>
      <c r="E113" s="217"/>
      <c r="F113" s="218" t="s">
        <v>470</v>
      </c>
      <c r="G113" s="219" t="s">
        <v>674</v>
      </c>
      <c r="H113" s="216" t="s">
        <v>632</v>
      </c>
      <c r="I113" s="216" t="s">
        <v>332</v>
      </c>
    </row>
    <row r="114">
      <c r="A114" s="212" t="s">
        <v>675</v>
      </c>
      <c r="B114" s="212" t="s">
        <v>670</v>
      </c>
      <c r="C114" s="212" t="s">
        <v>671</v>
      </c>
      <c r="D114" s="213">
        <v>45733.781064814815</v>
      </c>
      <c r="E114" s="213">
        <v>45733.791863425926</v>
      </c>
      <c r="F114" s="214" t="s">
        <v>250</v>
      </c>
      <c r="G114" s="215" t="s">
        <v>676</v>
      </c>
      <c r="H114" s="212" t="s">
        <v>561</v>
      </c>
      <c r="I114" s="212" t="s">
        <v>332</v>
      </c>
    </row>
    <row r="115">
      <c r="A115" s="216" t="s">
        <v>677</v>
      </c>
      <c r="B115" s="216" t="s">
        <v>670</v>
      </c>
      <c r="C115" s="216" t="s">
        <v>671</v>
      </c>
      <c r="D115" s="217">
        <v>45777.84744212963</v>
      </c>
      <c r="E115" s="217">
        <v>45777.85773148148</v>
      </c>
      <c r="F115" s="218" t="s">
        <v>317</v>
      </c>
      <c r="G115" s="219" t="s">
        <v>678</v>
      </c>
      <c r="H115" s="216" t="s">
        <v>561</v>
      </c>
      <c r="I115" s="216" t="s">
        <v>332</v>
      </c>
    </row>
    <row r="116">
      <c r="A116" s="212" t="s">
        <v>679</v>
      </c>
      <c r="B116" s="212" t="s">
        <v>670</v>
      </c>
      <c r="C116" s="212" t="s">
        <v>671</v>
      </c>
      <c r="D116" s="213">
        <v>45760.71827546296</v>
      </c>
      <c r="E116" s="213">
        <v>45760.7293287037</v>
      </c>
      <c r="F116" s="214" t="s">
        <v>317</v>
      </c>
      <c r="G116" s="215" t="s">
        <v>680</v>
      </c>
      <c r="H116" s="212" t="s">
        <v>561</v>
      </c>
      <c r="I116" s="212" t="s">
        <v>332</v>
      </c>
    </row>
    <row r="117">
      <c r="A117" s="212" t="s">
        <v>681</v>
      </c>
      <c r="B117" s="212" t="s">
        <v>682</v>
      </c>
      <c r="C117" s="212" t="s">
        <v>683</v>
      </c>
      <c r="D117" s="213">
        <v>45445.75734953704</v>
      </c>
      <c r="E117" s="227"/>
      <c r="F117" s="214" t="s">
        <v>250</v>
      </c>
      <c r="G117" s="215" t="s">
        <v>684</v>
      </c>
      <c r="H117" s="212" t="s">
        <v>259</v>
      </c>
      <c r="I117" s="212" t="s">
        <v>685</v>
      </c>
    </row>
    <row r="118">
      <c r="A118" s="212" t="s">
        <v>686</v>
      </c>
      <c r="B118" s="212" t="s">
        <v>687</v>
      </c>
      <c r="C118" s="212" t="s">
        <v>688</v>
      </c>
      <c r="D118" s="213">
        <v>45549.57950231482</v>
      </c>
      <c r="E118" s="213"/>
      <c r="F118" s="214" t="s">
        <v>396</v>
      </c>
      <c r="G118" s="215" t="s">
        <v>689</v>
      </c>
      <c r="H118" s="212" t="s">
        <v>259</v>
      </c>
      <c r="I118" s="212" t="s">
        <v>399</v>
      </c>
    </row>
    <row r="119">
      <c r="A119" s="216" t="s">
        <v>690</v>
      </c>
      <c r="B119" s="216" t="s">
        <v>687</v>
      </c>
      <c r="C119" s="216" t="s">
        <v>691</v>
      </c>
      <c r="D119" s="217">
        <v>45549.57821759259</v>
      </c>
      <c r="E119" s="217"/>
      <c r="F119" s="218" t="s">
        <v>692</v>
      </c>
      <c r="G119" s="219" t="s">
        <v>693</v>
      </c>
      <c r="H119" s="216" t="s">
        <v>265</v>
      </c>
      <c r="I119" s="216" t="s">
        <v>399</v>
      </c>
    </row>
    <row r="120">
      <c r="A120" s="212" t="s">
        <v>694</v>
      </c>
      <c r="B120" s="212" t="s">
        <v>687</v>
      </c>
      <c r="C120" s="212" t="s">
        <v>691</v>
      </c>
      <c r="D120" s="213">
        <v>45542.69799768519</v>
      </c>
      <c r="E120" s="213"/>
      <c r="F120" s="214" t="s">
        <v>695</v>
      </c>
      <c r="G120" s="215" t="s">
        <v>696</v>
      </c>
      <c r="H120" s="212" t="s">
        <v>265</v>
      </c>
      <c r="I120" s="212" t="s">
        <v>399</v>
      </c>
    </row>
    <row r="121">
      <c r="A121" s="212" t="s">
        <v>697</v>
      </c>
      <c r="B121" s="212" t="s">
        <v>687</v>
      </c>
      <c r="C121" s="212" t="s">
        <v>691</v>
      </c>
      <c r="D121" s="213">
        <v>45535.48700231482</v>
      </c>
      <c r="E121" s="213"/>
      <c r="F121" s="214" t="s">
        <v>698</v>
      </c>
      <c r="G121" s="215" t="s">
        <v>699</v>
      </c>
      <c r="H121" s="212" t="s">
        <v>265</v>
      </c>
      <c r="I121" s="212" t="s">
        <v>399</v>
      </c>
    </row>
    <row r="122">
      <c r="A122" s="216" t="s">
        <v>700</v>
      </c>
      <c r="B122" s="216" t="s">
        <v>687</v>
      </c>
      <c r="C122" s="216" t="s">
        <v>691</v>
      </c>
      <c r="D122" s="217">
        <v>45520.737233796295</v>
      </c>
      <c r="E122" s="217"/>
      <c r="F122" s="218" t="s">
        <v>465</v>
      </c>
      <c r="G122" s="219" t="s">
        <v>701</v>
      </c>
      <c r="H122" s="216" t="s">
        <v>265</v>
      </c>
      <c r="I122" s="216" t="s">
        <v>399</v>
      </c>
    </row>
    <row r="123">
      <c r="A123" s="216" t="s">
        <v>702</v>
      </c>
      <c r="B123" s="216" t="s">
        <v>687</v>
      </c>
      <c r="C123" s="216" t="s">
        <v>691</v>
      </c>
      <c r="D123" s="217">
        <v>45509.83626157408</v>
      </c>
      <c r="E123" s="217"/>
      <c r="F123" s="218" t="s">
        <v>703</v>
      </c>
      <c r="G123" s="219" t="s">
        <v>704</v>
      </c>
      <c r="H123" s="216" t="s">
        <v>265</v>
      </c>
      <c r="I123" s="216" t="s">
        <v>399</v>
      </c>
    </row>
    <row r="124">
      <c r="A124" s="212" t="s">
        <v>705</v>
      </c>
      <c r="B124" s="212" t="s">
        <v>687</v>
      </c>
      <c r="C124" s="212" t="s">
        <v>691</v>
      </c>
      <c r="D124" s="213">
        <v>45507.51118055556</v>
      </c>
      <c r="E124" s="213"/>
      <c r="F124" s="214" t="s">
        <v>706</v>
      </c>
      <c r="G124" s="215" t="s">
        <v>707</v>
      </c>
      <c r="H124" s="212" t="s">
        <v>265</v>
      </c>
      <c r="I124" s="212" t="s">
        <v>399</v>
      </c>
    </row>
    <row r="125">
      <c r="A125" s="216" t="s">
        <v>708</v>
      </c>
      <c r="B125" s="216" t="s">
        <v>687</v>
      </c>
      <c r="C125" s="216" t="s">
        <v>691</v>
      </c>
      <c r="D125" s="217">
        <v>45502.79210648148</v>
      </c>
      <c r="E125" s="217"/>
      <c r="F125" s="218" t="s">
        <v>470</v>
      </c>
      <c r="G125" s="219" t="s">
        <v>709</v>
      </c>
      <c r="H125" s="216" t="s">
        <v>265</v>
      </c>
      <c r="I125" s="216" t="s">
        <v>399</v>
      </c>
    </row>
    <row r="126">
      <c r="A126" s="216" t="s">
        <v>710</v>
      </c>
      <c r="B126" s="216" t="s">
        <v>687</v>
      </c>
      <c r="C126" s="216" t="s">
        <v>691</v>
      </c>
      <c r="D126" s="217">
        <v>45499.65635416667</v>
      </c>
      <c r="E126" s="217"/>
      <c r="F126" s="218" t="s">
        <v>648</v>
      </c>
      <c r="G126" s="219" t="s">
        <v>711</v>
      </c>
      <c r="H126" s="216" t="s">
        <v>265</v>
      </c>
      <c r="I126" s="216" t="s">
        <v>399</v>
      </c>
    </row>
    <row r="127">
      <c r="A127" s="216" t="s">
        <v>712</v>
      </c>
      <c r="B127" s="216" t="s">
        <v>687</v>
      </c>
      <c r="C127" s="216" t="s">
        <v>688</v>
      </c>
      <c r="D127" s="217">
        <v>45496.77086805556</v>
      </c>
      <c r="E127" s="217"/>
      <c r="F127" s="218" t="s">
        <v>498</v>
      </c>
      <c r="G127" s="219" t="s">
        <v>713</v>
      </c>
      <c r="H127" s="216" t="s">
        <v>259</v>
      </c>
      <c r="I127" s="216" t="s">
        <v>399</v>
      </c>
    </row>
    <row r="128">
      <c r="A128" s="212" t="s">
        <v>714</v>
      </c>
      <c r="B128" s="212" t="s">
        <v>687</v>
      </c>
      <c r="C128" s="212" t="s">
        <v>691</v>
      </c>
      <c r="D128" s="213">
        <v>45493.48337962963</v>
      </c>
      <c r="E128" s="213"/>
      <c r="F128" s="214" t="s">
        <v>715</v>
      </c>
      <c r="G128" s="215" t="s">
        <v>716</v>
      </c>
      <c r="H128" s="212" t="s">
        <v>265</v>
      </c>
      <c r="I128" s="212" t="s">
        <v>399</v>
      </c>
    </row>
    <row r="129">
      <c r="A129" s="216" t="s">
        <v>717</v>
      </c>
      <c r="B129" s="216" t="s">
        <v>687</v>
      </c>
      <c r="C129" s="216" t="s">
        <v>688</v>
      </c>
      <c r="D129" s="217">
        <v>45481.77576388889</v>
      </c>
      <c r="E129" s="217"/>
      <c r="F129" s="218" t="s">
        <v>658</v>
      </c>
      <c r="G129" s="219" t="s">
        <v>718</v>
      </c>
      <c r="H129" s="216" t="s">
        <v>259</v>
      </c>
      <c r="I129" s="216" t="s">
        <v>399</v>
      </c>
    </row>
    <row r="130">
      <c r="A130" s="216" t="s">
        <v>719</v>
      </c>
      <c r="B130" s="216" t="s">
        <v>687</v>
      </c>
      <c r="C130" s="216" t="s">
        <v>688</v>
      </c>
      <c r="D130" s="217">
        <v>45479.59303240741</v>
      </c>
      <c r="E130" s="217"/>
      <c r="F130" s="218" t="s">
        <v>431</v>
      </c>
      <c r="G130" s="219" t="s">
        <v>720</v>
      </c>
      <c r="H130" s="216" t="s">
        <v>259</v>
      </c>
      <c r="I130" s="216" t="s">
        <v>399</v>
      </c>
    </row>
    <row r="131">
      <c r="A131" s="216" t="s">
        <v>721</v>
      </c>
      <c r="B131" s="216" t="s">
        <v>687</v>
      </c>
      <c r="C131" s="216" t="s">
        <v>688</v>
      </c>
      <c r="D131" s="217">
        <v>45472.51049768519</v>
      </c>
      <c r="E131" s="217"/>
      <c r="F131" s="218" t="s">
        <v>722</v>
      </c>
      <c r="G131" s="219" t="s">
        <v>723</v>
      </c>
      <c r="H131" s="216" t="s">
        <v>259</v>
      </c>
      <c r="I131" s="216" t="s">
        <v>399</v>
      </c>
    </row>
    <row r="132">
      <c r="A132" s="216" t="s">
        <v>724</v>
      </c>
      <c r="B132" s="216" t="s">
        <v>687</v>
      </c>
      <c r="C132" s="216" t="s">
        <v>688</v>
      </c>
      <c r="D132" s="217">
        <v>45465.646840277775</v>
      </c>
      <c r="E132" s="217"/>
      <c r="F132" s="218" t="s">
        <v>725</v>
      </c>
      <c r="G132" s="219" t="s">
        <v>726</v>
      </c>
      <c r="H132" s="216" t="s">
        <v>259</v>
      </c>
      <c r="I132" s="216" t="s">
        <v>399</v>
      </c>
    </row>
    <row r="133">
      <c r="A133" s="212" t="s">
        <v>727</v>
      </c>
      <c r="B133" s="212" t="s">
        <v>687</v>
      </c>
      <c r="C133" s="212" t="s">
        <v>688</v>
      </c>
      <c r="D133" s="213">
        <v>45458.68313657407</v>
      </c>
      <c r="E133" s="213">
        <v>45458.48625</v>
      </c>
      <c r="F133" s="214" t="s">
        <v>291</v>
      </c>
      <c r="G133" s="215" t="s">
        <v>728</v>
      </c>
      <c r="H133" s="212" t="s">
        <v>259</v>
      </c>
      <c r="I133" s="212" t="s">
        <v>399</v>
      </c>
    </row>
    <row r="134">
      <c r="A134" s="216" t="s">
        <v>729</v>
      </c>
      <c r="B134" s="216" t="s">
        <v>687</v>
      </c>
      <c r="C134" s="216" t="s">
        <v>688</v>
      </c>
      <c r="D134" s="217">
        <v>45450.87886574074</v>
      </c>
      <c r="E134" s="217">
        <v>45450.69105324074</v>
      </c>
      <c r="F134" s="218" t="s">
        <v>730</v>
      </c>
      <c r="G134" s="219" t="s">
        <v>731</v>
      </c>
      <c r="H134" s="216" t="s">
        <v>259</v>
      </c>
      <c r="I134" s="216" t="s">
        <v>399</v>
      </c>
    </row>
    <row r="135">
      <c r="A135" s="212" t="s">
        <v>732</v>
      </c>
      <c r="B135" s="212" t="s">
        <v>687</v>
      </c>
      <c r="C135" s="212" t="s">
        <v>688</v>
      </c>
      <c r="D135" s="213">
        <v>45444.734768518516</v>
      </c>
      <c r="E135" s="213">
        <v>45444.54519675926</v>
      </c>
      <c r="F135" s="214" t="s">
        <v>470</v>
      </c>
      <c r="G135" s="215" t="s">
        <v>733</v>
      </c>
      <c r="H135" s="212" t="s">
        <v>259</v>
      </c>
      <c r="I135" s="212" t="s">
        <v>399</v>
      </c>
    </row>
    <row r="136">
      <c r="A136" s="216" t="s">
        <v>734</v>
      </c>
      <c r="B136" s="216" t="s">
        <v>687</v>
      </c>
      <c r="C136" s="216" t="s">
        <v>688</v>
      </c>
      <c r="D136" s="217">
        <v>45436.87771990741</v>
      </c>
      <c r="E136" s="217">
        <v>45436.680625</v>
      </c>
      <c r="F136" s="218" t="s">
        <v>735</v>
      </c>
      <c r="G136" s="219" t="s">
        <v>736</v>
      </c>
      <c r="H136" s="216" t="s">
        <v>259</v>
      </c>
      <c r="I136" s="216" t="s">
        <v>399</v>
      </c>
    </row>
    <row r="137">
      <c r="A137" s="216" t="s">
        <v>737</v>
      </c>
      <c r="B137" s="216" t="s">
        <v>738</v>
      </c>
      <c r="C137" s="216" t="s">
        <v>739</v>
      </c>
      <c r="D137" s="217">
        <v>45746.61846064815</v>
      </c>
      <c r="E137" s="217">
        <v>45746.89586805556</v>
      </c>
      <c r="F137" s="218" t="s">
        <v>740</v>
      </c>
      <c r="G137" s="219" t="s">
        <v>741</v>
      </c>
      <c r="H137" s="216" t="s">
        <v>259</v>
      </c>
      <c r="I137" s="216" t="s">
        <v>742</v>
      </c>
    </row>
    <row r="138">
      <c r="A138" s="212" t="s">
        <v>743</v>
      </c>
      <c r="B138" s="212" t="s">
        <v>738</v>
      </c>
      <c r="C138" s="212" t="s">
        <v>744</v>
      </c>
      <c r="D138" s="213">
        <v>45746.616643518515</v>
      </c>
      <c r="E138" s="213">
        <v>45750.70148148148</v>
      </c>
      <c r="F138" s="214" t="s">
        <v>380</v>
      </c>
      <c r="G138" s="215" t="s">
        <v>745</v>
      </c>
      <c r="H138" s="212" t="s">
        <v>259</v>
      </c>
      <c r="I138" s="212" t="s">
        <v>615</v>
      </c>
    </row>
    <row r="139">
      <c r="A139" s="212" t="s">
        <v>746</v>
      </c>
      <c r="B139" s="212" t="s">
        <v>747</v>
      </c>
      <c r="C139" s="212" t="s">
        <v>748</v>
      </c>
      <c r="D139" s="213">
        <v>45501.50917824074</v>
      </c>
      <c r="E139" s="213"/>
      <c r="F139" s="214" t="s">
        <v>250</v>
      </c>
      <c r="G139" s="215" t="s">
        <v>749</v>
      </c>
      <c r="H139" s="212" t="s">
        <v>259</v>
      </c>
      <c r="I139" s="212" t="s">
        <v>531</v>
      </c>
    </row>
    <row r="140">
      <c r="A140" s="212" t="s">
        <v>750</v>
      </c>
      <c r="B140" s="212" t="s">
        <v>751</v>
      </c>
      <c r="C140" s="212" t="s">
        <v>752</v>
      </c>
      <c r="D140" s="213">
        <v>45479.620844907404</v>
      </c>
      <c r="E140" s="213"/>
      <c r="F140" s="214" t="s">
        <v>470</v>
      </c>
      <c r="G140" s="215" t="s">
        <v>753</v>
      </c>
      <c r="H140" s="212" t="s">
        <v>754</v>
      </c>
      <c r="I140" s="212" t="s">
        <v>755</v>
      </c>
    </row>
    <row r="141">
      <c r="A141" s="216" t="s">
        <v>756</v>
      </c>
      <c r="B141" s="216" t="s">
        <v>757</v>
      </c>
      <c r="C141" s="216" t="s">
        <v>758</v>
      </c>
      <c r="D141" s="217">
        <v>45507.797164351854</v>
      </c>
      <c r="E141" s="217"/>
      <c r="F141" s="218" t="s">
        <v>759</v>
      </c>
      <c r="G141" s="219" t="s">
        <v>760</v>
      </c>
      <c r="H141" s="216" t="s">
        <v>761</v>
      </c>
      <c r="I141" s="216" t="s">
        <v>399</v>
      </c>
    </row>
    <row r="142">
      <c r="A142" s="216" t="s">
        <v>762</v>
      </c>
      <c r="B142" s="216" t="s">
        <v>763</v>
      </c>
      <c r="C142" s="216" t="s">
        <v>764</v>
      </c>
      <c r="D142" s="217">
        <v>45485.52203703704</v>
      </c>
      <c r="E142" s="217"/>
      <c r="F142" s="218" t="s">
        <v>765</v>
      </c>
      <c r="G142" s="219" t="s">
        <v>766</v>
      </c>
      <c r="H142" s="216" t="s">
        <v>259</v>
      </c>
      <c r="I142" s="216" t="s">
        <v>767</v>
      </c>
    </row>
    <row r="143">
      <c r="A143" s="216" t="s">
        <v>762</v>
      </c>
      <c r="B143" s="216" t="s">
        <v>763</v>
      </c>
      <c r="C143" s="216" t="s">
        <v>764</v>
      </c>
      <c r="D143" s="217">
        <v>45485.52203703704</v>
      </c>
      <c r="E143" s="217"/>
      <c r="F143" s="218" t="s">
        <v>765</v>
      </c>
      <c r="G143" s="219" t="s">
        <v>766</v>
      </c>
      <c r="H143" s="216" t="s">
        <v>259</v>
      </c>
      <c r="I143" s="216" t="s">
        <v>767</v>
      </c>
    </row>
    <row r="144">
      <c r="A144" s="216" t="s">
        <v>768</v>
      </c>
      <c r="B144" s="216" t="s">
        <v>769</v>
      </c>
      <c r="C144" s="216" t="s">
        <v>769</v>
      </c>
      <c r="D144" s="217">
        <v>45446.71597222222</v>
      </c>
      <c r="E144" s="217">
        <v>45462.27443287037</v>
      </c>
      <c r="F144" s="218" t="s">
        <v>770</v>
      </c>
      <c r="G144" s="219" t="s">
        <v>771</v>
      </c>
      <c r="H144" s="216" t="s">
        <v>259</v>
      </c>
      <c r="I144" s="216" t="s">
        <v>531</v>
      </c>
    </row>
    <row r="145">
      <c r="A145" s="212" t="s">
        <v>772</v>
      </c>
      <c r="B145" s="212" t="s">
        <v>773</v>
      </c>
      <c r="C145" s="212" t="s">
        <v>774</v>
      </c>
      <c r="D145" s="213">
        <v>45549.711006944446</v>
      </c>
      <c r="E145" s="213"/>
      <c r="F145" s="214" t="s">
        <v>538</v>
      </c>
      <c r="G145" s="215" t="s">
        <v>775</v>
      </c>
      <c r="H145" s="212" t="s">
        <v>377</v>
      </c>
      <c r="I145" s="212" t="s">
        <v>776</v>
      </c>
    </row>
    <row r="146">
      <c r="A146" s="216" t="s">
        <v>777</v>
      </c>
      <c r="B146" s="216" t="s">
        <v>778</v>
      </c>
      <c r="C146" s="216" t="s">
        <v>779</v>
      </c>
      <c r="D146" s="217">
        <v>45434.698159722226</v>
      </c>
      <c r="E146" s="217">
        <v>45434.54519675926</v>
      </c>
      <c r="F146" s="218" t="s">
        <v>330</v>
      </c>
      <c r="G146" s="219" t="s">
        <v>780</v>
      </c>
      <c r="H146" s="216" t="s">
        <v>535</v>
      </c>
      <c r="I146" s="216" t="s">
        <v>781</v>
      </c>
    </row>
    <row r="147">
      <c r="A147" s="216" t="s">
        <v>782</v>
      </c>
      <c r="B147" s="216" t="s">
        <v>783</v>
      </c>
      <c r="C147" s="216" t="s">
        <v>784</v>
      </c>
      <c r="D147" s="217">
        <v>45735.72556712963</v>
      </c>
      <c r="E147" s="217">
        <v>45735.73616898148</v>
      </c>
      <c r="F147" s="218" t="s">
        <v>380</v>
      </c>
      <c r="G147" s="219" t="s">
        <v>785</v>
      </c>
      <c r="H147" s="216" t="s">
        <v>761</v>
      </c>
      <c r="I147" s="216" t="s">
        <v>786</v>
      </c>
    </row>
    <row r="148">
      <c r="A148" s="212" t="s">
        <v>787</v>
      </c>
      <c r="B148" s="212" t="s">
        <v>788</v>
      </c>
      <c r="C148" s="212" t="s">
        <v>789</v>
      </c>
      <c r="D148" s="213">
        <v>45710.804444444446</v>
      </c>
      <c r="E148" s="213">
        <v>45710.8403125</v>
      </c>
      <c r="F148" s="214" t="s">
        <v>470</v>
      </c>
      <c r="G148" s="215" t="s">
        <v>790</v>
      </c>
      <c r="H148" s="212" t="s">
        <v>259</v>
      </c>
      <c r="I148" s="212" t="s">
        <v>626</v>
      </c>
    </row>
    <row r="149">
      <c r="A149" s="212" t="s">
        <v>791</v>
      </c>
      <c r="B149" s="212" t="s">
        <v>792</v>
      </c>
      <c r="C149" s="212" t="s">
        <v>793</v>
      </c>
      <c r="D149" s="213">
        <v>45441.776041666664</v>
      </c>
      <c r="E149" s="213">
        <v>45443.298680555556</v>
      </c>
      <c r="F149" s="214" t="s">
        <v>488</v>
      </c>
      <c r="G149" s="215" t="s">
        <v>794</v>
      </c>
      <c r="H149" s="212" t="s">
        <v>795</v>
      </c>
      <c r="I149" s="212" t="s">
        <v>796</v>
      </c>
    </row>
    <row r="150">
      <c r="A150" s="212" t="s">
        <v>797</v>
      </c>
      <c r="B150" s="212" t="s">
        <v>792</v>
      </c>
      <c r="C150" s="212" t="s">
        <v>798</v>
      </c>
      <c r="D150" s="213">
        <v>45704.83126157407</v>
      </c>
      <c r="E150" s="213">
        <v>45705.50011574074</v>
      </c>
      <c r="F150" s="214" t="s">
        <v>354</v>
      </c>
      <c r="G150" s="215" t="s">
        <v>799</v>
      </c>
      <c r="H150" s="212" t="s">
        <v>795</v>
      </c>
      <c r="I150" s="212" t="s">
        <v>796</v>
      </c>
    </row>
    <row r="151">
      <c r="A151" s="212" t="s">
        <v>800</v>
      </c>
      <c r="B151" s="212" t="s">
        <v>792</v>
      </c>
      <c r="C151" s="212" t="s">
        <v>798</v>
      </c>
      <c r="D151" s="213">
        <v>45738.57542824074</v>
      </c>
      <c r="E151" s="213">
        <v>45738.712002314816</v>
      </c>
      <c r="F151" s="214" t="s">
        <v>503</v>
      </c>
      <c r="G151" s="215" t="s">
        <v>801</v>
      </c>
      <c r="H151" s="212" t="s">
        <v>795</v>
      </c>
      <c r="I151" s="212" t="s">
        <v>796</v>
      </c>
    </row>
    <row r="152">
      <c r="A152" s="216" t="s">
        <v>802</v>
      </c>
      <c r="B152" s="216" t="s">
        <v>803</v>
      </c>
      <c r="C152" s="216" t="s">
        <v>804</v>
      </c>
      <c r="D152" s="217">
        <v>45553.85663194444</v>
      </c>
      <c r="E152" s="217"/>
      <c r="F152" s="218" t="s">
        <v>419</v>
      </c>
      <c r="G152" s="219" t="s">
        <v>805</v>
      </c>
      <c r="H152" s="216" t="s">
        <v>377</v>
      </c>
      <c r="I152" s="216" t="s">
        <v>806</v>
      </c>
    </row>
    <row r="153">
      <c r="A153" s="212" t="s">
        <v>807</v>
      </c>
      <c r="B153" s="212" t="s">
        <v>803</v>
      </c>
      <c r="C153" s="212" t="s">
        <v>808</v>
      </c>
      <c r="D153" s="213">
        <v>45553.85576388889</v>
      </c>
      <c r="E153" s="213"/>
      <c r="F153" s="214" t="s">
        <v>809</v>
      </c>
      <c r="G153" s="215" t="s">
        <v>810</v>
      </c>
      <c r="H153" s="212" t="s">
        <v>811</v>
      </c>
      <c r="I153" s="212" t="s">
        <v>812</v>
      </c>
    </row>
    <row r="154">
      <c r="A154" s="216" t="s">
        <v>813</v>
      </c>
      <c r="B154" s="216" t="s">
        <v>803</v>
      </c>
      <c r="C154" s="216" t="s">
        <v>808</v>
      </c>
      <c r="D154" s="217">
        <v>45551.83513888889</v>
      </c>
      <c r="E154" s="217"/>
      <c r="F154" s="218" t="s">
        <v>488</v>
      </c>
      <c r="G154" s="219" t="s">
        <v>814</v>
      </c>
      <c r="H154" s="216" t="s">
        <v>811</v>
      </c>
      <c r="I154" s="216" t="s">
        <v>812</v>
      </c>
    </row>
    <row r="155">
      <c r="A155" s="212" t="s">
        <v>815</v>
      </c>
      <c r="B155" s="212" t="s">
        <v>803</v>
      </c>
      <c r="C155" s="212" t="s">
        <v>804</v>
      </c>
      <c r="D155" s="213">
        <v>45551.83445601852</v>
      </c>
      <c r="E155" s="213"/>
      <c r="F155" s="214" t="s">
        <v>354</v>
      </c>
      <c r="G155" s="215" t="s">
        <v>816</v>
      </c>
      <c r="H155" s="212" t="s">
        <v>377</v>
      </c>
      <c r="I155" s="212" t="s">
        <v>806</v>
      </c>
    </row>
    <row r="156">
      <c r="A156" s="212" t="s">
        <v>817</v>
      </c>
      <c r="B156" s="212" t="s">
        <v>803</v>
      </c>
      <c r="C156" s="212" t="s">
        <v>808</v>
      </c>
      <c r="D156" s="213">
        <v>45550.84012731481</v>
      </c>
      <c r="E156" s="213"/>
      <c r="F156" s="214" t="s">
        <v>368</v>
      </c>
      <c r="G156" s="215" t="s">
        <v>818</v>
      </c>
      <c r="H156" s="212" t="s">
        <v>811</v>
      </c>
      <c r="I156" s="212" t="s">
        <v>812</v>
      </c>
    </row>
    <row r="157">
      <c r="A157" s="212" t="s">
        <v>819</v>
      </c>
      <c r="B157" s="212" t="s">
        <v>803</v>
      </c>
      <c r="C157" s="212" t="s">
        <v>820</v>
      </c>
      <c r="D157" s="213">
        <v>45549.854166666664</v>
      </c>
      <c r="E157" s="213"/>
      <c r="F157" s="214" t="s">
        <v>821</v>
      </c>
      <c r="G157" s="215" t="s">
        <v>822</v>
      </c>
      <c r="H157" s="212" t="s">
        <v>377</v>
      </c>
      <c r="I157" s="212" t="s">
        <v>823</v>
      </c>
    </row>
    <row r="158">
      <c r="A158" s="212" t="s">
        <v>824</v>
      </c>
      <c r="B158" s="212" t="s">
        <v>803</v>
      </c>
      <c r="C158" s="212" t="s">
        <v>820</v>
      </c>
      <c r="D158" s="213">
        <v>45526.572696759256</v>
      </c>
      <c r="E158" s="213"/>
      <c r="F158" s="214" t="s">
        <v>364</v>
      </c>
      <c r="G158" s="215" t="s">
        <v>365</v>
      </c>
      <c r="H158" s="212" t="s">
        <v>377</v>
      </c>
      <c r="I158" s="212" t="s">
        <v>823</v>
      </c>
    </row>
    <row r="159">
      <c r="A159" s="216" t="s">
        <v>825</v>
      </c>
      <c r="B159" s="216" t="s">
        <v>803</v>
      </c>
      <c r="C159" s="216" t="s">
        <v>826</v>
      </c>
      <c r="D159" s="217">
        <v>45526.53465277778</v>
      </c>
      <c r="E159" s="225"/>
      <c r="F159" s="218" t="s">
        <v>364</v>
      </c>
      <c r="G159" s="219" t="s">
        <v>365</v>
      </c>
      <c r="H159" s="216" t="s">
        <v>377</v>
      </c>
      <c r="I159" s="216" t="s">
        <v>827</v>
      </c>
    </row>
    <row r="160">
      <c r="A160" s="212" t="s">
        <v>828</v>
      </c>
      <c r="B160" s="212" t="s">
        <v>803</v>
      </c>
      <c r="C160" s="212" t="s">
        <v>826</v>
      </c>
      <c r="D160" s="213">
        <v>45524.8925</v>
      </c>
      <c r="E160" s="226"/>
      <c r="F160" s="214" t="s">
        <v>364</v>
      </c>
      <c r="G160" s="215" t="s">
        <v>829</v>
      </c>
      <c r="H160" s="212" t="s">
        <v>377</v>
      </c>
      <c r="I160" s="212" t="s">
        <v>827</v>
      </c>
    </row>
    <row r="161">
      <c r="A161" s="212" t="s">
        <v>830</v>
      </c>
      <c r="B161" s="212" t="s">
        <v>803</v>
      </c>
      <c r="C161" s="212" t="s">
        <v>808</v>
      </c>
      <c r="D161" s="213">
        <v>45508.6352662037</v>
      </c>
      <c r="E161" s="213"/>
      <c r="F161" s="214" t="s">
        <v>831</v>
      </c>
      <c r="G161" s="215" t="s">
        <v>832</v>
      </c>
      <c r="H161" s="212" t="s">
        <v>377</v>
      </c>
      <c r="I161" s="212" t="s">
        <v>812</v>
      </c>
    </row>
    <row r="162">
      <c r="A162" s="216" t="s">
        <v>833</v>
      </c>
      <c r="B162" s="216" t="s">
        <v>803</v>
      </c>
      <c r="C162" s="216" t="s">
        <v>808</v>
      </c>
      <c r="D162" s="217">
        <v>45711.85086805555</v>
      </c>
      <c r="E162" s="217">
        <v>45711.861122685186</v>
      </c>
      <c r="F162" s="218" t="s">
        <v>834</v>
      </c>
      <c r="G162" s="219" t="s">
        <v>835</v>
      </c>
      <c r="H162" s="216" t="s">
        <v>811</v>
      </c>
      <c r="I162" s="216" t="s">
        <v>812</v>
      </c>
    </row>
    <row r="163">
      <c r="A163" s="216" t="s">
        <v>836</v>
      </c>
      <c r="B163" s="216" t="s">
        <v>803</v>
      </c>
      <c r="C163" s="216" t="s">
        <v>826</v>
      </c>
      <c r="D163" s="217">
        <v>45711.66815972222</v>
      </c>
      <c r="E163" s="224"/>
      <c r="F163" s="218" t="s">
        <v>837</v>
      </c>
      <c r="G163" s="219" t="s">
        <v>838</v>
      </c>
      <c r="H163" s="216" t="s">
        <v>377</v>
      </c>
      <c r="I163" s="216" t="s">
        <v>827</v>
      </c>
    </row>
    <row r="164">
      <c r="A164" s="212" t="s">
        <v>839</v>
      </c>
      <c r="B164" s="212" t="s">
        <v>803</v>
      </c>
      <c r="C164" s="212" t="s">
        <v>808</v>
      </c>
      <c r="D164" s="213">
        <v>45704.86402777778</v>
      </c>
      <c r="E164" s="213">
        <v>45704.8715625</v>
      </c>
      <c r="F164" s="214" t="s">
        <v>840</v>
      </c>
      <c r="G164" s="215" t="s">
        <v>841</v>
      </c>
      <c r="H164" s="212" t="s">
        <v>811</v>
      </c>
      <c r="I164" s="212" t="s">
        <v>812</v>
      </c>
    </row>
    <row r="165">
      <c r="A165" s="216" t="s">
        <v>842</v>
      </c>
      <c r="B165" s="216" t="s">
        <v>803</v>
      </c>
      <c r="C165" s="216" t="s">
        <v>843</v>
      </c>
      <c r="D165" s="217">
        <v>45746.69755787037</v>
      </c>
      <c r="E165" s="217">
        <v>45747.63207175926</v>
      </c>
      <c r="F165" s="218" t="s">
        <v>431</v>
      </c>
      <c r="G165" s="219" t="s">
        <v>525</v>
      </c>
      <c r="H165" s="216" t="s">
        <v>346</v>
      </c>
      <c r="I165" s="216" t="s">
        <v>812</v>
      </c>
    </row>
    <row r="166">
      <c r="A166" s="212" t="s">
        <v>844</v>
      </c>
      <c r="B166" s="212" t="s">
        <v>803</v>
      </c>
      <c r="C166" s="212" t="s">
        <v>845</v>
      </c>
      <c r="D166" s="213">
        <v>45746.574849537035</v>
      </c>
      <c r="E166" s="213">
        <v>45746.590416666666</v>
      </c>
      <c r="F166" s="214" t="s">
        <v>439</v>
      </c>
      <c r="G166" s="215" t="s">
        <v>846</v>
      </c>
      <c r="H166" s="212" t="s">
        <v>377</v>
      </c>
      <c r="I166" s="212" t="s">
        <v>827</v>
      </c>
    </row>
    <row r="167">
      <c r="A167" s="216" t="s">
        <v>847</v>
      </c>
      <c r="B167" s="216" t="s">
        <v>803</v>
      </c>
      <c r="C167" s="216" t="s">
        <v>820</v>
      </c>
      <c r="D167" s="217">
        <v>45746.57436342593</v>
      </c>
      <c r="E167" s="217">
        <v>45746.590416666666</v>
      </c>
      <c r="F167" s="218" t="s">
        <v>848</v>
      </c>
      <c r="G167" s="219" t="s">
        <v>849</v>
      </c>
      <c r="H167" s="216" t="s">
        <v>377</v>
      </c>
      <c r="I167" s="216" t="s">
        <v>823</v>
      </c>
    </row>
    <row r="168">
      <c r="A168" s="216" t="s">
        <v>850</v>
      </c>
      <c r="B168" s="216" t="s">
        <v>803</v>
      </c>
      <c r="C168" s="216" t="s">
        <v>808</v>
      </c>
      <c r="D168" s="217">
        <v>45776.620300925926</v>
      </c>
      <c r="E168" s="217">
        <v>45776.62855324074</v>
      </c>
      <c r="F168" s="218" t="s">
        <v>297</v>
      </c>
      <c r="G168" s="219" t="s">
        <v>851</v>
      </c>
      <c r="H168" s="216" t="s">
        <v>811</v>
      </c>
      <c r="I168" s="216" t="s">
        <v>812</v>
      </c>
    </row>
    <row r="169">
      <c r="A169" s="216" t="s">
        <v>852</v>
      </c>
      <c r="B169" s="216" t="s">
        <v>803</v>
      </c>
      <c r="C169" s="216" t="s">
        <v>808</v>
      </c>
      <c r="D169" s="217">
        <v>45773.876875</v>
      </c>
      <c r="E169" s="217">
        <v>45773.88550925926</v>
      </c>
      <c r="F169" s="218" t="s">
        <v>853</v>
      </c>
      <c r="G169" s="219" t="s">
        <v>854</v>
      </c>
      <c r="H169" s="216" t="s">
        <v>811</v>
      </c>
      <c r="I169" s="216" t="s">
        <v>812</v>
      </c>
    </row>
    <row r="170">
      <c r="A170" s="216" t="s">
        <v>855</v>
      </c>
      <c r="B170" s="216" t="s">
        <v>803</v>
      </c>
      <c r="C170" s="216" t="s">
        <v>845</v>
      </c>
      <c r="D170" s="217">
        <v>45762.41987268518</v>
      </c>
      <c r="E170" s="217">
        <v>45762.44449074074</v>
      </c>
      <c r="F170" s="218" t="s">
        <v>856</v>
      </c>
      <c r="G170" s="219" t="s">
        <v>857</v>
      </c>
      <c r="H170" s="216" t="s">
        <v>377</v>
      </c>
      <c r="I170" s="216" t="s">
        <v>827</v>
      </c>
    </row>
    <row r="171">
      <c r="A171" s="216" t="s">
        <v>858</v>
      </c>
      <c r="B171" s="216" t="s">
        <v>803</v>
      </c>
      <c r="C171" s="216" t="s">
        <v>845</v>
      </c>
      <c r="D171" s="217">
        <v>45760.72835648148</v>
      </c>
      <c r="E171" s="217">
        <v>45760.75015046296</v>
      </c>
      <c r="F171" s="218" t="s">
        <v>859</v>
      </c>
      <c r="G171" s="219" t="s">
        <v>860</v>
      </c>
      <c r="H171" s="216" t="s">
        <v>377</v>
      </c>
      <c r="I171" s="216" t="s">
        <v>827</v>
      </c>
    </row>
    <row r="172">
      <c r="A172" s="216" t="s">
        <v>861</v>
      </c>
      <c r="B172" s="216" t="s">
        <v>803</v>
      </c>
      <c r="C172" s="216" t="s">
        <v>808</v>
      </c>
      <c r="D172" s="217">
        <v>45760.559699074074</v>
      </c>
      <c r="E172" s="217">
        <v>45760.56957175926</v>
      </c>
      <c r="F172" s="218" t="s">
        <v>862</v>
      </c>
      <c r="G172" s="219" t="s">
        <v>863</v>
      </c>
      <c r="H172" s="216" t="s">
        <v>811</v>
      </c>
      <c r="I172" s="216" t="s">
        <v>812</v>
      </c>
    </row>
    <row r="173">
      <c r="A173" s="216" t="s">
        <v>864</v>
      </c>
      <c r="B173" s="216" t="s">
        <v>803</v>
      </c>
      <c r="C173" s="216" t="s">
        <v>845</v>
      </c>
      <c r="D173" s="217">
        <v>45748.592002314814</v>
      </c>
      <c r="E173" s="217">
        <v>45748.61119212963</v>
      </c>
      <c r="F173" s="218" t="s">
        <v>865</v>
      </c>
      <c r="G173" s="219" t="s">
        <v>866</v>
      </c>
      <c r="H173" s="216" t="s">
        <v>377</v>
      </c>
      <c r="I173" s="216" t="s">
        <v>827</v>
      </c>
    </row>
    <row r="174">
      <c r="A174" s="212" t="s">
        <v>867</v>
      </c>
      <c r="B174" s="212" t="s">
        <v>868</v>
      </c>
      <c r="C174" s="212" t="s">
        <v>869</v>
      </c>
      <c r="D174" s="213">
        <v>45553.634930555556</v>
      </c>
      <c r="E174" s="213"/>
      <c r="F174" s="214" t="s">
        <v>715</v>
      </c>
      <c r="G174" s="215" t="s">
        <v>870</v>
      </c>
      <c r="H174" s="212" t="s">
        <v>561</v>
      </c>
      <c r="I174" s="212" t="s">
        <v>260</v>
      </c>
    </row>
    <row r="175">
      <c r="A175" s="216" t="s">
        <v>871</v>
      </c>
      <c r="B175" s="216" t="s">
        <v>868</v>
      </c>
      <c r="C175" s="216" t="s">
        <v>869</v>
      </c>
      <c r="D175" s="217">
        <v>45519.700150462966</v>
      </c>
      <c r="E175" s="217"/>
      <c r="F175" s="218" t="s">
        <v>872</v>
      </c>
      <c r="G175" s="219" t="s">
        <v>873</v>
      </c>
      <c r="H175" s="216" t="s">
        <v>561</v>
      </c>
      <c r="I175" s="216" t="s">
        <v>260</v>
      </c>
    </row>
    <row r="176">
      <c r="A176" s="216" t="s">
        <v>874</v>
      </c>
      <c r="B176" s="216" t="s">
        <v>868</v>
      </c>
      <c r="C176" s="216" t="s">
        <v>869</v>
      </c>
      <c r="D176" s="217">
        <v>45507.61162037037</v>
      </c>
      <c r="E176" s="217"/>
      <c r="F176" s="218" t="s">
        <v>465</v>
      </c>
      <c r="G176" s="219" t="s">
        <v>875</v>
      </c>
      <c r="H176" s="216" t="s">
        <v>561</v>
      </c>
      <c r="I176" s="216" t="s">
        <v>260</v>
      </c>
    </row>
    <row r="177">
      <c r="A177" s="212" t="s">
        <v>876</v>
      </c>
      <c r="B177" s="212" t="s">
        <v>868</v>
      </c>
      <c r="C177" s="212" t="s">
        <v>869</v>
      </c>
      <c r="D177" s="213">
        <v>45507.61114583333</v>
      </c>
      <c r="E177" s="226"/>
      <c r="F177" s="214" t="s">
        <v>391</v>
      </c>
      <c r="G177" s="215" t="s">
        <v>877</v>
      </c>
      <c r="H177" s="212" t="s">
        <v>561</v>
      </c>
      <c r="I177" s="212" t="s">
        <v>260</v>
      </c>
    </row>
    <row r="178">
      <c r="A178" s="216" t="s">
        <v>878</v>
      </c>
      <c r="B178" s="216" t="s">
        <v>868</v>
      </c>
      <c r="C178" s="216" t="s">
        <v>879</v>
      </c>
      <c r="D178" s="217">
        <v>45504.72099537037</v>
      </c>
      <c r="E178" s="217"/>
      <c r="F178" s="218" t="s">
        <v>291</v>
      </c>
      <c r="G178" s="219" t="s">
        <v>880</v>
      </c>
      <c r="H178" s="216" t="s">
        <v>259</v>
      </c>
      <c r="I178" s="216" t="s">
        <v>260</v>
      </c>
    </row>
    <row r="179">
      <c r="A179" s="212" t="s">
        <v>881</v>
      </c>
      <c r="B179" s="212" t="s">
        <v>868</v>
      </c>
      <c r="C179" s="212" t="s">
        <v>869</v>
      </c>
      <c r="D179" s="213">
        <v>45504.720185185186</v>
      </c>
      <c r="E179" s="213"/>
      <c r="F179" s="214" t="s">
        <v>291</v>
      </c>
      <c r="G179" s="215" t="s">
        <v>880</v>
      </c>
      <c r="H179" s="212" t="s">
        <v>561</v>
      </c>
      <c r="I179" s="212" t="s">
        <v>260</v>
      </c>
    </row>
    <row r="180">
      <c r="A180" s="212" t="s">
        <v>882</v>
      </c>
      <c r="B180" s="212" t="s">
        <v>868</v>
      </c>
      <c r="C180" s="212" t="s">
        <v>869</v>
      </c>
      <c r="D180" s="213">
        <v>45496.840462962966</v>
      </c>
      <c r="E180" s="213"/>
      <c r="F180" s="214" t="s">
        <v>883</v>
      </c>
      <c r="G180" s="215" t="s">
        <v>884</v>
      </c>
      <c r="H180" s="212" t="s">
        <v>561</v>
      </c>
      <c r="I180" s="212" t="s">
        <v>260</v>
      </c>
    </row>
    <row r="181">
      <c r="A181" s="212" t="s">
        <v>885</v>
      </c>
      <c r="B181" s="212" t="s">
        <v>868</v>
      </c>
      <c r="C181" s="212" t="s">
        <v>869</v>
      </c>
      <c r="D181" s="213">
        <v>45492.57457175926</v>
      </c>
      <c r="E181" s="213"/>
      <c r="F181" s="214" t="s">
        <v>503</v>
      </c>
      <c r="G181" s="215" t="s">
        <v>886</v>
      </c>
      <c r="H181" s="212" t="s">
        <v>561</v>
      </c>
      <c r="I181" s="212" t="s">
        <v>260</v>
      </c>
    </row>
    <row r="182">
      <c r="A182" s="216" t="s">
        <v>885</v>
      </c>
      <c r="B182" s="216" t="s">
        <v>868</v>
      </c>
      <c r="C182" s="216" t="s">
        <v>869</v>
      </c>
      <c r="D182" s="217">
        <v>45492.57457175926</v>
      </c>
      <c r="E182" s="217"/>
      <c r="F182" s="218" t="s">
        <v>503</v>
      </c>
      <c r="G182" s="219" t="s">
        <v>886</v>
      </c>
      <c r="H182" s="216" t="s">
        <v>561</v>
      </c>
      <c r="I182" s="216" t="s">
        <v>260</v>
      </c>
    </row>
    <row r="183">
      <c r="A183" s="216" t="s">
        <v>887</v>
      </c>
      <c r="B183" s="216" t="s">
        <v>868</v>
      </c>
      <c r="C183" s="216" t="s">
        <v>879</v>
      </c>
      <c r="D183" s="217">
        <v>45487.81484953704</v>
      </c>
      <c r="E183" s="217"/>
      <c r="F183" s="218" t="s">
        <v>872</v>
      </c>
      <c r="G183" s="219" t="s">
        <v>888</v>
      </c>
      <c r="H183" s="216" t="s">
        <v>259</v>
      </c>
      <c r="I183" s="216" t="s">
        <v>260</v>
      </c>
    </row>
    <row r="184">
      <c r="A184" s="220" t="s">
        <v>889</v>
      </c>
      <c r="B184" s="220" t="s">
        <v>868</v>
      </c>
      <c r="C184" s="220" t="s">
        <v>879</v>
      </c>
      <c r="D184" s="221">
        <v>45482.8816087963</v>
      </c>
      <c r="E184" s="221"/>
      <c r="F184" s="222" t="s">
        <v>330</v>
      </c>
      <c r="G184" s="223" t="s">
        <v>890</v>
      </c>
      <c r="H184" s="220" t="s">
        <v>259</v>
      </c>
      <c r="I184" s="220" t="s">
        <v>260</v>
      </c>
    </row>
    <row r="185">
      <c r="A185" s="216" t="s">
        <v>885</v>
      </c>
      <c r="B185" s="216" t="s">
        <v>868</v>
      </c>
      <c r="C185" s="216" t="s">
        <v>869</v>
      </c>
      <c r="D185" s="217">
        <v>45492.57457175926</v>
      </c>
      <c r="E185" s="217"/>
      <c r="F185" s="218" t="s">
        <v>503</v>
      </c>
      <c r="G185" s="219" t="s">
        <v>886</v>
      </c>
      <c r="H185" s="216" t="s">
        <v>561</v>
      </c>
      <c r="I185" s="216" t="s">
        <v>260</v>
      </c>
    </row>
    <row r="186">
      <c r="A186" s="216" t="s">
        <v>887</v>
      </c>
      <c r="B186" s="216" t="s">
        <v>868</v>
      </c>
      <c r="C186" s="216" t="s">
        <v>879</v>
      </c>
      <c r="D186" s="217">
        <v>45487.81484953704</v>
      </c>
      <c r="E186" s="217"/>
      <c r="F186" s="218" t="s">
        <v>872</v>
      </c>
      <c r="G186" s="219" t="s">
        <v>888</v>
      </c>
      <c r="H186" s="216" t="s">
        <v>259</v>
      </c>
      <c r="I186" s="216" t="s">
        <v>260</v>
      </c>
    </row>
    <row r="187">
      <c r="A187" s="220" t="s">
        <v>889</v>
      </c>
      <c r="B187" s="220" t="s">
        <v>868</v>
      </c>
      <c r="C187" s="220" t="s">
        <v>879</v>
      </c>
      <c r="D187" s="221">
        <v>45482.8816087963</v>
      </c>
      <c r="E187" s="221"/>
      <c r="F187" s="222" t="s">
        <v>330</v>
      </c>
      <c r="G187" s="223" t="s">
        <v>890</v>
      </c>
      <c r="H187" s="220" t="s">
        <v>259</v>
      </c>
      <c r="I187" s="220" t="s">
        <v>260</v>
      </c>
    </row>
    <row r="188">
      <c r="A188" s="216" t="s">
        <v>891</v>
      </c>
      <c r="B188" s="216" t="s">
        <v>868</v>
      </c>
      <c r="C188" s="216" t="s">
        <v>869</v>
      </c>
      <c r="D188" s="217">
        <v>45714.71128472222</v>
      </c>
      <c r="E188" s="217">
        <v>45714.72230324074</v>
      </c>
      <c r="F188" s="218" t="s">
        <v>439</v>
      </c>
      <c r="G188" s="219" t="s">
        <v>892</v>
      </c>
      <c r="H188" s="216" t="s">
        <v>561</v>
      </c>
      <c r="I188" s="216" t="s">
        <v>260</v>
      </c>
    </row>
    <row r="189">
      <c r="A189" s="212" t="s">
        <v>893</v>
      </c>
      <c r="B189" s="212" t="s">
        <v>868</v>
      </c>
      <c r="C189" s="212" t="s">
        <v>869</v>
      </c>
      <c r="D189" s="213">
        <v>45776.89637731481</v>
      </c>
      <c r="E189" s="213">
        <v>45776.90975694444</v>
      </c>
      <c r="F189" s="214" t="s">
        <v>431</v>
      </c>
      <c r="G189" s="215" t="s">
        <v>894</v>
      </c>
      <c r="H189" s="212" t="s">
        <v>561</v>
      </c>
      <c r="I189" s="212" t="s">
        <v>260</v>
      </c>
    </row>
    <row r="190">
      <c r="A190" s="216" t="s">
        <v>895</v>
      </c>
      <c r="B190" s="216" t="s">
        <v>868</v>
      </c>
      <c r="C190" s="216" t="s">
        <v>869</v>
      </c>
      <c r="D190" s="217">
        <v>45750.586168981485</v>
      </c>
      <c r="E190" s="217">
        <v>45750.59736111111</v>
      </c>
      <c r="F190" s="218" t="s">
        <v>706</v>
      </c>
      <c r="G190" s="219" t="s">
        <v>896</v>
      </c>
      <c r="H190" s="216" t="s">
        <v>561</v>
      </c>
      <c r="I190" s="216" t="s">
        <v>260</v>
      </c>
    </row>
    <row r="191">
      <c r="A191" s="216" t="s">
        <v>897</v>
      </c>
      <c r="B191" s="216" t="s">
        <v>898</v>
      </c>
      <c r="C191" s="216" t="s">
        <v>899</v>
      </c>
      <c r="D191" s="217">
        <v>45546.47078703704</v>
      </c>
      <c r="E191" s="217"/>
      <c r="F191" s="218" t="s">
        <v>291</v>
      </c>
      <c r="G191" s="219" t="s">
        <v>900</v>
      </c>
      <c r="H191" s="216" t="s">
        <v>265</v>
      </c>
      <c r="I191" s="216" t="s">
        <v>901</v>
      </c>
    </row>
    <row r="192">
      <c r="A192" s="216" t="s">
        <v>902</v>
      </c>
      <c r="B192" s="216" t="s">
        <v>903</v>
      </c>
      <c r="C192" s="216" t="s">
        <v>904</v>
      </c>
      <c r="D192" s="217">
        <v>45777.8040625</v>
      </c>
      <c r="E192" s="217">
        <v>45777.81607638889</v>
      </c>
      <c r="F192" s="218" t="s">
        <v>740</v>
      </c>
      <c r="G192" s="219" t="s">
        <v>905</v>
      </c>
      <c r="H192" s="216" t="s">
        <v>265</v>
      </c>
      <c r="I192" s="216" t="s">
        <v>260</v>
      </c>
    </row>
    <row r="193">
      <c r="A193" s="216" t="s">
        <v>906</v>
      </c>
      <c r="B193" s="216" t="s">
        <v>907</v>
      </c>
      <c r="C193" s="216" t="s">
        <v>908</v>
      </c>
      <c r="D193" s="217">
        <v>45551.507361111115</v>
      </c>
      <c r="E193" s="217"/>
      <c r="F193" s="218" t="s">
        <v>909</v>
      </c>
      <c r="G193" s="219" t="s">
        <v>910</v>
      </c>
      <c r="H193" s="216" t="s">
        <v>356</v>
      </c>
      <c r="I193" s="216" t="s">
        <v>911</v>
      </c>
    </row>
    <row r="194">
      <c r="A194" s="212" t="s">
        <v>912</v>
      </c>
      <c r="B194" s="212" t="s">
        <v>907</v>
      </c>
      <c r="C194" s="212" t="s">
        <v>913</v>
      </c>
      <c r="D194" s="213">
        <v>45544.50693287037</v>
      </c>
      <c r="E194" s="213"/>
      <c r="F194" s="214" t="s">
        <v>914</v>
      </c>
      <c r="G194" s="215" t="s">
        <v>915</v>
      </c>
      <c r="H194" s="212" t="s">
        <v>346</v>
      </c>
      <c r="I194" s="212" t="s">
        <v>347</v>
      </c>
    </row>
    <row r="195">
      <c r="A195" s="216" t="s">
        <v>916</v>
      </c>
      <c r="B195" s="216" t="s">
        <v>907</v>
      </c>
      <c r="C195" s="216" t="s">
        <v>908</v>
      </c>
      <c r="D195" s="217">
        <v>45544.49184027778</v>
      </c>
      <c r="E195" s="217"/>
      <c r="F195" s="218" t="s">
        <v>350</v>
      </c>
      <c r="G195" s="219" t="s">
        <v>351</v>
      </c>
      <c r="H195" s="216" t="s">
        <v>356</v>
      </c>
      <c r="I195" s="216" t="s">
        <v>911</v>
      </c>
    </row>
    <row r="196">
      <c r="A196" s="212" t="s">
        <v>917</v>
      </c>
      <c r="B196" s="212" t="s">
        <v>907</v>
      </c>
      <c r="C196" s="212" t="s">
        <v>918</v>
      </c>
      <c r="D196" s="213">
        <v>45544.490694444445</v>
      </c>
      <c r="E196" s="213"/>
      <c r="F196" s="214" t="s">
        <v>350</v>
      </c>
      <c r="G196" s="215" t="s">
        <v>351</v>
      </c>
      <c r="H196" s="212" t="s">
        <v>346</v>
      </c>
      <c r="I196" s="212" t="s">
        <v>812</v>
      </c>
    </row>
    <row r="197">
      <c r="A197" s="216" t="s">
        <v>919</v>
      </c>
      <c r="B197" s="216" t="s">
        <v>907</v>
      </c>
      <c r="C197" s="216" t="s">
        <v>920</v>
      </c>
      <c r="D197" s="217">
        <v>45544.48982638889</v>
      </c>
      <c r="E197" s="217"/>
      <c r="F197" s="218" t="s">
        <v>350</v>
      </c>
      <c r="G197" s="219" t="s">
        <v>351</v>
      </c>
      <c r="H197" s="216" t="s">
        <v>346</v>
      </c>
      <c r="I197" s="216" t="s">
        <v>347</v>
      </c>
    </row>
    <row r="198">
      <c r="A198" s="216" t="s">
        <v>921</v>
      </c>
      <c r="B198" s="216" t="s">
        <v>907</v>
      </c>
      <c r="C198" s="216" t="s">
        <v>918</v>
      </c>
      <c r="D198" s="217">
        <v>45711.65199074074</v>
      </c>
      <c r="E198" s="217">
        <v>45711.68063657408</v>
      </c>
      <c r="F198" s="218" t="s">
        <v>396</v>
      </c>
      <c r="G198" s="219" t="s">
        <v>922</v>
      </c>
      <c r="H198" s="216" t="s">
        <v>346</v>
      </c>
      <c r="I198" s="216" t="s">
        <v>812</v>
      </c>
    </row>
    <row r="199">
      <c r="A199" s="216" t="s">
        <v>923</v>
      </c>
      <c r="B199" s="216" t="s">
        <v>907</v>
      </c>
      <c r="C199" s="216" t="s">
        <v>924</v>
      </c>
      <c r="D199" s="217">
        <v>45734.45741898148</v>
      </c>
      <c r="E199" s="217">
        <v>45734.4653587963</v>
      </c>
      <c r="F199" s="218" t="s">
        <v>509</v>
      </c>
      <c r="G199" s="219" t="s">
        <v>925</v>
      </c>
      <c r="H199" s="216" t="s">
        <v>811</v>
      </c>
      <c r="I199" s="216" t="s">
        <v>347</v>
      </c>
    </row>
    <row r="200">
      <c r="A200" s="216" t="s">
        <v>926</v>
      </c>
      <c r="B200" s="216" t="s">
        <v>907</v>
      </c>
      <c r="C200" s="216" t="s">
        <v>927</v>
      </c>
      <c r="D200" s="217">
        <v>45761.46729166667</v>
      </c>
      <c r="E200" s="217">
        <v>45761.57659722222</v>
      </c>
      <c r="F200" s="218" t="s">
        <v>928</v>
      </c>
      <c r="G200" s="219" t="s">
        <v>929</v>
      </c>
      <c r="H200" s="216" t="s">
        <v>377</v>
      </c>
      <c r="I200" s="216" t="s">
        <v>930</v>
      </c>
    </row>
    <row r="201">
      <c r="A201" s="216" t="s">
        <v>931</v>
      </c>
      <c r="B201" s="216" t="s">
        <v>932</v>
      </c>
      <c r="C201" s="216" t="s">
        <v>933</v>
      </c>
      <c r="D201" s="217">
        <v>45549.541712962964</v>
      </c>
      <c r="E201" s="217"/>
      <c r="F201" s="218" t="s">
        <v>439</v>
      </c>
      <c r="G201" s="219" t="s">
        <v>934</v>
      </c>
      <c r="H201" s="216" t="s">
        <v>259</v>
      </c>
      <c r="I201" s="216" t="s">
        <v>467</v>
      </c>
    </row>
    <row r="202">
      <c r="A202" s="216" t="s">
        <v>935</v>
      </c>
      <c r="B202" s="216" t="s">
        <v>932</v>
      </c>
      <c r="C202" s="216" t="s">
        <v>933</v>
      </c>
      <c r="D202" s="217">
        <v>45546.76697916666</v>
      </c>
      <c r="E202" s="217"/>
      <c r="F202" s="218" t="s">
        <v>936</v>
      </c>
      <c r="G202" s="219" t="s">
        <v>937</v>
      </c>
      <c r="H202" s="216" t="s">
        <v>259</v>
      </c>
      <c r="I202" s="216" t="s">
        <v>467</v>
      </c>
    </row>
    <row r="203">
      <c r="A203" s="212" t="s">
        <v>938</v>
      </c>
      <c r="B203" s="212" t="s">
        <v>932</v>
      </c>
      <c r="C203" s="212" t="s">
        <v>939</v>
      </c>
      <c r="D203" s="213">
        <v>45540.894780092596</v>
      </c>
      <c r="E203" s="213"/>
      <c r="F203" s="214" t="s">
        <v>940</v>
      </c>
      <c r="G203" s="215" t="s">
        <v>941</v>
      </c>
      <c r="H203" s="212" t="s">
        <v>259</v>
      </c>
      <c r="I203" s="212" t="s">
        <v>467</v>
      </c>
    </row>
    <row r="204">
      <c r="A204" s="212" t="s">
        <v>942</v>
      </c>
      <c r="B204" s="212" t="s">
        <v>943</v>
      </c>
      <c r="C204" s="212" t="s">
        <v>944</v>
      </c>
      <c r="D204" s="213">
        <v>45514.73693287037</v>
      </c>
      <c r="E204" s="213"/>
      <c r="F204" s="214" t="s">
        <v>580</v>
      </c>
      <c r="G204" s="215" t="s">
        <v>945</v>
      </c>
      <c r="H204" s="212" t="s">
        <v>356</v>
      </c>
      <c r="I204" s="212" t="s">
        <v>946</v>
      </c>
    </row>
    <row r="205">
      <c r="A205" s="216" t="s">
        <v>947</v>
      </c>
      <c r="B205" s="216" t="s">
        <v>943</v>
      </c>
      <c r="C205" s="216" t="s">
        <v>948</v>
      </c>
      <c r="D205" s="217">
        <v>45760.4271875</v>
      </c>
      <c r="E205" s="217">
        <v>45760.59730324074</v>
      </c>
      <c r="F205" s="218" t="s">
        <v>503</v>
      </c>
      <c r="G205" s="219" t="s">
        <v>801</v>
      </c>
      <c r="H205" s="216" t="s">
        <v>949</v>
      </c>
      <c r="I205" s="216" t="s">
        <v>946</v>
      </c>
    </row>
    <row r="206">
      <c r="A206" s="212" t="s">
        <v>950</v>
      </c>
      <c r="B206" s="212" t="s">
        <v>943</v>
      </c>
      <c r="C206" s="212" t="s">
        <v>948</v>
      </c>
      <c r="D206" s="213">
        <v>45760.42689814815</v>
      </c>
      <c r="E206" s="227"/>
      <c r="F206" s="214" t="s">
        <v>391</v>
      </c>
      <c r="G206" s="215" t="s">
        <v>485</v>
      </c>
      <c r="H206" s="212" t="s">
        <v>949</v>
      </c>
      <c r="I206" s="212" t="s">
        <v>946</v>
      </c>
    </row>
    <row r="207">
      <c r="A207" s="212" t="s">
        <v>951</v>
      </c>
      <c r="B207" s="212" t="s">
        <v>952</v>
      </c>
      <c r="C207" s="212" t="s">
        <v>953</v>
      </c>
      <c r="D207" s="213">
        <v>45461.620717592596</v>
      </c>
      <c r="E207" s="213">
        <v>45461.44804398148</v>
      </c>
      <c r="F207" s="214" t="s">
        <v>269</v>
      </c>
      <c r="G207" s="215" t="s">
        <v>954</v>
      </c>
      <c r="H207" s="212" t="s">
        <v>356</v>
      </c>
      <c r="I207" s="212" t="s">
        <v>946</v>
      </c>
    </row>
    <row r="208">
      <c r="A208" s="212" t="s">
        <v>955</v>
      </c>
      <c r="B208" s="212" t="s">
        <v>956</v>
      </c>
      <c r="C208" s="212" t="s">
        <v>957</v>
      </c>
      <c r="D208" s="213">
        <v>45776.75341435185</v>
      </c>
      <c r="E208" s="213">
        <v>45776.76394675926</v>
      </c>
      <c r="F208" s="214" t="s">
        <v>360</v>
      </c>
      <c r="G208" s="215" t="s">
        <v>958</v>
      </c>
      <c r="H208" s="212" t="s">
        <v>356</v>
      </c>
      <c r="I208" s="212" t="s">
        <v>946</v>
      </c>
    </row>
    <row r="209">
      <c r="A209" s="212" t="s">
        <v>959</v>
      </c>
      <c r="B209" s="212" t="s">
        <v>960</v>
      </c>
      <c r="C209" s="212" t="s">
        <v>961</v>
      </c>
      <c r="D209" s="213">
        <v>45492.748148148145</v>
      </c>
      <c r="E209" s="213"/>
      <c r="F209" s="214" t="s">
        <v>503</v>
      </c>
      <c r="G209" s="215" t="s">
        <v>503</v>
      </c>
      <c r="H209" s="212" t="s">
        <v>962</v>
      </c>
      <c r="I209" s="212" t="s">
        <v>963</v>
      </c>
    </row>
    <row r="210">
      <c r="A210" s="216" t="s">
        <v>959</v>
      </c>
      <c r="B210" s="216" t="s">
        <v>960</v>
      </c>
      <c r="C210" s="216" t="s">
        <v>961</v>
      </c>
      <c r="D210" s="217">
        <v>45492.748148148145</v>
      </c>
      <c r="E210" s="217"/>
      <c r="F210" s="218" t="s">
        <v>503</v>
      </c>
      <c r="G210" s="219" t="s">
        <v>503</v>
      </c>
      <c r="H210" s="216" t="s">
        <v>962</v>
      </c>
      <c r="I210" s="216" t="s">
        <v>963</v>
      </c>
    </row>
    <row r="211">
      <c r="A211" s="216" t="s">
        <v>959</v>
      </c>
      <c r="B211" s="216" t="s">
        <v>960</v>
      </c>
      <c r="C211" s="216" t="s">
        <v>961</v>
      </c>
      <c r="D211" s="217">
        <v>45492.748148148145</v>
      </c>
      <c r="E211" s="217"/>
      <c r="F211" s="218" t="s">
        <v>503</v>
      </c>
      <c r="G211" s="219" t="s">
        <v>503</v>
      </c>
      <c r="H211" s="216" t="s">
        <v>962</v>
      </c>
      <c r="I211" s="216" t="s">
        <v>963</v>
      </c>
    </row>
    <row r="212">
      <c r="A212" s="216" t="s">
        <v>964</v>
      </c>
      <c r="B212" s="216" t="s">
        <v>965</v>
      </c>
      <c r="C212" s="216" t="s">
        <v>966</v>
      </c>
      <c r="D212" s="217">
        <v>45548.752905092595</v>
      </c>
      <c r="E212" s="217"/>
      <c r="F212" s="218" t="s">
        <v>967</v>
      </c>
      <c r="G212" s="219" t="s">
        <v>968</v>
      </c>
      <c r="H212" s="216" t="s">
        <v>561</v>
      </c>
      <c r="I212" s="216" t="s">
        <v>969</v>
      </c>
    </row>
    <row r="213">
      <c r="A213" s="212" t="s">
        <v>970</v>
      </c>
      <c r="B213" s="212" t="s">
        <v>965</v>
      </c>
      <c r="C213" s="212" t="s">
        <v>966</v>
      </c>
      <c r="D213" s="213">
        <v>45548.752233796295</v>
      </c>
      <c r="E213" s="226"/>
      <c r="F213" s="214" t="s">
        <v>391</v>
      </c>
      <c r="G213" s="215" t="s">
        <v>877</v>
      </c>
      <c r="H213" s="212" t="s">
        <v>561</v>
      </c>
      <c r="I213" s="212" t="s">
        <v>969</v>
      </c>
    </row>
    <row r="214">
      <c r="A214" s="212" t="s">
        <v>971</v>
      </c>
      <c r="B214" s="212" t="s">
        <v>965</v>
      </c>
      <c r="C214" s="212" t="s">
        <v>972</v>
      </c>
      <c r="D214" s="213">
        <v>45524.88306712963</v>
      </c>
      <c r="E214" s="213"/>
      <c r="F214" s="214" t="s">
        <v>330</v>
      </c>
      <c r="G214" s="215" t="s">
        <v>973</v>
      </c>
      <c r="H214" s="212" t="s">
        <v>259</v>
      </c>
      <c r="I214" s="212" t="s">
        <v>969</v>
      </c>
    </row>
    <row r="215">
      <c r="A215" s="216" t="s">
        <v>974</v>
      </c>
      <c r="B215" s="216" t="s">
        <v>975</v>
      </c>
      <c r="C215" s="216" t="s">
        <v>976</v>
      </c>
      <c r="D215" s="217">
        <v>45746.78582175926</v>
      </c>
      <c r="E215" s="217">
        <v>45749.64938657408</v>
      </c>
      <c r="F215" s="218" t="s">
        <v>488</v>
      </c>
      <c r="G215" s="219" t="s">
        <v>977</v>
      </c>
      <c r="H215" s="216" t="s">
        <v>978</v>
      </c>
      <c r="I215" s="216" t="s">
        <v>946</v>
      </c>
    </row>
    <row r="216">
      <c r="A216" s="212" t="s">
        <v>979</v>
      </c>
      <c r="B216" s="212" t="s">
        <v>980</v>
      </c>
      <c r="C216" s="212" t="s">
        <v>981</v>
      </c>
      <c r="D216" s="213">
        <v>45543.59280092592</v>
      </c>
      <c r="E216" s="213"/>
      <c r="F216" s="214" t="s">
        <v>982</v>
      </c>
      <c r="G216" s="215" t="s">
        <v>983</v>
      </c>
      <c r="H216" s="212" t="s">
        <v>811</v>
      </c>
      <c r="I216" s="212" t="s">
        <v>284</v>
      </c>
    </row>
    <row r="217">
      <c r="A217" s="212" t="s">
        <v>984</v>
      </c>
      <c r="B217" s="212" t="s">
        <v>980</v>
      </c>
      <c r="C217" s="212" t="s">
        <v>985</v>
      </c>
      <c r="D217" s="213">
        <v>45543.590208333335</v>
      </c>
      <c r="E217" s="213"/>
      <c r="F217" s="214" t="s">
        <v>572</v>
      </c>
      <c r="G217" s="215" t="s">
        <v>986</v>
      </c>
      <c r="H217" s="212" t="s">
        <v>346</v>
      </c>
      <c r="I217" s="212" t="s">
        <v>284</v>
      </c>
    </row>
    <row r="218">
      <c r="A218" s="216" t="s">
        <v>987</v>
      </c>
      <c r="B218" s="216" t="s">
        <v>980</v>
      </c>
      <c r="C218" s="216" t="s">
        <v>981</v>
      </c>
      <c r="D218" s="217">
        <v>45537.55422453704</v>
      </c>
      <c r="E218" s="217"/>
      <c r="F218" s="218" t="s">
        <v>988</v>
      </c>
      <c r="G218" s="219" t="s">
        <v>989</v>
      </c>
      <c r="H218" s="216" t="s">
        <v>811</v>
      </c>
      <c r="I218" s="216" t="s">
        <v>284</v>
      </c>
    </row>
    <row r="219">
      <c r="A219" s="216" t="s">
        <v>990</v>
      </c>
      <c r="B219" s="216" t="s">
        <v>980</v>
      </c>
      <c r="C219" s="216" t="s">
        <v>981</v>
      </c>
      <c r="D219" s="217">
        <v>45704.82572916667</v>
      </c>
      <c r="E219" s="217">
        <v>45705.44804398148</v>
      </c>
      <c r="F219" s="218" t="s">
        <v>991</v>
      </c>
      <c r="G219" s="219" t="s">
        <v>992</v>
      </c>
      <c r="H219" s="216" t="s">
        <v>811</v>
      </c>
      <c r="I219" s="216" t="s">
        <v>284</v>
      </c>
    </row>
    <row r="220">
      <c r="A220" s="216" t="s">
        <v>993</v>
      </c>
      <c r="B220" s="216" t="s">
        <v>994</v>
      </c>
      <c r="C220" s="216" t="s">
        <v>995</v>
      </c>
      <c r="D220" s="217">
        <v>45746.83662037037</v>
      </c>
      <c r="E220" s="217">
        <v>45747.4549537037</v>
      </c>
      <c r="F220" s="218" t="s">
        <v>339</v>
      </c>
      <c r="G220" s="219" t="s">
        <v>996</v>
      </c>
      <c r="H220" s="216" t="s">
        <v>472</v>
      </c>
      <c r="I220" s="216" t="s">
        <v>467</v>
      </c>
    </row>
    <row r="221">
      <c r="A221" s="212" t="s">
        <v>997</v>
      </c>
      <c r="B221" s="212" t="s">
        <v>998</v>
      </c>
      <c r="C221" s="212" t="s">
        <v>998</v>
      </c>
      <c r="D221" s="213">
        <v>45531.779965277776</v>
      </c>
      <c r="E221" s="213"/>
      <c r="F221" s="214" t="s">
        <v>281</v>
      </c>
      <c r="G221" s="215" t="s">
        <v>999</v>
      </c>
      <c r="H221" s="212" t="s">
        <v>632</v>
      </c>
      <c r="I221" s="212" t="s">
        <v>626</v>
      </c>
    </row>
    <row r="222">
      <c r="A222" s="216" t="s">
        <v>1000</v>
      </c>
      <c r="B222" s="216" t="s">
        <v>998</v>
      </c>
      <c r="C222" s="216" t="s">
        <v>1001</v>
      </c>
      <c r="D222" s="217">
        <v>45528.774351851855</v>
      </c>
      <c r="E222" s="217"/>
      <c r="F222" s="218" t="s">
        <v>1002</v>
      </c>
      <c r="G222" s="219" t="s">
        <v>1003</v>
      </c>
      <c r="H222" s="216" t="s">
        <v>259</v>
      </c>
      <c r="I222" s="216" t="s">
        <v>640</v>
      </c>
    </row>
    <row r="223">
      <c r="A223" s="212" t="s">
        <v>1004</v>
      </c>
      <c r="B223" s="212" t="s">
        <v>998</v>
      </c>
      <c r="C223" s="212" t="s">
        <v>1005</v>
      </c>
      <c r="D223" s="213">
        <v>45528.77313657408</v>
      </c>
      <c r="E223" s="213"/>
      <c r="F223" s="214" t="s">
        <v>1006</v>
      </c>
      <c r="G223" s="215" t="s">
        <v>1007</v>
      </c>
      <c r="H223" s="212" t="s">
        <v>259</v>
      </c>
      <c r="I223" s="212" t="s">
        <v>626</v>
      </c>
    </row>
    <row r="224">
      <c r="A224" s="216" t="s">
        <v>1008</v>
      </c>
      <c r="B224" s="216" t="s">
        <v>998</v>
      </c>
      <c r="C224" s="216" t="s">
        <v>1005</v>
      </c>
      <c r="D224" s="217">
        <v>45513.77506944445</v>
      </c>
      <c r="E224" s="217"/>
      <c r="F224" s="218" t="s">
        <v>1009</v>
      </c>
      <c r="G224" s="219" t="s">
        <v>1010</v>
      </c>
      <c r="H224" s="216" t="s">
        <v>259</v>
      </c>
      <c r="I224" s="216" t="s">
        <v>626</v>
      </c>
    </row>
    <row r="225">
      <c r="A225" s="212" t="s">
        <v>1011</v>
      </c>
      <c r="B225" s="212" t="s">
        <v>998</v>
      </c>
      <c r="C225" s="212" t="s">
        <v>998</v>
      </c>
      <c r="D225" s="213">
        <v>45513.77402777778</v>
      </c>
      <c r="E225" s="213"/>
      <c r="F225" s="214" t="s">
        <v>281</v>
      </c>
      <c r="G225" s="215" t="s">
        <v>1012</v>
      </c>
      <c r="H225" s="212" t="s">
        <v>632</v>
      </c>
      <c r="I225" s="212" t="s">
        <v>626</v>
      </c>
    </row>
    <row r="226">
      <c r="A226" s="216" t="s">
        <v>1013</v>
      </c>
      <c r="B226" s="216" t="s">
        <v>998</v>
      </c>
      <c r="C226" s="216" t="s">
        <v>1005</v>
      </c>
      <c r="D226" s="217">
        <v>45499.79991898148</v>
      </c>
      <c r="E226" s="217"/>
      <c r="F226" s="218" t="s">
        <v>1014</v>
      </c>
      <c r="G226" s="219" t="s">
        <v>1015</v>
      </c>
      <c r="H226" s="216" t="s">
        <v>259</v>
      </c>
      <c r="I226" s="216" t="s">
        <v>626</v>
      </c>
    </row>
    <row r="227">
      <c r="A227" s="212" t="s">
        <v>1016</v>
      </c>
      <c r="B227" s="212" t="s">
        <v>998</v>
      </c>
      <c r="C227" s="212" t="s">
        <v>998</v>
      </c>
      <c r="D227" s="213">
        <v>45499.79920138889</v>
      </c>
      <c r="E227" s="213"/>
      <c r="F227" s="214" t="s">
        <v>281</v>
      </c>
      <c r="G227" s="215" t="s">
        <v>1017</v>
      </c>
      <c r="H227" s="212" t="s">
        <v>632</v>
      </c>
      <c r="I227" s="212" t="s">
        <v>626</v>
      </c>
    </row>
    <row r="228">
      <c r="A228" s="216" t="s">
        <v>1018</v>
      </c>
      <c r="B228" s="216" t="s">
        <v>998</v>
      </c>
      <c r="C228" s="216" t="s">
        <v>1005</v>
      </c>
      <c r="D228" s="217">
        <v>45487.60451388889</v>
      </c>
      <c r="E228" s="217"/>
      <c r="F228" s="218" t="s">
        <v>1019</v>
      </c>
      <c r="G228" s="219" t="s">
        <v>1020</v>
      </c>
      <c r="H228" s="216" t="s">
        <v>259</v>
      </c>
      <c r="I228" s="216" t="s">
        <v>626</v>
      </c>
    </row>
    <row r="229">
      <c r="A229" s="216" t="s">
        <v>1018</v>
      </c>
      <c r="B229" s="216" t="s">
        <v>998</v>
      </c>
      <c r="C229" s="216" t="s">
        <v>1005</v>
      </c>
      <c r="D229" s="217">
        <v>45487.60451388889</v>
      </c>
      <c r="E229" s="217"/>
      <c r="F229" s="218" t="s">
        <v>1019</v>
      </c>
      <c r="G229" s="219" t="s">
        <v>1020</v>
      </c>
      <c r="H229" s="216" t="s">
        <v>259</v>
      </c>
      <c r="I229" s="216" t="s">
        <v>626</v>
      </c>
    </row>
    <row r="230">
      <c r="A230" s="212" t="s">
        <v>1021</v>
      </c>
      <c r="B230" s="212" t="s">
        <v>998</v>
      </c>
      <c r="C230" s="212" t="s">
        <v>1005</v>
      </c>
      <c r="D230" s="213">
        <v>45473.67407407407</v>
      </c>
      <c r="E230" s="213"/>
      <c r="F230" s="214" t="s">
        <v>380</v>
      </c>
      <c r="G230" s="215" t="s">
        <v>1022</v>
      </c>
      <c r="H230" s="212" t="s">
        <v>259</v>
      </c>
      <c r="I230" s="212" t="s">
        <v>626</v>
      </c>
    </row>
    <row r="231">
      <c r="A231" s="216" t="s">
        <v>1023</v>
      </c>
      <c r="B231" s="216" t="s">
        <v>998</v>
      </c>
      <c r="C231" s="216" t="s">
        <v>998</v>
      </c>
      <c r="D231" s="217">
        <v>45459.553611111114</v>
      </c>
      <c r="E231" s="217">
        <v>45459.35775462963</v>
      </c>
      <c r="F231" s="218" t="s">
        <v>317</v>
      </c>
      <c r="G231" s="219" t="s">
        <v>1024</v>
      </c>
      <c r="H231" s="216" t="s">
        <v>632</v>
      </c>
      <c r="I231" s="216" t="s">
        <v>626</v>
      </c>
    </row>
    <row r="232">
      <c r="A232" s="212" t="s">
        <v>1025</v>
      </c>
      <c r="B232" s="212" t="s">
        <v>998</v>
      </c>
      <c r="C232" s="212" t="s">
        <v>1005</v>
      </c>
      <c r="D232" s="213">
        <v>45459.55275462963</v>
      </c>
      <c r="E232" s="213">
        <v>45460.55925925926</v>
      </c>
      <c r="F232" s="214" t="s">
        <v>1026</v>
      </c>
      <c r="G232" s="215" t="s">
        <v>1027</v>
      </c>
      <c r="H232" s="212" t="s">
        <v>259</v>
      </c>
      <c r="I232" s="212" t="s">
        <v>626</v>
      </c>
    </row>
    <row r="233">
      <c r="A233" s="216" t="s">
        <v>1028</v>
      </c>
      <c r="B233" s="216" t="s">
        <v>998</v>
      </c>
      <c r="C233" s="216" t="s">
        <v>998</v>
      </c>
      <c r="D233" s="217">
        <v>45452.500706018516</v>
      </c>
      <c r="E233" s="217">
        <v>45452.30229166667</v>
      </c>
      <c r="F233" s="218" t="s">
        <v>431</v>
      </c>
      <c r="G233" s="219" t="s">
        <v>720</v>
      </c>
      <c r="H233" s="216" t="s">
        <v>632</v>
      </c>
      <c r="I233" s="216" t="s">
        <v>626</v>
      </c>
    </row>
    <row r="234">
      <c r="A234" s="212" t="s">
        <v>1029</v>
      </c>
      <c r="B234" s="212" t="s">
        <v>998</v>
      </c>
      <c r="C234" s="212" t="s">
        <v>998</v>
      </c>
      <c r="D234" s="213">
        <v>45452.49988425926</v>
      </c>
      <c r="E234" s="227"/>
      <c r="F234" s="214" t="s">
        <v>391</v>
      </c>
      <c r="G234" s="215" t="s">
        <v>877</v>
      </c>
      <c r="H234" s="212" t="s">
        <v>259</v>
      </c>
      <c r="I234" s="212" t="s">
        <v>626</v>
      </c>
    </row>
    <row r="235">
      <c r="A235" s="212" t="s">
        <v>1030</v>
      </c>
      <c r="B235" s="212" t="s">
        <v>1031</v>
      </c>
      <c r="C235" s="212" t="s">
        <v>1032</v>
      </c>
      <c r="D235" s="213">
        <v>45550.49613425926</v>
      </c>
      <c r="E235" s="213"/>
      <c r="F235" s="214" t="s">
        <v>291</v>
      </c>
      <c r="G235" s="215" t="s">
        <v>1033</v>
      </c>
      <c r="H235" s="212" t="s">
        <v>416</v>
      </c>
      <c r="I235" s="212" t="s">
        <v>1034</v>
      </c>
    </row>
    <row r="236">
      <c r="A236" s="212" t="s">
        <v>1035</v>
      </c>
      <c r="B236" s="212" t="s">
        <v>1031</v>
      </c>
      <c r="C236" s="212" t="s">
        <v>1036</v>
      </c>
      <c r="D236" s="213">
        <v>45536.47443287037</v>
      </c>
      <c r="E236" s="213"/>
      <c r="F236" s="214" t="s">
        <v>1037</v>
      </c>
      <c r="G236" s="215" t="s">
        <v>1038</v>
      </c>
      <c r="H236" s="212" t="s">
        <v>416</v>
      </c>
      <c r="I236" s="212" t="s">
        <v>1034</v>
      </c>
    </row>
    <row r="237">
      <c r="A237" s="212" t="s">
        <v>1039</v>
      </c>
      <c r="B237" s="212" t="s">
        <v>1031</v>
      </c>
      <c r="C237" s="212" t="s">
        <v>1032</v>
      </c>
      <c r="D237" s="213">
        <v>45480.44244212963</v>
      </c>
      <c r="E237" s="213"/>
      <c r="F237" s="214" t="s">
        <v>291</v>
      </c>
      <c r="G237" s="215" t="s">
        <v>1040</v>
      </c>
      <c r="H237" s="212" t="s">
        <v>416</v>
      </c>
      <c r="I237" s="212" t="s">
        <v>1034</v>
      </c>
    </row>
    <row r="238">
      <c r="A238" s="216" t="s">
        <v>1041</v>
      </c>
      <c r="B238" s="216" t="s">
        <v>1031</v>
      </c>
      <c r="C238" s="216" t="s">
        <v>1042</v>
      </c>
      <c r="D238" s="217">
        <v>45438.465104166666</v>
      </c>
      <c r="E238" s="217">
        <v>45439.33693287037</v>
      </c>
      <c r="F238" s="218" t="s">
        <v>291</v>
      </c>
      <c r="G238" s="219" t="s">
        <v>1043</v>
      </c>
      <c r="H238" s="216" t="s">
        <v>416</v>
      </c>
      <c r="I238" s="216" t="s">
        <v>1034</v>
      </c>
    </row>
    <row r="239">
      <c r="A239" s="212" t="s">
        <v>1044</v>
      </c>
      <c r="B239" s="212" t="s">
        <v>1045</v>
      </c>
      <c r="C239" s="212" t="s">
        <v>1046</v>
      </c>
      <c r="D239" s="213">
        <v>45746.90053240741</v>
      </c>
      <c r="E239" s="213">
        <v>45746.92015046296</v>
      </c>
      <c r="F239" s="214" t="s">
        <v>1047</v>
      </c>
      <c r="G239" s="215" t="s">
        <v>1048</v>
      </c>
      <c r="H239" s="212" t="s">
        <v>377</v>
      </c>
      <c r="I239" s="212" t="s">
        <v>284</v>
      </c>
    </row>
    <row r="240">
      <c r="A240" s="216" t="s">
        <v>1049</v>
      </c>
      <c r="B240" s="216" t="s">
        <v>1045</v>
      </c>
      <c r="C240" s="216" t="s">
        <v>1050</v>
      </c>
      <c r="D240" s="217">
        <v>45732.85350694445</v>
      </c>
      <c r="E240" s="217">
        <v>45738.44799768519</v>
      </c>
      <c r="F240" s="218" t="s">
        <v>503</v>
      </c>
      <c r="G240" s="219" t="s">
        <v>1051</v>
      </c>
      <c r="H240" s="216" t="s">
        <v>377</v>
      </c>
      <c r="I240" s="216" t="s">
        <v>284</v>
      </c>
    </row>
    <row r="241">
      <c r="A241" s="212" t="s">
        <v>1052</v>
      </c>
      <c r="B241" s="212" t="s">
        <v>1045</v>
      </c>
      <c r="C241" s="212" t="s">
        <v>1046</v>
      </c>
      <c r="D241" s="213">
        <v>45760.816770833335</v>
      </c>
      <c r="E241" s="213">
        <v>45760.85074074074</v>
      </c>
      <c r="F241" s="214" t="s">
        <v>1053</v>
      </c>
      <c r="G241" s="215" t="s">
        <v>1054</v>
      </c>
      <c r="H241" s="212" t="s">
        <v>377</v>
      </c>
      <c r="I241" s="212" t="s">
        <v>284</v>
      </c>
    </row>
    <row r="242">
      <c r="A242" s="216" t="s">
        <v>1055</v>
      </c>
      <c r="B242" s="216" t="s">
        <v>1045</v>
      </c>
      <c r="C242" s="216" t="s">
        <v>1050</v>
      </c>
      <c r="D242" s="217">
        <v>45760.8152662037</v>
      </c>
      <c r="E242" s="217">
        <v>45763.670219907406</v>
      </c>
      <c r="F242" s="218" t="s">
        <v>375</v>
      </c>
      <c r="G242" s="219" t="s">
        <v>1056</v>
      </c>
      <c r="H242" s="216" t="s">
        <v>377</v>
      </c>
      <c r="I242" s="216" t="s">
        <v>284</v>
      </c>
    </row>
    <row r="243">
      <c r="A243" s="216" t="s">
        <v>1057</v>
      </c>
      <c r="B243" s="216" t="s">
        <v>1058</v>
      </c>
      <c r="C243" s="216" t="s">
        <v>1059</v>
      </c>
      <c r="D243" s="217">
        <v>45549.71386574074</v>
      </c>
      <c r="E243" s="217"/>
      <c r="F243" s="218" t="s">
        <v>651</v>
      </c>
      <c r="G243" s="219" t="s">
        <v>1060</v>
      </c>
      <c r="H243" s="216" t="s">
        <v>811</v>
      </c>
      <c r="I243" s="216" t="s">
        <v>1061</v>
      </c>
    </row>
    <row r="244">
      <c r="A244" s="212" t="s">
        <v>1062</v>
      </c>
      <c r="B244" s="212" t="s">
        <v>1058</v>
      </c>
      <c r="C244" s="212" t="s">
        <v>1059</v>
      </c>
      <c r="D244" s="213">
        <v>45514.60335648148</v>
      </c>
      <c r="E244" s="213"/>
      <c r="F244" s="214" t="s">
        <v>658</v>
      </c>
      <c r="G244" s="215" t="s">
        <v>1063</v>
      </c>
      <c r="H244" s="212" t="s">
        <v>811</v>
      </c>
      <c r="I244" s="212" t="s">
        <v>1061</v>
      </c>
    </row>
    <row r="245">
      <c r="A245" s="212" t="s">
        <v>1064</v>
      </c>
      <c r="B245" s="212" t="s">
        <v>1058</v>
      </c>
      <c r="C245" s="212" t="s">
        <v>1065</v>
      </c>
      <c r="D245" s="213">
        <v>45710.594363425924</v>
      </c>
      <c r="E245" s="213">
        <v>45710.61471064815</v>
      </c>
      <c r="F245" s="214" t="s">
        <v>765</v>
      </c>
      <c r="G245" s="215" t="s">
        <v>1066</v>
      </c>
      <c r="H245" s="212" t="s">
        <v>388</v>
      </c>
      <c r="I245" s="212" t="s">
        <v>1067</v>
      </c>
    </row>
    <row r="246">
      <c r="A246" s="212" t="s">
        <v>1068</v>
      </c>
      <c r="B246" s="212" t="s">
        <v>1058</v>
      </c>
      <c r="C246" s="212" t="s">
        <v>1059</v>
      </c>
      <c r="D246" s="213">
        <v>45762.490636574075</v>
      </c>
      <c r="E246" s="213">
        <v>45762.50010416667</v>
      </c>
      <c r="F246" s="214" t="s">
        <v>1069</v>
      </c>
      <c r="G246" s="215" t="s">
        <v>1070</v>
      </c>
      <c r="H246" s="212" t="s">
        <v>811</v>
      </c>
      <c r="I246" s="212" t="s">
        <v>1061</v>
      </c>
    </row>
    <row r="247">
      <c r="A247" s="212" t="s">
        <v>1071</v>
      </c>
      <c r="B247" s="212" t="s">
        <v>1072</v>
      </c>
      <c r="C247" s="212" t="s">
        <v>1073</v>
      </c>
      <c r="D247" s="213">
        <v>45530.500659722224</v>
      </c>
      <c r="E247" s="213"/>
      <c r="F247" s="214" t="s">
        <v>291</v>
      </c>
      <c r="G247" s="215" t="s">
        <v>1074</v>
      </c>
      <c r="H247" s="212" t="s">
        <v>265</v>
      </c>
      <c r="I247" s="212" t="s">
        <v>1075</v>
      </c>
    </row>
    <row r="248">
      <c r="A248" s="216" t="s">
        <v>1076</v>
      </c>
      <c r="B248" s="216" t="s">
        <v>1072</v>
      </c>
      <c r="C248" s="216" t="s">
        <v>1077</v>
      </c>
      <c r="D248" s="217">
        <v>45530.49275462963</v>
      </c>
      <c r="E248" s="217"/>
      <c r="F248" s="218" t="s">
        <v>1078</v>
      </c>
      <c r="G248" s="219" t="s">
        <v>1079</v>
      </c>
      <c r="H248" s="216" t="s">
        <v>259</v>
      </c>
      <c r="I248" s="216" t="s">
        <v>1080</v>
      </c>
    </row>
    <row r="249">
      <c r="A249" s="212" t="s">
        <v>1081</v>
      </c>
      <c r="B249" s="212" t="s">
        <v>1072</v>
      </c>
      <c r="C249" s="212" t="s">
        <v>1073</v>
      </c>
      <c r="D249" s="213">
        <v>45469.64722222222</v>
      </c>
      <c r="E249" s="213"/>
      <c r="F249" s="214" t="s">
        <v>1082</v>
      </c>
      <c r="G249" s="215" t="s">
        <v>1083</v>
      </c>
      <c r="H249" s="212" t="s">
        <v>265</v>
      </c>
      <c r="I249" s="212" t="s">
        <v>1075</v>
      </c>
    </row>
    <row r="250">
      <c r="A250" s="216" t="s">
        <v>1084</v>
      </c>
      <c r="B250" s="216" t="s">
        <v>1085</v>
      </c>
      <c r="C250" s="216" t="s">
        <v>1086</v>
      </c>
      <c r="D250" s="217">
        <v>45542.7296412037</v>
      </c>
      <c r="E250" s="217"/>
      <c r="F250" s="218" t="s">
        <v>1087</v>
      </c>
      <c r="G250" s="219" t="s">
        <v>1088</v>
      </c>
      <c r="H250" s="216" t="s">
        <v>259</v>
      </c>
      <c r="I250" s="216" t="s">
        <v>1089</v>
      </c>
    </row>
    <row r="251">
      <c r="A251" s="212" t="s">
        <v>1090</v>
      </c>
      <c r="B251" s="212" t="s">
        <v>1085</v>
      </c>
      <c r="C251" s="212" t="s">
        <v>1091</v>
      </c>
      <c r="D251" s="213">
        <v>45435.85434027778</v>
      </c>
      <c r="E251" s="213">
        <v>45437.298784722225</v>
      </c>
      <c r="F251" s="214" t="s">
        <v>1092</v>
      </c>
      <c r="G251" s="215" t="s">
        <v>1093</v>
      </c>
      <c r="H251" s="212" t="s">
        <v>293</v>
      </c>
      <c r="I251" s="212" t="s">
        <v>1094</v>
      </c>
    </row>
    <row r="252">
      <c r="A252" s="212" t="s">
        <v>1095</v>
      </c>
      <c r="B252" s="212" t="s">
        <v>1096</v>
      </c>
      <c r="C252" s="212" t="s">
        <v>1097</v>
      </c>
      <c r="D252" s="213">
        <v>45495.84761574074</v>
      </c>
      <c r="E252" s="213"/>
      <c r="F252" s="214" t="s">
        <v>503</v>
      </c>
      <c r="G252" s="215" t="s">
        <v>1098</v>
      </c>
      <c r="H252" s="212" t="s">
        <v>259</v>
      </c>
      <c r="I252" s="212" t="s">
        <v>1099</v>
      </c>
    </row>
    <row r="253">
      <c r="A253" s="212" t="s">
        <v>1100</v>
      </c>
      <c r="B253" s="212" t="s">
        <v>1096</v>
      </c>
      <c r="C253" s="212" t="s">
        <v>1097</v>
      </c>
      <c r="D253" s="213">
        <v>45439.8109837963</v>
      </c>
      <c r="E253" s="213">
        <v>45440.35424768519</v>
      </c>
      <c r="F253" s="214" t="s">
        <v>503</v>
      </c>
      <c r="G253" s="215" t="s">
        <v>1101</v>
      </c>
      <c r="H253" s="212" t="s">
        <v>259</v>
      </c>
      <c r="I253" s="212" t="s">
        <v>1099</v>
      </c>
    </row>
    <row r="254">
      <c r="A254" s="212" t="s">
        <v>1102</v>
      </c>
      <c r="B254" s="212" t="s">
        <v>1103</v>
      </c>
      <c r="C254" s="212" t="s">
        <v>1104</v>
      </c>
      <c r="D254" s="213">
        <v>45503.85896990741</v>
      </c>
      <c r="E254" s="213"/>
      <c r="F254" s="214" t="s">
        <v>1105</v>
      </c>
      <c r="G254" s="215" t="s">
        <v>1106</v>
      </c>
      <c r="H254" s="212" t="s">
        <v>265</v>
      </c>
      <c r="I254" s="212" t="s">
        <v>399</v>
      </c>
    </row>
    <row r="255">
      <c r="A255" s="216" t="s">
        <v>1107</v>
      </c>
      <c r="B255" s="216" t="s">
        <v>1103</v>
      </c>
      <c r="C255" s="216" t="s">
        <v>1104</v>
      </c>
      <c r="D255" s="217">
        <v>45495.83253472222</v>
      </c>
      <c r="E255" s="217"/>
      <c r="F255" s="218" t="s">
        <v>317</v>
      </c>
      <c r="G255" s="219" t="s">
        <v>1108</v>
      </c>
      <c r="H255" s="216" t="s">
        <v>265</v>
      </c>
      <c r="I255" s="216" t="s">
        <v>399</v>
      </c>
    </row>
    <row r="256">
      <c r="A256" s="212" t="s">
        <v>1109</v>
      </c>
      <c r="B256" s="212" t="s">
        <v>1103</v>
      </c>
      <c r="C256" s="212" t="s">
        <v>1110</v>
      </c>
      <c r="D256" s="213">
        <v>45451.78412037037</v>
      </c>
      <c r="E256" s="213">
        <v>45452.60425925926</v>
      </c>
      <c r="F256" s="214" t="s">
        <v>269</v>
      </c>
      <c r="G256" s="215" t="s">
        <v>1111</v>
      </c>
      <c r="H256" s="212" t="s">
        <v>259</v>
      </c>
      <c r="I256" s="212" t="s">
        <v>399</v>
      </c>
    </row>
    <row r="257">
      <c r="A257" s="216" t="s">
        <v>1112</v>
      </c>
      <c r="B257" s="216" t="s">
        <v>1103</v>
      </c>
      <c r="C257" s="216" t="s">
        <v>1104</v>
      </c>
      <c r="D257" s="217">
        <v>45451.783055555556</v>
      </c>
      <c r="E257" s="217">
        <v>45451.587002314816</v>
      </c>
      <c r="F257" s="218" t="s">
        <v>291</v>
      </c>
      <c r="G257" s="219" t="s">
        <v>1113</v>
      </c>
      <c r="H257" s="216" t="s">
        <v>265</v>
      </c>
      <c r="I257" s="216" t="s">
        <v>399</v>
      </c>
    </row>
    <row r="258">
      <c r="A258" s="212" t="s">
        <v>1114</v>
      </c>
      <c r="B258" s="212" t="s">
        <v>1103</v>
      </c>
      <c r="C258" s="212" t="s">
        <v>1110</v>
      </c>
      <c r="D258" s="213">
        <v>45445.55075231481</v>
      </c>
      <c r="E258" s="213">
        <v>45447.63201388889</v>
      </c>
      <c r="F258" s="214" t="s">
        <v>269</v>
      </c>
      <c r="G258" s="215" t="s">
        <v>1115</v>
      </c>
      <c r="H258" s="212" t="s">
        <v>259</v>
      </c>
      <c r="I258" s="212" t="s">
        <v>399</v>
      </c>
    </row>
    <row r="259">
      <c r="A259" s="216" t="s">
        <v>1116</v>
      </c>
      <c r="B259" s="216" t="s">
        <v>1103</v>
      </c>
      <c r="C259" s="216" t="s">
        <v>1104</v>
      </c>
      <c r="D259" s="217">
        <v>45445.55011574074</v>
      </c>
      <c r="E259" s="217">
        <v>45445.350810185184</v>
      </c>
      <c r="F259" s="218" t="s">
        <v>291</v>
      </c>
      <c r="G259" s="219" t="s">
        <v>1117</v>
      </c>
      <c r="H259" s="216" t="s">
        <v>265</v>
      </c>
      <c r="I259" s="216" t="s">
        <v>399</v>
      </c>
    </row>
    <row r="260">
      <c r="A260" s="216" t="s">
        <v>1118</v>
      </c>
      <c r="B260" s="216" t="s">
        <v>1103</v>
      </c>
      <c r="C260" s="216" t="s">
        <v>1110</v>
      </c>
      <c r="D260" s="217">
        <v>45437.75991898148</v>
      </c>
      <c r="E260" s="217">
        <v>45440.62513888889</v>
      </c>
      <c r="F260" s="218" t="s">
        <v>269</v>
      </c>
      <c r="G260" s="219" t="s">
        <v>1119</v>
      </c>
      <c r="H260" s="216" t="s">
        <v>259</v>
      </c>
      <c r="I260" s="216" t="s">
        <v>399</v>
      </c>
    </row>
    <row r="261">
      <c r="A261" s="212" t="s">
        <v>1120</v>
      </c>
      <c r="B261" s="212" t="s">
        <v>1103</v>
      </c>
      <c r="C261" s="212" t="s">
        <v>1104</v>
      </c>
      <c r="D261" s="213">
        <v>45437.75875</v>
      </c>
      <c r="E261" s="213">
        <v>45437.55913194444</v>
      </c>
      <c r="F261" s="214" t="s">
        <v>470</v>
      </c>
      <c r="G261" s="215" t="s">
        <v>785</v>
      </c>
      <c r="H261" s="212" t="s">
        <v>265</v>
      </c>
      <c r="I261" s="212" t="s">
        <v>399</v>
      </c>
    </row>
    <row r="262">
      <c r="A262" s="212" t="s">
        <v>1121</v>
      </c>
      <c r="B262" s="212" t="s">
        <v>1122</v>
      </c>
      <c r="C262" s="212" t="s">
        <v>1123</v>
      </c>
      <c r="D262" s="213">
        <v>45542.428773148145</v>
      </c>
      <c r="E262" s="213"/>
      <c r="F262" s="214" t="s">
        <v>1124</v>
      </c>
      <c r="G262" s="215" t="s">
        <v>1125</v>
      </c>
      <c r="H262" s="212" t="s">
        <v>259</v>
      </c>
      <c r="I262" s="212" t="s">
        <v>626</v>
      </c>
    </row>
    <row r="263">
      <c r="A263" s="212" t="s">
        <v>1126</v>
      </c>
      <c r="B263" s="212" t="s">
        <v>1122</v>
      </c>
      <c r="C263" s="212" t="s">
        <v>1123</v>
      </c>
      <c r="D263" s="213">
        <v>45521.600277777776</v>
      </c>
      <c r="E263" s="213"/>
      <c r="F263" s="214" t="s">
        <v>1124</v>
      </c>
      <c r="G263" s="215" t="s">
        <v>1127</v>
      </c>
      <c r="H263" s="212" t="s">
        <v>259</v>
      </c>
      <c r="I263" s="212" t="s">
        <v>626</v>
      </c>
    </row>
    <row r="264">
      <c r="A264" s="212" t="s">
        <v>1128</v>
      </c>
      <c r="B264" s="212" t="s">
        <v>1122</v>
      </c>
      <c r="C264" s="212" t="s">
        <v>1123</v>
      </c>
      <c r="D264" s="213">
        <v>45507.68408564815</v>
      </c>
      <c r="E264" s="213"/>
      <c r="F264" s="214" t="s">
        <v>250</v>
      </c>
      <c r="G264" s="215" t="s">
        <v>1129</v>
      </c>
      <c r="H264" s="212" t="s">
        <v>259</v>
      </c>
      <c r="I264" s="212" t="s">
        <v>626</v>
      </c>
    </row>
    <row r="265">
      <c r="A265" s="216" t="s">
        <v>1130</v>
      </c>
      <c r="B265" s="216" t="s">
        <v>1122</v>
      </c>
      <c r="C265" s="216" t="s">
        <v>1123</v>
      </c>
      <c r="D265" s="217">
        <v>45492.78640046297</v>
      </c>
      <c r="E265" s="217"/>
      <c r="F265" s="218" t="s">
        <v>250</v>
      </c>
      <c r="G265" s="219" t="s">
        <v>1131</v>
      </c>
      <c r="H265" s="216" t="s">
        <v>259</v>
      </c>
      <c r="I265" s="216" t="s">
        <v>626</v>
      </c>
    </row>
    <row r="266">
      <c r="A266" s="212" t="s">
        <v>1130</v>
      </c>
      <c r="B266" s="212" t="s">
        <v>1122</v>
      </c>
      <c r="C266" s="212" t="s">
        <v>1123</v>
      </c>
      <c r="D266" s="213">
        <v>45492.78640046297</v>
      </c>
      <c r="E266" s="213"/>
      <c r="F266" s="214" t="s">
        <v>250</v>
      </c>
      <c r="G266" s="215" t="s">
        <v>1131</v>
      </c>
      <c r="H266" s="212" t="s">
        <v>259</v>
      </c>
      <c r="I266" s="212" t="s">
        <v>626</v>
      </c>
    </row>
    <row r="267">
      <c r="A267" s="216" t="s">
        <v>1132</v>
      </c>
      <c r="B267" s="216" t="s">
        <v>1122</v>
      </c>
      <c r="C267" s="216" t="s">
        <v>1123</v>
      </c>
      <c r="D267" s="217">
        <v>45487.58028935185</v>
      </c>
      <c r="E267" s="217"/>
      <c r="F267" s="218" t="s">
        <v>1124</v>
      </c>
      <c r="G267" s="219" t="s">
        <v>1133</v>
      </c>
      <c r="H267" s="216" t="s">
        <v>259</v>
      </c>
      <c r="I267" s="216" t="s">
        <v>626</v>
      </c>
    </row>
    <row r="268">
      <c r="A268" s="212" t="s">
        <v>1130</v>
      </c>
      <c r="B268" s="212" t="s">
        <v>1122</v>
      </c>
      <c r="C268" s="212" t="s">
        <v>1123</v>
      </c>
      <c r="D268" s="213">
        <v>45492.78640046297</v>
      </c>
      <c r="E268" s="213"/>
      <c r="F268" s="214" t="s">
        <v>250</v>
      </c>
      <c r="G268" s="215" t="s">
        <v>1131</v>
      </c>
      <c r="H268" s="212" t="s">
        <v>259</v>
      </c>
      <c r="I268" s="212" t="s">
        <v>626</v>
      </c>
    </row>
    <row r="269">
      <c r="A269" s="216" t="s">
        <v>1132</v>
      </c>
      <c r="B269" s="216" t="s">
        <v>1122</v>
      </c>
      <c r="C269" s="216" t="s">
        <v>1123</v>
      </c>
      <c r="D269" s="217">
        <v>45487.58028935185</v>
      </c>
      <c r="E269" s="217"/>
      <c r="F269" s="218" t="s">
        <v>1124</v>
      </c>
      <c r="G269" s="219" t="s">
        <v>1133</v>
      </c>
      <c r="H269" s="216" t="s">
        <v>259</v>
      </c>
      <c r="I269" s="216" t="s">
        <v>626</v>
      </c>
    </row>
    <row r="270">
      <c r="A270" s="212" t="s">
        <v>1134</v>
      </c>
      <c r="B270" s="212" t="s">
        <v>1135</v>
      </c>
      <c r="C270" s="212" t="s">
        <v>1135</v>
      </c>
      <c r="D270" s="213">
        <v>45497.91862268518</v>
      </c>
      <c r="E270" s="213"/>
      <c r="F270" s="214" t="s">
        <v>658</v>
      </c>
      <c r="G270" s="215" t="s">
        <v>1136</v>
      </c>
      <c r="H270" s="212" t="s">
        <v>561</v>
      </c>
      <c r="I270" s="212" t="s">
        <v>1137</v>
      </c>
    </row>
    <row r="271">
      <c r="A271" s="216" t="s">
        <v>1138</v>
      </c>
      <c r="B271" s="216" t="s">
        <v>1135</v>
      </c>
      <c r="C271" s="216" t="s">
        <v>1135</v>
      </c>
      <c r="D271" s="217">
        <v>45493.484918981485</v>
      </c>
      <c r="E271" s="217"/>
      <c r="F271" s="218" t="s">
        <v>250</v>
      </c>
      <c r="G271" s="219" t="s">
        <v>1131</v>
      </c>
      <c r="H271" s="216" t="s">
        <v>561</v>
      </c>
      <c r="I271" s="216" t="s">
        <v>1137</v>
      </c>
    </row>
    <row r="272">
      <c r="A272" s="212" t="s">
        <v>1139</v>
      </c>
      <c r="B272" s="212" t="s">
        <v>1135</v>
      </c>
      <c r="C272" s="212" t="s">
        <v>1135</v>
      </c>
      <c r="D272" s="213">
        <v>45487.55888888889</v>
      </c>
      <c r="E272" s="213"/>
      <c r="F272" s="214" t="s">
        <v>1124</v>
      </c>
      <c r="G272" s="215" t="s">
        <v>1140</v>
      </c>
      <c r="H272" s="212" t="s">
        <v>561</v>
      </c>
      <c r="I272" s="212" t="s">
        <v>1137</v>
      </c>
    </row>
    <row r="273">
      <c r="A273" s="212" t="s">
        <v>1139</v>
      </c>
      <c r="B273" s="212" t="s">
        <v>1135</v>
      </c>
      <c r="C273" s="212" t="s">
        <v>1135</v>
      </c>
      <c r="D273" s="213">
        <v>45487.55888888889</v>
      </c>
      <c r="E273" s="213"/>
      <c r="F273" s="214" t="s">
        <v>1124</v>
      </c>
      <c r="G273" s="215" t="s">
        <v>1140</v>
      </c>
      <c r="H273" s="212" t="s">
        <v>561</v>
      </c>
      <c r="I273" s="212" t="s">
        <v>1137</v>
      </c>
    </row>
    <row r="274">
      <c r="A274" s="212" t="s">
        <v>1141</v>
      </c>
      <c r="B274" s="212" t="s">
        <v>1135</v>
      </c>
      <c r="C274" s="212" t="s">
        <v>1135</v>
      </c>
      <c r="D274" s="213">
        <v>45470.78403935185</v>
      </c>
      <c r="E274" s="213"/>
      <c r="F274" s="214" t="s">
        <v>1142</v>
      </c>
      <c r="G274" s="215" t="s">
        <v>1143</v>
      </c>
      <c r="H274" s="212" t="s">
        <v>561</v>
      </c>
      <c r="I274" s="212" t="s">
        <v>1137</v>
      </c>
    </row>
    <row r="275">
      <c r="A275" s="212" t="s">
        <v>1144</v>
      </c>
      <c r="B275" s="212" t="s">
        <v>1135</v>
      </c>
      <c r="C275" s="212" t="s">
        <v>1135</v>
      </c>
      <c r="D275" s="213">
        <v>45457.89130787037</v>
      </c>
      <c r="E275" s="213">
        <v>45457.70145833334</v>
      </c>
      <c r="F275" s="214" t="s">
        <v>465</v>
      </c>
      <c r="G275" s="215" t="s">
        <v>1145</v>
      </c>
      <c r="H275" s="212" t="s">
        <v>561</v>
      </c>
      <c r="I275" s="212" t="s">
        <v>1137</v>
      </c>
    </row>
    <row r="276">
      <c r="A276" s="212" t="s">
        <v>1146</v>
      </c>
      <c r="B276" s="212" t="s">
        <v>1135</v>
      </c>
      <c r="C276" s="212" t="s">
        <v>1135</v>
      </c>
      <c r="D276" s="213">
        <v>45436.74283564815</v>
      </c>
      <c r="E276" s="213">
        <v>45436.54546296296</v>
      </c>
      <c r="F276" s="214" t="s">
        <v>1147</v>
      </c>
      <c r="G276" s="215" t="s">
        <v>1148</v>
      </c>
      <c r="H276" s="212" t="s">
        <v>561</v>
      </c>
      <c r="I276" s="212" t="s">
        <v>1137</v>
      </c>
    </row>
    <row r="277">
      <c r="A277" s="212" t="s">
        <v>1149</v>
      </c>
      <c r="B277" s="212" t="s">
        <v>1135</v>
      </c>
      <c r="C277" s="212" t="s">
        <v>1150</v>
      </c>
      <c r="D277" s="213">
        <v>45773.73664351852</v>
      </c>
      <c r="E277" s="213">
        <v>45773.746724537035</v>
      </c>
      <c r="F277" s="214" t="s">
        <v>1151</v>
      </c>
      <c r="G277" s="215" t="s">
        <v>1152</v>
      </c>
      <c r="H277" s="212" t="s">
        <v>561</v>
      </c>
      <c r="I277" s="212" t="s">
        <v>1137</v>
      </c>
    </row>
    <row r="278">
      <c r="A278" s="212" t="s">
        <v>1153</v>
      </c>
      <c r="B278" s="212" t="s">
        <v>1154</v>
      </c>
      <c r="C278" s="212" t="s">
        <v>1155</v>
      </c>
      <c r="D278" s="213">
        <v>45465.65142361111</v>
      </c>
      <c r="E278" s="213"/>
      <c r="F278" s="214" t="s">
        <v>281</v>
      </c>
      <c r="G278" s="215" t="s">
        <v>1156</v>
      </c>
      <c r="H278" s="212" t="s">
        <v>293</v>
      </c>
      <c r="I278" s="212" t="s">
        <v>1157</v>
      </c>
    </row>
    <row r="279">
      <c r="A279" s="212" t="s">
        <v>1158</v>
      </c>
      <c r="B279" s="212" t="s">
        <v>1159</v>
      </c>
      <c r="C279" s="212" t="s">
        <v>1160</v>
      </c>
      <c r="D279" s="213">
        <v>45542.57568287037</v>
      </c>
      <c r="E279" s="213"/>
      <c r="F279" s="214" t="s">
        <v>380</v>
      </c>
      <c r="G279" s="215" t="s">
        <v>1161</v>
      </c>
      <c r="H279" s="212" t="s">
        <v>319</v>
      </c>
      <c r="I279" s="212" t="s">
        <v>1162</v>
      </c>
    </row>
    <row r="280">
      <c r="A280" s="212" t="s">
        <v>1163</v>
      </c>
      <c r="B280" s="212" t="s">
        <v>1164</v>
      </c>
      <c r="C280" s="212" t="s">
        <v>1165</v>
      </c>
      <c r="D280" s="213">
        <v>45479.55006944444</v>
      </c>
      <c r="E280" s="213"/>
      <c r="F280" s="214" t="s">
        <v>431</v>
      </c>
      <c r="G280" s="215" t="s">
        <v>720</v>
      </c>
      <c r="H280" s="212" t="s">
        <v>259</v>
      </c>
      <c r="I280" s="212" t="s">
        <v>1166</v>
      </c>
    </row>
    <row r="281">
      <c r="A281" s="212" t="s">
        <v>1167</v>
      </c>
      <c r="B281" s="212" t="s">
        <v>1168</v>
      </c>
      <c r="C281" s="212" t="s">
        <v>1169</v>
      </c>
      <c r="D281" s="213">
        <v>45547.62179398148</v>
      </c>
      <c r="E281" s="213"/>
      <c r="F281" s="214" t="s">
        <v>291</v>
      </c>
      <c r="G281" s="215" t="s">
        <v>1170</v>
      </c>
      <c r="H281" s="212" t="s">
        <v>416</v>
      </c>
      <c r="I281" s="212" t="s">
        <v>1171</v>
      </c>
    </row>
    <row r="282">
      <c r="A282" s="212" t="s">
        <v>1172</v>
      </c>
      <c r="B282" s="212" t="s">
        <v>1168</v>
      </c>
      <c r="C282" s="212" t="s">
        <v>1169</v>
      </c>
      <c r="D282" s="213">
        <v>45546.60769675926</v>
      </c>
      <c r="E282" s="213"/>
      <c r="F282" s="214" t="s">
        <v>281</v>
      </c>
      <c r="G282" s="215" t="s">
        <v>1173</v>
      </c>
      <c r="H282" s="212" t="s">
        <v>416</v>
      </c>
      <c r="I282" s="212" t="s">
        <v>1171</v>
      </c>
    </row>
    <row r="283">
      <c r="A283" s="212" t="s">
        <v>1174</v>
      </c>
      <c r="B283" s="212" t="s">
        <v>1168</v>
      </c>
      <c r="C283" s="212" t="s">
        <v>1169</v>
      </c>
      <c r="D283" s="213">
        <v>45528.84641203703</v>
      </c>
      <c r="E283" s="213"/>
      <c r="F283" s="214" t="s">
        <v>281</v>
      </c>
      <c r="G283" s="215" t="s">
        <v>1175</v>
      </c>
      <c r="H283" s="212" t="s">
        <v>416</v>
      </c>
      <c r="I283" s="212" t="s">
        <v>1171</v>
      </c>
    </row>
    <row r="284">
      <c r="A284" s="212" t="s">
        <v>1176</v>
      </c>
      <c r="B284" s="212" t="s">
        <v>1168</v>
      </c>
      <c r="C284" s="212" t="s">
        <v>1177</v>
      </c>
      <c r="D284" s="213">
        <v>45709.56650462963</v>
      </c>
      <c r="E284" s="213">
        <v>45709.62158564815</v>
      </c>
      <c r="F284" s="214" t="s">
        <v>380</v>
      </c>
      <c r="G284" s="215" t="s">
        <v>1178</v>
      </c>
      <c r="H284" s="212" t="s">
        <v>416</v>
      </c>
      <c r="I284" s="212" t="s">
        <v>1171</v>
      </c>
    </row>
    <row r="285">
      <c r="A285" s="216" t="s">
        <v>1179</v>
      </c>
      <c r="B285" s="216" t="s">
        <v>1180</v>
      </c>
      <c r="C285" s="216" t="s">
        <v>1181</v>
      </c>
      <c r="D285" s="217">
        <v>45707.62320601852</v>
      </c>
      <c r="E285" s="217">
        <v>45707.63212962963</v>
      </c>
      <c r="F285" s="218" t="s">
        <v>1182</v>
      </c>
      <c r="G285" s="219" t="s">
        <v>1183</v>
      </c>
      <c r="H285" s="216" t="s">
        <v>356</v>
      </c>
      <c r="I285" s="216" t="s">
        <v>946</v>
      </c>
    </row>
    <row r="286">
      <c r="A286" s="212" t="s">
        <v>1184</v>
      </c>
      <c r="B286" s="212" t="s">
        <v>1185</v>
      </c>
      <c r="C286" s="212" t="s">
        <v>1186</v>
      </c>
      <c r="D286" s="213">
        <v>45773.832870370374</v>
      </c>
      <c r="E286" s="213">
        <v>45774.67023148148</v>
      </c>
      <c r="F286" s="214" t="s">
        <v>470</v>
      </c>
      <c r="G286" s="215" t="s">
        <v>1187</v>
      </c>
      <c r="H286" s="212" t="s">
        <v>259</v>
      </c>
      <c r="I286" s="212" t="s">
        <v>1188</v>
      </c>
    </row>
    <row r="287">
      <c r="A287" s="212" t="s">
        <v>1189</v>
      </c>
      <c r="B287" s="212" t="s">
        <v>1190</v>
      </c>
      <c r="C287" s="212" t="s">
        <v>1191</v>
      </c>
      <c r="D287" s="213">
        <v>45528.624293981484</v>
      </c>
      <c r="E287" s="213"/>
      <c r="F287" s="214" t="s">
        <v>658</v>
      </c>
      <c r="G287" s="215" t="s">
        <v>1192</v>
      </c>
      <c r="H287" s="212" t="s">
        <v>265</v>
      </c>
      <c r="I287" s="212" t="s">
        <v>304</v>
      </c>
    </row>
    <row r="288">
      <c r="A288" s="216" t="s">
        <v>1193</v>
      </c>
      <c r="B288" s="216" t="s">
        <v>1190</v>
      </c>
      <c r="C288" s="216" t="s">
        <v>1194</v>
      </c>
      <c r="D288" s="217">
        <v>45508.79675925926</v>
      </c>
      <c r="E288" s="217"/>
      <c r="F288" s="218" t="s">
        <v>730</v>
      </c>
      <c r="G288" s="219" t="s">
        <v>1195</v>
      </c>
      <c r="H288" s="216" t="s">
        <v>259</v>
      </c>
      <c r="I288" s="216" t="s">
        <v>1196</v>
      </c>
    </row>
    <row r="289">
      <c r="A289" s="212" t="s">
        <v>1197</v>
      </c>
      <c r="B289" s="212" t="s">
        <v>1190</v>
      </c>
      <c r="C289" s="212" t="s">
        <v>301</v>
      </c>
      <c r="D289" s="213">
        <v>45501.77787037037</v>
      </c>
      <c r="E289" s="226"/>
      <c r="F289" s="214" t="s">
        <v>391</v>
      </c>
      <c r="G289" s="215" t="s">
        <v>877</v>
      </c>
      <c r="H289" s="212" t="s">
        <v>265</v>
      </c>
      <c r="I289" s="212" t="s">
        <v>304</v>
      </c>
    </row>
    <row r="290">
      <c r="A290" s="212" t="s">
        <v>1198</v>
      </c>
      <c r="B290" s="212" t="s">
        <v>1190</v>
      </c>
      <c r="C290" s="212" t="s">
        <v>1191</v>
      </c>
      <c r="D290" s="213">
        <v>45496.83825231482</v>
      </c>
      <c r="E290" s="213"/>
      <c r="F290" s="214" t="s">
        <v>1199</v>
      </c>
      <c r="G290" s="215" t="s">
        <v>1200</v>
      </c>
      <c r="H290" s="212" t="s">
        <v>265</v>
      </c>
      <c r="I290" s="212" t="s">
        <v>304</v>
      </c>
    </row>
    <row r="291">
      <c r="A291" s="212" t="s">
        <v>1201</v>
      </c>
      <c r="B291" s="212" t="s">
        <v>1190</v>
      </c>
      <c r="C291" s="212" t="s">
        <v>1191</v>
      </c>
      <c r="D291" s="213">
        <v>45774.80857638889</v>
      </c>
      <c r="E291" s="213">
        <v>45774.819560185184</v>
      </c>
      <c r="F291" s="214" t="s">
        <v>281</v>
      </c>
      <c r="G291" s="215" t="s">
        <v>1202</v>
      </c>
      <c r="H291" s="212" t="s">
        <v>265</v>
      </c>
      <c r="I291" s="212" t="s">
        <v>304</v>
      </c>
    </row>
    <row r="292">
      <c r="A292" s="212" t="s">
        <v>1203</v>
      </c>
      <c r="B292" s="212" t="s">
        <v>1204</v>
      </c>
      <c r="C292" s="212" t="s">
        <v>1205</v>
      </c>
      <c r="D292" s="213">
        <v>45711.49439814815</v>
      </c>
      <c r="E292" s="213">
        <v>45711.514074074075</v>
      </c>
      <c r="F292" s="214" t="s">
        <v>470</v>
      </c>
      <c r="G292" s="215" t="s">
        <v>790</v>
      </c>
      <c r="H292" s="212" t="s">
        <v>252</v>
      </c>
      <c r="I292" s="212" t="s">
        <v>1094</v>
      </c>
    </row>
    <row r="293">
      <c r="A293" s="212" t="s">
        <v>1206</v>
      </c>
      <c r="B293" s="212" t="s">
        <v>1207</v>
      </c>
      <c r="C293" s="212" t="s">
        <v>1208</v>
      </c>
      <c r="D293" s="213">
        <v>45759.7983912037</v>
      </c>
      <c r="E293" s="213">
        <v>45761.55912037037</v>
      </c>
      <c r="F293" s="214" t="s">
        <v>1209</v>
      </c>
      <c r="G293" s="215" t="s">
        <v>1210</v>
      </c>
      <c r="H293" s="212" t="s">
        <v>265</v>
      </c>
      <c r="I293" s="212" t="s">
        <v>1211</v>
      </c>
    </row>
    <row r="294">
      <c r="A294" s="212" t="s">
        <v>1212</v>
      </c>
      <c r="B294" s="212" t="s">
        <v>1213</v>
      </c>
      <c r="C294" s="212" t="s">
        <v>1214</v>
      </c>
      <c r="D294" s="213">
        <v>45440.87898148148</v>
      </c>
      <c r="E294" s="227"/>
      <c r="F294" s="214" t="s">
        <v>391</v>
      </c>
      <c r="G294" s="215" t="s">
        <v>877</v>
      </c>
      <c r="H294" s="212" t="s">
        <v>561</v>
      </c>
      <c r="I294" s="212" t="s">
        <v>399</v>
      </c>
    </row>
    <row r="295">
      <c r="A295" s="212" t="s">
        <v>1215</v>
      </c>
      <c r="B295" s="212" t="s">
        <v>1216</v>
      </c>
      <c r="C295" s="212" t="s">
        <v>1217</v>
      </c>
      <c r="D295" s="213">
        <v>45473.56878472222</v>
      </c>
      <c r="E295" s="213"/>
      <c r="F295" s="214" t="s">
        <v>698</v>
      </c>
      <c r="G295" s="215" t="s">
        <v>1218</v>
      </c>
      <c r="H295" s="212" t="s">
        <v>561</v>
      </c>
      <c r="I295" s="212" t="s">
        <v>1219</v>
      </c>
    </row>
    <row r="296">
      <c r="A296" s="216" t="s">
        <v>1220</v>
      </c>
      <c r="B296" s="216" t="s">
        <v>1221</v>
      </c>
      <c r="C296" s="216" t="s">
        <v>1222</v>
      </c>
      <c r="D296" s="217">
        <v>45549.6024537037</v>
      </c>
      <c r="E296" s="217"/>
      <c r="F296" s="218" t="s">
        <v>1223</v>
      </c>
      <c r="G296" s="219" t="s">
        <v>1224</v>
      </c>
      <c r="H296" s="216" t="s">
        <v>265</v>
      </c>
      <c r="I296" s="216" t="s">
        <v>640</v>
      </c>
    </row>
    <row r="297">
      <c r="A297" s="216" t="s">
        <v>1225</v>
      </c>
      <c r="B297" s="216" t="s">
        <v>1221</v>
      </c>
      <c r="C297" s="216" t="s">
        <v>1222</v>
      </c>
      <c r="D297" s="217">
        <v>45529.67984953704</v>
      </c>
      <c r="E297" s="217"/>
      <c r="F297" s="218" t="s">
        <v>658</v>
      </c>
      <c r="G297" s="219" t="s">
        <v>1226</v>
      </c>
      <c r="H297" s="216" t="s">
        <v>265</v>
      </c>
      <c r="I297" s="216" t="s">
        <v>640</v>
      </c>
    </row>
    <row r="298">
      <c r="A298" s="216" t="s">
        <v>1227</v>
      </c>
      <c r="B298" s="216" t="s">
        <v>1221</v>
      </c>
      <c r="C298" s="216" t="s">
        <v>1222</v>
      </c>
      <c r="D298" s="217">
        <v>45522.83945601852</v>
      </c>
      <c r="E298" s="217"/>
      <c r="F298" s="218" t="s">
        <v>435</v>
      </c>
      <c r="G298" s="219" t="s">
        <v>1228</v>
      </c>
      <c r="H298" s="216" t="s">
        <v>265</v>
      </c>
      <c r="I298" s="216" t="s">
        <v>640</v>
      </c>
    </row>
    <row r="299">
      <c r="A299" s="216" t="s">
        <v>1229</v>
      </c>
      <c r="B299" s="216" t="s">
        <v>1230</v>
      </c>
      <c r="C299" s="216" t="s">
        <v>1231</v>
      </c>
      <c r="D299" s="217">
        <v>45529.90924768519</v>
      </c>
      <c r="E299" s="217"/>
      <c r="F299" s="218" t="s">
        <v>730</v>
      </c>
      <c r="G299" s="219" t="s">
        <v>1232</v>
      </c>
      <c r="H299" s="216" t="s">
        <v>265</v>
      </c>
      <c r="I299" s="216" t="s">
        <v>626</v>
      </c>
    </row>
    <row r="300">
      <c r="A300" s="216" t="s">
        <v>1233</v>
      </c>
      <c r="B300" s="216" t="s">
        <v>1234</v>
      </c>
      <c r="C300" s="216" t="s">
        <v>1235</v>
      </c>
      <c r="D300" s="217">
        <v>45524.522881944446</v>
      </c>
      <c r="E300" s="217"/>
      <c r="F300" s="218" t="s">
        <v>1236</v>
      </c>
      <c r="G300" s="219" t="s">
        <v>1237</v>
      </c>
      <c r="H300" s="216" t="s">
        <v>265</v>
      </c>
      <c r="I300" s="216" t="s">
        <v>1137</v>
      </c>
    </row>
    <row r="301">
      <c r="A301" s="216" t="s">
        <v>1238</v>
      </c>
      <c r="B301" s="216" t="s">
        <v>1239</v>
      </c>
      <c r="C301" s="216" t="s">
        <v>1240</v>
      </c>
      <c r="D301" s="217">
        <v>45551.849224537036</v>
      </c>
      <c r="E301" s="217"/>
      <c r="F301" s="218" t="s">
        <v>503</v>
      </c>
      <c r="G301" s="219" t="s">
        <v>1241</v>
      </c>
      <c r="H301" s="216" t="s">
        <v>377</v>
      </c>
      <c r="I301" s="216" t="s">
        <v>1242</v>
      </c>
    </row>
    <row r="302">
      <c r="A302" s="216" t="s">
        <v>1243</v>
      </c>
      <c r="B302" s="216" t="s">
        <v>1239</v>
      </c>
      <c r="C302" s="216" t="s">
        <v>1244</v>
      </c>
      <c r="D302" s="217">
        <v>45549.63376157408</v>
      </c>
      <c r="E302" s="217"/>
      <c r="F302" s="218" t="s">
        <v>580</v>
      </c>
      <c r="G302" s="219" t="s">
        <v>1245</v>
      </c>
      <c r="H302" s="216" t="s">
        <v>283</v>
      </c>
      <c r="I302" s="216" t="s">
        <v>1242</v>
      </c>
    </row>
    <row r="303">
      <c r="A303" s="212" t="s">
        <v>1246</v>
      </c>
      <c r="B303" s="212" t="s">
        <v>1239</v>
      </c>
      <c r="C303" s="212" t="s">
        <v>1240</v>
      </c>
      <c r="D303" s="213">
        <v>45529.73234953704</v>
      </c>
      <c r="E303" s="213"/>
      <c r="F303" s="214" t="s">
        <v>380</v>
      </c>
      <c r="G303" s="215" t="s">
        <v>1247</v>
      </c>
      <c r="H303" s="212" t="s">
        <v>377</v>
      </c>
      <c r="I303" s="212" t="s">
        <v>1242</v>
      </c>
    </row>
    <row r="304">
      <c r="A304" s="216" t="s">
        <v>1248</v>
      </c>
      <c r="B304" s="216" t="s">
        <v>1239</v>
      </c>
      <c r="C304" s="216" t="s">
        <v>1249</v>
      </c>
      <c r="D304" s="217">
        <v>45527.811747685184</v>
      </c>
      <c r="E304" s="217"/>
      <c r="F304" s="218" t="s">
        <v>281</v>
      </c>
      <c r="G304" s="219" t="s">
        <v>282</v>
      </c>
      <c r="H304" s="216" t="s">
        <v>811</v>
      </c>
      <c r="I304" s="216" t="s">
        <v>1250</v>
      </c>
    </row>
    <row r="305">
      <c r="A305" s="212" t="s">
        <v>1251</v>
      </c>
      <c r="B305" s="212" t="s">
        <v>1239</v>
      </c>
      <c r="C305" s="212" t="s">
        <v>1252</v>
      </c>
      <c r="D305" s="213">
        <v>45514.45857638889</v>
      </c>
      <c r="E305" s="213"/>
      <c r="F305" s="214" t="s">
        <v>503</v>
      </c>
      <c r="G305" s="215" t="s">
        <v>1253</v>
      </c>
      <c r="H305" s="212" t="s">
        <v>377</v>
      </c>
      <c r="I305" s="212" t="s">
        <v>1242</v>
      </c>
    </row>
    <row r="306">
      <c r="A306" s="216" t="s">
        <v>1254</v>
      </c>
      <c r="B306" s="216" t="s">
        <v>1239</v>
      </c>
      <c r="C306" s="216" t="s">
        <v>1249</v>
      </c>
      <c r="D306" s="217">
        <v>45514.45788194444</v>
      </c>
      <c r="E306" s="217"/>
      <c r="F306" s="218" t="s">
        <v>281</v>
      </c>
      <c r="G306" s="219" t="s">
        <v>282</v>
      </c>
      <c r="H306" s="216" t="s">
        <v>811</v>
      </c>
      <c r="I306" s="216" t="s">
        <v>1250</v>
      </c>
    </row>
    <row r="307">
      <c r="A307" s="212" t="s">
        <v>1255</v>
      </c>
      <c r="B307" s="212" t="s">
        <v>1239</v>
      </c>
      <c r="C307" s="212" t="s">
        <v>1240</v>
      </c>
      <c r="D307" s="213">
        <v>45494.50709490741</v>
      </c>
      <c r="E307" s="213"/>
      <c r="F307" s="214" t="s">
        <v>380</v>
      </c>
      <c r="G307" s="215" t="s">
        <v>1256</v>
      </c>
      <c r="H307" s="212" t="s">
        <v>377</v>
      </c>
      <c r="I307" s="212" t="s">
        <v>1242</v>
      </c>
    </row>
    <row r="308">
      <c r="A308" s="212" t="s">
        <v>1257</v>
      </c>
      <c r="B308" s="212" t="s">
        <v>1239</v>
      </c>
      <c r="C308" s="212" t="s">
        <v>1258</v>
      </c>
      <c r="D308" s="213">
        <v>45494.503541666665</v>
      </c>
      <c r="E308" s="213"/>
      <c r="F308" s="214" t="s">
        <v>1259</v>
      </c>
      <c r="G308" s="215" t="s">
        <v>1260</v>
      </c>
      <c r="H308" s="212" t="s">
        <v>811</v>
      </c>
      <c r="I308" s="212" t="s">
        <v>1250</v>
      </c>
    </row>
    <row r="309">
      <c r="A309" s="216" t="s">
        <v>1261</v>
      </c>
      <c r="B309" s="216" t="s">
        <v>1239</v>
      </c>
      <c r="C309" s="216" t="s">
        <v>1252</v>
      </c>
      <c r="D309" s="217">
        <v>45485.893842592595</v>
      </c>
      <c r="E309" s="217"/>
      <c r="F309" s="218" t="s">
        <v>503</v>
      </c>
      <c r="G309" s="219" t="s">
        <v>1262</v>
      </c>
      <c r="H309" s="216" t="s">
        <v>377</v>
      </c>
      <c r="I309" s="216" t="s">
        <v>1242</v>
      </c>
    </row>
    <row r="310">
      <c r="A310" s="212" t="s">
        <v>1263</v>
      </c>
      <c r="B310" s="212" t="s">
        <v>1239</v>
      </c>
      <c r="C310" s="212" t="s">
        <v>1249</v>
      </c>
      <c r="D310" s="213">
        <v>45485.89313657407</v>
      </c>
      <c r="E310" s="213"/>
      <c r="F310" s="214" t="s">
        <v>281</v>
      </c>
      <c r="G310" s="215" t="s">
        <v>1264</v>
      </c>
      <c r="H310" s="212" t="s">
        <v>811</v>
      </c>
      <c r="I310" s="212" t="s">
        <v>1250</v>
      </c>
    </row>
    <row r="311">
      <c r="A311" s="216" t="s">
        <v>1261</v>
      </c>
      <c r="B311" s="216" t="s">
        <v>1239</v>
      </c>
      <c r="C311" s="216" t="s">
        <v>1252</v>
      </c>
      <c r="D311" s="217">
        <v>45485.893842592595</v>
      </c>
      <c r="E311" s="217"/>
      <c r="F311" s="218" t="s">
        <v>503</v>
      </c>
      <c r="G311" s="219" t="s">
        <v>1262</v>
      </c>
      <c r="H311" s="216" t="s">
        <v>377</v>
      </c>
      <c r="I311" s="216" t="s">
        <v>1242</v>
      </c>
    </row>
    <row r="312">
      <c r="A312" s="212" t="s">
        <v>1263</v>
      </c>
      <c r="B312" s="212" t="s">
        <v>1239</v>
      </c>
      <c r="C312" s="212" t="s">
        <v>1249</v>
      </c>
      <c r="D312" s="213">
        <v>45485.89313657407</v>
      </c>
      <c r="E312" s="213"/>
      <c r="F312" s="214" t="s">
        <v>281</v>
      </c>
      <c r="G312" s="215" t="s">
        <v>1264</v>
      </c>
      <c r="H312" s="212" t="s">
        <v>811</v>
      </c>
      <c r="I312" s="212" t="s">
        <v>1250</v>
      </c>
    </row>
    <row r="313">
      <c r="A313" s="212" t="s">
        <v>1265</v>
      </c>
      <c r="B313" s="212" t="s">
        <v>1239</v>
      </c>
      <c r="C313" s="212" t="s">
        <v>1240</v>
      </c>
      <c r="D313" s="213">
        <v>45475.858611111114</v>
      </c>
      <c r="E313" s="213"/>
      <c r="F313" s="214" t="s">
        <v>470</v>
      </c>
      <c r="G313" s="215" t="s">
        <v>1266</v>
      </c>
      <c r="H313" s="212" t="s">
        <v>377</v>
      </c>
      <c r="I313" s="212" t="s">
        <v>1242</v>
      </c>
    </row>
    <row r="314">
      <c r="A314" s="212" t="s">
        <v>1267</v>
      </c>
      <c r="B314" s="212" t="s">
        <v>1239</v>
      </c>
      <c r="C314" s="212" t="s">
        <v>1249</v>
      </c>
      <c r="D314" s="213">
        <v>45431.55383101852</v>
      </c>
      <c r="E314" s="213">
        <v>45431.35439814815</v>
      </c>
      <c r="F314" s="214" t="s">
        <v>281</v>
      </c>
      <c r="G314" s="215" t="s">
        <v>1268</v>
      </c>
      <c r="H314" s="212" t="s">
        <v>811</v>
      </c>
      <c r="I314" s="212" t="s">
        <v>1250</v>
      </c>
    </row>
    <row r="315">
      <c r="A315" s="216" t="s">
        <v>1269</v>
      </c>
      <c r="B315" s="216" t="s">
        <v>1239</v>
      </c>
      <c r="C315" s="216" t="s">
        <v>1252</v>
      </c>
      <c r="D315" s="217">
        <v>45707.827256944445</v>
      </c>
      <c r="E315" s="217">
        <v>45708.43059027778</v>
      </c>
      <c r="F315" s="218" t="s">
        <v>281</v>
      </c>
      <c r="G315" s="219" t="s">
        <v>1270</v>
      </c>
      <c r="H315" s="216" t="s">
        <v>377</v>
      </c>
      <c r="I315" s="216" t="s">
        <v>1242</v>
      </c>
    </row>
    <row r="316">
      <c r="A316" s="212" t="s">
        <v>1271</v>
      </c>
      <c r="B316" s="212" t="s">
        <v>1239</v>
      </c>
      <c r="C316" s="212" t="s">
        <v>1240</v>
      </c>
      <c r="D316" s="213">
        <v>45734.86478009259</v>
      </c>
      <c r="E316" s="213">
        <v>45734.87850694444</v>
      </c>
      <c r="F316" s="214" t="s">
        <v>503</v>
      </c>
      <c r="G316" s="215" t="s">
        <v>1051</v>
      </c>
      <c r="H316" s="212" t="s">
        <v>377</v>
      </c>
      <c r="I316" s="212" t="s">
        <v>1242</v>
      </c>
    </row>
    <row r="317">
      <c r="A317" s="212" t="s">
        <v>1272</v>
      </c>
      <c r="B317" s="212" t="s">
        <v>1239</v>
      </c>
      <c r="C317" s="212" t="s">
        <v>1258</v>
      </c>
      <c r="D317" s="213">
        <v>45760.90542824074</v>
      </c>
      <c r="E317" s="213">
        <v>45760.91322916667</v>
      </c>
      <c r="F317" s="214" t="s">
        <v>470</v>
      </c>
      <c r="G317" s="215" t="s">
        <v>1273</v>
      </c>
      <c r="H317" s="212" t="s">
        <v>811</v>
      </c>
      <c r="I317" s="212" t="s">
        <v>1250</v>
      </c>
    </row>
    <row r="318">
      <c r="A318" s="220" t="s">
        <v>1274</v>
      </c>
      <c r="B318" s="220" t="s">
        <v>1239</v>
      </c>
      <c r="C318" s="220" t="s">
        <v>1240</v>
      </c>
      <c r="D318" s="221">
        <v>45750.85109953704</v>
      </c>
      <c r="E318" s="221">
        <v>45750.864641203705</v>
      </c>
      <c r="F318" s="222" t="s">
        <v>1275</v>
      </c>
      <c r="G318" s="223" t="s">
        <v>1276</v>
      </c>
      <c r="H318" s="220" t="s">
        <v>377</v>
      </c>
      <c r="I318" s="220" t="s">
        <v>1242</v>
      </c>
    </row>
    <row r="319">
      <c r="A319" s="216" t="s">
        <v>1277</v>
      </c>
      <c r="B319" s="216" t="s">
        <v>1278</v>
      </c>
      <c r="C319" s="216" t="s">
        <v>1279</v>
      </c>
      <c r="D319" s="217">
        <v>45711.50098379629</v>
      </c>
      <c r="E319" s="217">
        <v>45711.5105787037</v>
      </c>
      <c r="F319" s="218" t="s">
        <v>250</v>
      </c>
      <c r="G319" s="219" t="s">
        <v>455</v>
      </c>
      <c r="H319" s="216" t="s">
        <v>265</v>
      </c>
      <c r="I319" s="216" t="s">
        <v>461</v>
      </c>
    </row>
    <row r="320">
      <c r="A320" s="216" t="s">
        <v>1280</v>
      </c>
      <c r="B320" s="216" t="s">
        <v>1278</v>
      </c>
      <c r="C320" s="216" t="s">
        <v>1279</v>
      </c>
      <c r="D320" s="217">
        <v>45703.76712962963</v>
      </c>
      <c r="E320" s="217">
        <v>45703.77782407407</v>
      </c>
      <c r="F320" s="218" t="s">
        <v>291</v>
      </c>
      <c r="G320" s="219" t="s">
        <v>577</v>
      </c>
      <c r="H320" s="216" t="s">
        <v>265</v>
      </c>
      <c r="I320" s="216" t="s">
        <v>461</v>
      </c>
    </row>
    <row r="321">
      <c r="A321" s="216" t="s">
        <v>1281</v>
      </c>
      <c r="B321" s="216" t="s">
        <v>1278</v>
      </c>
      <c r="C321" s="216" t="s">
        <v>1279</v>
      </c>
      <c r="D321" s="217">
        <v>45773.75800925926</v>
      </c>
      <c r="E321" s="217">
        <v>45773.767546296294</v>
      </c>
      <c r="F321" s="218" t="s">
        <v>459</v>
      </c>
      <c r="G321" s="219" t="s">
        <v>1282</v>
      </c>
      <c r="H321" s="216" t="s">
        <v>265</v>
      </c>
      <c r="I321" s="216" t="s">
        <v>461</v>
      </c>
    </row>
    <row r="322">
      <c r="A322" s="216" t="s">
        <v>1283</v>
      </c>
      <c r="B322" s="216" t="s">
        <v>1278</v>
      </c>
      <c r="C322" s="216" t="s">
        <v>1284</v>
      </c>
      <c r="D322" s="217">
        <v>45759.88361111111</v>
      </c>
      <c r="E322" s="217">
        <v>45759.892430555556</v>
      </c>
      <c r="F322" s="218" t="s">
        <v>281</v>
      </c>
      <c r="G322" s="219" t="s">
        <v>1285</v>
      </c>
      <c r="H322" s="216" t="s">
        <v>265</v>
      </c>
      <c r="I322" s="216" t="s">
        <v>461</v>
      </c>
    </row>
    <row r="323">
      <c r="A323" s="212" t="s">
        <v>1286</v>
      </c>
      <c r="B323" s="212" t="s">
        <v>1278</v>
      </c>
      <c r="C323" s="212" t="s">
        <v>1279</v>
      </c>
      <c r="D323" s="213">
        <v>45759.88050925926</v>
      </c>
      <c r="E323" s="213">
        <v>45759.88909722222</v>
      </c>
      <c r="F323" s="214" t="s">
        <v>250</v>
      </c>
      <c r="G323" s="215" t="s">
        <v>455</v>
      </c>
      <c r="H323" s="212" t="s">
        <v>265</v>
      </c>
      <c r="I323" s="212" t="s">
        <v>461</v>
      </c>
    </row>
    <row r="324">
      <c r="A324" s="216" t="s">
        <v>1287</v>
      </c>
      <c r="B324" s="216" t="s">
        <v>1288</v>
      </c>
      <c r="C324" s="216" t="s">
        <v>1289</v>
      </c>
      <c r="D324" s="217">
        <v>45542.612604166665</v>
      </c>
      <c r="E324" s="217"/>
      <c r="F324" s="218" t="s">
        <v>470</v>
      </c>
      <c r="G324" s="219" t="s">
        <v>1290</v>
      </c>
      <c r="H324" s="216" t="s">
        <v>265</v>
      </c>
      <c r="I324" s="216" t="s">
        <v>640</v>
      </c>
    </row>
    <row r="325">
      <c r="A325" s="212" t="s">
        <v>1291</v>
      </c>
      <c r="B325" s="212" t="s">
        <v>1288</v>
      </c>
      <c r="C325" s="212" t="s">
        <v>1289</v>
      </c>
      <c r="D325" s="213">
        <v>45711.43035879629</v>
      </c>
      <c r="E325" s="213">
        <v>45711.44106481481</v>
      </c>
      <c r="F325" s="214" t="s">
        <v>1142</v>
      </c>
      <c r="G325" s="215" t="s">
        <v>1292</v>
      </c>
      <c r="H325" s="212" t="s">
        <v>265</v>
      </c>
      <c r="I325" s="212" t="s">
        <v>640</v>
      </c>
    </row>
    <row r="326">
      <c r="A326" s="212" t="s">
        <v>1293</v>
      </c>
      <c r="B326" s="212" t="s">
        <v>1294</v>
      </c>
      <c r="C326" s="212" t="s">
        <v>1295</v>
      </c>
      <c r="D326" s="213">
        <v>45528.68150462963</v>
      </c>
      <c r="E326" s="213"/>
      <c r="F326" s="214" t="s">
        <v>291</v>
      </c>
      <c r="G326" s="215" t="s">
        <v>1296</v>
      </c>
      <c r="H326" s="212" t="s">
        <v>259</v>
      </c>
      <c r="I326" s="212" t="s">
        <v>626</v>
      </c>
    </row>
    <row r="327">
      <c r="A327" s="216" t="s">
        <v>1297</v>
      </c>
      <c r="B327" s="216" t="s">
        <v>1298</v>
      </c>
      <c r="C327" s="216" t="s">
        <v>1299</v>
      </c>
      <c r="D327" s="217">
        <v>45706.56319444445</v>
      </c>
      <c r="E327" s="217">
        <v>45707.45842592593</v>
      </c>
      <c r="F327" s="218" t="s">
        <v>1300</v>
      </c>
      <c r="G327" s="219" t="s">
        <v>1301</v>
      </c>
      <c r="H327" s="216" t="s">
        <v>356</v>
      </c>
      <c r="I327" s="216" t="s">
        <v>1302</v>
      </c>
    </row>
    <row r="328">
      <c r="A328" s="212" t="s">
        <v>1303</v>
      </c>
      <c r="B328" s="212" t="s">
        <v>1304</v>
      </c>
      <c r="C328" s="212" t="s">
        <v>1305</v>
      </c>
      <c r="D328" s="213">
        <v>45501.714583333334</v>
      </c>
      <c r="E328" s="213"/>
      <c r="F328" s="214" t="s">
        <v>250</v>
      </c>
      <c r="G328" s="215" t="s">
        <v>1306</v>
      </c>
      <c r="H328" s="212" t="s">
        <v>265</v>
      </c>
      <c r="I328" s="212" t="s">
        <v>260</v>
      </c>
    </row>
    <row r="329">
      <c r="A329" s="212" t="s">
        <v>1307</v>
      </c>
      <c r="B329" s="212" t="s">
        <v>1304</v>
      </c>
      <c r="C329" s="212" t="s">
        <v>1305</v>
      </c>
      <c r="D329" s="213">
        <v>45486.89577546297</v>
      </c>
      <c r="E329" s="213"/>
      <c r="F329" s="214" t="s">
        <v>339</v>
      </c>
      <c r="G329" s="215" t="s">
        <v>1308</v>
      </c>
      <c r="H329" s="212" t="s">
        <v>265</v>
      </c>
      <c r="I329" s="212" t="s">
        <v>260</v>
      </c>
    </row>
    <row r="330">
      <c r="A330" s="212" t="s">
        <v>1307</v>
      </c>
      <c r="B330" s="212" t="s">
        <v>1304</v>
      </c>
      <c r="C330" s="212" t="s">
        <v>1305</v>
      </c>
      <c r="D330" s="213">
        <v>45486.89577546297</v>
      </c>
      <c r="E330" s="213"/>
      <c r="F330" s="214" t="s">
        <v>339</v>
      </c>
      <c r="G330" s="215" t="s">
        <v>1308</v>
      </c>
      <c r="H330" s="212" t="s">
        <v>265</v>
      </c>
      <c r="I330" s="212" t="s">
        <v>260</v>
      </c>
    </row>
    <row r="331">
      <c r="A331" s="212" t="s">
        <v>1309</v>
      </c>
      <c r="B331" s="212" t="s">
        <v>1304</v>
      </c>
      <c r="C331" s="212" t="s">
        <v>1305</v>
      </c>
      <c r="D331" s="213">
        <v>45760.52821759259</v>
      </c>
      <c r="E331" s="213">
        <v>45760.604375</v>
      </c>
      <c r="F331" s="214" t="s">
        <v>317</v>
      </c>
      <c r="G331" s="215" t="s">
        <v>680</v>
      </c>
      <c r="H331" s="212" t="s">
        <v>259</v>
      </c>
      <c r="I331" s="212" t="s">
        <v>260</v>
      </c>
    </row>
    <row r="332">
      <c r="A332" s="212" t="s">
        <v>1310</v>
      </c>
      <c r="B332" s="212" t="s">
        <v>1311</v>
      </c>
      <c r="C332" s="212" t="s">
        <v>1312</v>
      </c>
      <c r="D332" s="213">
        <v>45550.84680555556</v>
      </c>
      <c r="E332" s="213"/>
      <c r="F332" s="214" t="s">
        <v>1313</v>
      </c>
      <c r="G332" s="215" t="s">
        <v>1314</v>
      </c>
      <c r="H332" s="212" t="s">
        <v>811</v>
      </c>
      <c r="I332" s="212" t="s">
        <v>1315</v>
      </c>
    </row>
    <row r="333">
      <c r="A333" s="212" t="s">
        <v>1316</v>
      </c>
      <c r="B333" s="212" t="s">
        <v>1311</v>
      </c>
      <c r="C333" s="212" t="s">
        <v>1312</v>
      </c>
      <c r="D333" s="213">
        <v>45549.71456018519</v>
      </c>
      <c r="E333" s="213"/>
      <c r="F333" s="214" t="s">
        <v>651</v>
      </c>
      <c r="G333" s="215" t="s">
        <v>1060</v>
      </c>
      <c r="H333" s="212" t="s">
        <v>811</v>
      </c>
      <c r="I333" s="212" t="s">
        <v>1315</v>
      </c>
    </row>
    <row r="334">
      <c r="A334" s="216" t="s">
        <v>1317</v>
      </c>
      <c r="B334" s="216" t="s">
        <v>1311</v>
      </c>
      <c r="C334" s="216" t="s">
        <v>1312</v>
      </c>
      <c r="D334" s="217">
        <v>45521.85444444444</v>
      </c>
      <c r="E334" s="217"/>
      <c r="F334" s="218" t="s">
        <v>538</v>
      </c>
      <c r="G334" s="219" t="s">
        <v>1318</v>
      </c>
      <c r="H334" s="216" t="s">
        <v>346</v>
      </c>
      <c r="I334" s="216" t="s">
        <v>1315</v>
      </c>
    </row>
    <row r="335">
      <c r="A335" s="216" t="s">
        <v>1319</v>
      </c>
      <c r="B335" s="216" t="s">
        <v>1311</v>
      </c>
      <c r="C335" s="216" t="s">
        <v>1312</v>
      </c>
      <c r="D335" s="217">
        <v>45508.71355324074</v>
      </c>
      <c r="E335" s="217"/>
      <c r="F335" s="218" t="s">
        <v>1320</v>
      </c>
      <c r="G335" s="219" t="s">
        <v>1321</v>
      </c>
      <c r="H335" s="216" t="s">
        <v>346</v>
      </c>
      <c r="I335" s="216" t="s">
        <v>1315</v>
      </c>
    </row>
    <row r="336">
      <c r="A336" s="216" t="s">
        <v>1322</v>
      </c>
      <c r="B336" s="216" t="s">
        <v>1311</v>
      </c>
      <c r="C336" s="216" t="s">
        <v>1323</v>
      </c>
      <c r="D336" s="217">
        <v>45473.76253472222</v>
      </c>
      <c r="E336" s="217"/>
      <c r="F336" s="218" t="s">
        <v>765</v>
      </c>
      <c r="G336" s="219" t="s">
        <v>1324</v>
      </c>
      <c r="H336" s="216" t="s">
        <v>346</v>
      </c>
      <c r="I336" s="216" t="s">
        <v>1315</v>
      </c>
    </row>
    <row r="337">
      <c r="A337" s="212" t="s">
        <v>1325</v>
      </c>
      <c r="B337" s="212" t="s">
        <v>1311</v>
      </c>
      <c r="C337" s="212" t="s">
        <v>1312</v>
      </c>
      <c r="D337" s="213">
        <v>45473.76173611111</v>
      </c>
      <c r="E337" s="213"/>
      <c r="F337" s="214" t="s">
        <v>1326</v>
      </c>
      <c r="G337" s="215" t="s">
        <v>1327</v>
      </c>
      <c r="H337" s="212" t="s">
        <v>811</v>
      </c>
      <c r="I337" s="212" t="s">
        <v>1315</v>
      </c>
    </row>
    <row r="338">
      <c r="A338" s="212" t="s">
        <v>1328</v>
      </c>
      <c r="B338" s="212" t="s">
        <v>1311</v>
      </c>
      <c r="C338" s="212" t="s">
        <v>1312</v>
      </c>
      <c r="D338" s="213">
        <v>45707.57467592593</v>
      </c>
      <c r="E338" s="213">
        <v>45707.58341435185</v>
      </c>
      <c r="F338" s="214" t="s">
        <v>991</v>
      </c>
      <c r="G338" s="215" t="s">
        <v>1329</v>
      </c>
      <c r="H338" s="212" t="s">
        <v>811</v>
      </c>
      <c r="I338" s="212" t="s">
        <v>1315</v>
      </c>
    </row>
    <row r="339">
      <c r="A339" s="216" t="s">
        <v>1330</v>
      </c>
      <c r="B339" s="216" t="s">
        <v>1311</v>
      </c>
      <c r="C339" s="216" t="s">
        <v>1312</v>
      </c>
      <c r="D339" s="217">
        <v>45746.59773148148</v>
      </c>
      <c r="E339" s="217">
        <v>45746.6078587963</v>
      </c>
      <c r="F339" s="218" t="s">
        <v>493</v>
      </c>
      <c r="G339" s="219" t="s">
        <v>1331</v>
      </c>
      <c r="H339" s="216" t="s">
        <v>811</v>
      </c>
      <c r="I339" s="216" t="s">
        <v>1315</v>
      </c>
    </row>
    <row r="340">
      <c r="A340" s="212" t="s">
        <v>1332</v>
      </c>
      <c r="B340" s="212" t="s">
        <v>1311</v>
      </c>
      <c r="C340" s="212" t="s">
        <v>1312</v>
      </c>
      <c r="D340" s="213">
        <v>45760.61888888889</v>
      </c>
      <c r="E340" s="213">
        <v>45760.62856481481</v>
      </c>
      <c r="F340" s="214" t="s">
        <v>1333</v>
      </c>
      <c r="G340" s="215" t="s">
        <v>1334</v>
      </c>
      <c r="H340" s="212" t="s">
        <v>811</v>
      </c>
      <c r="I340" s="212" t="s">
        <v>1315</v>
      </c>
    </row>
    <row r="341">
      <c r="A341" s="212" t="s">
        <v>1335</v>
      </c>
      <c r="B341" s="212" t="s">
        <v>1336</v>
      </c>
      <c r="C341" s="212" t="s">
        <v>1337</v>
      </c>
      <c r="D341" s="213">
        <v>45434.7587037037</v>
      </c>
      <c r="E341" s="213">
        <v>45435.30567129629</v>
      </c>
      <c r="F341" s="214" t="s">
        <v>1338</v>
      </c>
      <c r="G341" s="215" t="s">
        <v>1339</v>
      </c>
      <c r="H341" s="212" t="s">
        <v>377</v>
      </c>
      <c r="I341" s="212" t="s">
        <v>812</v>
      </c>
    </row>
    <row r="342">
      <c r="A342" s="212" t="s">
        <v>1340</v>
      </c>
      <c r="B342" s="212" t="s">
        <v>1341</v>
      </c>
      <c r="C342" s="212" t="s">
        <v>1342</v>
      </c>
      <c r="D342" s="213">
        <v>45712.849224537036</v>
      </c>
      <c r="E342" s="213">
        <v>45716.42019675926</v>
      </c>
      <c r="F342" s="214" t="s">
        <v>1343</v>
      </c>
      <c r="G342" s="215" t="s">
        <v>1344</v>
      </c>
      <c r="H342" s="212" t="s">
        <v>1345</v>
      </c>
      <c r="I342" s="212" t="s">
        <v>461</v>
      </c>
    </row>
    <row r="343">
      <c r="A343" s="216" t="s">
        <v>1346</v>
      </c>
      <c r="B343" s="216" t="s">
        <v>1347</v>
      </c>
      <c r="C343" s="216" t="s">
        <v>1348</v>
      </c>
      <c r="D343" s="217">
        <v>45714.83849537037</v>
      </c>
      <c r="E343" s="217">
        <v>45715.718831018516</v>
      </c>
      <c r="F343" s="218" t="s">
        <v>281</v>
      </c>
      <c r="G343" s="219" t="s">
        <v>1349</v>
      </c>
      <c r="H343" s="216" t="s">
        <v>259</v>
      </c>
      <c r="I343" s="216" t="s">
        <v>666</v>
      </c>
    </row>
    <row r="344">
      <c r="A344" s="212" t="s">
        <v>1350</v>
      </c>
      <c r="B344" s="212" t="s">
        <v>1347</v>
      </c>
      <c r="C344" s="212" t="s">
        <v>1348</v>
      </c>
      <c r="D344" s="213">
        <v>45776.48394675926</v>
      </c>
      <c r="E344" s="213">
        <v>45783.89246527778</v>
      </c>
      <c r="F344" s="214" t="s">
        <v>1259</v>
      </c>
      <c r="G344" s="215" t="s">
        <v>1351</v>
      </c>
      <c r="H344" s="212" t="s">
        <v>259</v>
      </c>
      <c r="I344" s="212" t="s">
        <v>666</v>
      </c>
    </row>
    <row r="345">
      <c r="A345" s="212" t="s">
        <v>1352</v>
      </c>
      <c r="B345" s="212" t="s">
        <v>1353</v>
      </c>
      <c r="C345" s="212" t="s">
        <v>1354</v>
      </c>
      <c r="D345" s="213">
        <v>45542.4503587963</v>
      </c>
      <c r="E345" s="213"/>
      <c r="F345" s="214" t="s">
        <v>503</v>
      </c>
      <c r="G345" s="215" t="s">
        <v>503</v>
      </c>
      <c r="H345" s="212" t="s">
        <v>1355</v>
      </c>
      <c r="I345" s="212" t="s">
        <v>1356</v>
      </c>
    </row>
    <row r="346">
      <c r="A346" s="212" t="s">
        <v>1357</v>
      </c>
      <c r="B346" s="212" t="s">
        <v>1353</v>
      </c>
      <c r="C346" s="212" t="s">
        <v>1358</v>
      </c>
      <c r="D346" s="213">
        <v>45501.758125</v>
      </c>
      <c r="E346" s="213"/>
      <c r="F346" s="214" t="s">
        <v>1359</v>
      </c>
      <c r="G346" s="215" t="s">
        <v>1359</v>
      </c>
      <c r="H346" s="212" t="s">
        <v>1355</v>
      </c>
      <c r="I346" s="212" t="s">
        <v>1356</v>
      </c>
    </row>
    <row r="347">
      <c r="A347" s="216" t="s">
        <v>1360</v>
      </c>
      <c r="B347" s="216" t="s">
        <v>1361</v>
      </c>
      <c r="C347" s="216" t="s">
        <v>1362</v>
      </c>
      <c r="D347" s="217">
        <v>45465.778819444444</v>
      </c>
      <c r="E347" s="224"/>
      <c r="F347" s="218" t="s">
        <v>706</v>
      </c>
      <c r="G347" s="219" t="s">
        <v>1363</v>
      </c>
      <c r="H347" s="216" t="s">
        <v>561</v>
      </c>
      <c r="I347" s="216" t="s">
        <v>567</v>
      </c>
    </row>
    <row r="348">
      <c r="A348" s="212" t="s">
        <v>1364</v>
      </c>
      <c r="B348" s="212" t="s">
        <v>1365</v>
      </c>
      <c r="C348" s="212" t="s">
        <v>1366</v>
      </c>
      <c r="D348" s="213">
        <v>45531.91224537037</v>
      </c>
      <c r="E348" s="213"/>
      <c r="F348" s="214" t="s">
        <v>1367</v>
      </c>
      <c r="G348" s="215" t="s">
        <v>1368</v>
      </c>
      <c r="H348" s="212" t="s">
        <v>265</v>
      </c>
      <c r="I348" s="212" t="s">
        <v>567</v>
      </c>
    </row>
    <row r="349">
      <c r="A349" s="212" t="s">
        <v>1369</v>
      </c>
      <c r="B349" s="212" t="s">
        <v>1370</v>
      </c>
      <c r="C349" s="212" t="s">
        <v>1371</v>
      </c>
      <c r="D349" s="213">
        <v>45529.831030092595</v>
      </c>
      <c r="E349" s="213"/>
      <c r="F349" s="214" t="s">
        <v>291</v>
      </c>
      <c r="G349" s="215" t="s">
        <v>1372</v>
      </c>
      <c r="H349" s="212" t="s">
        <v>811</v>
      </c>
      <c r="I349" s="212" t="s">
        <v>357</v>
      </c>
    </row>
    <row r="350">
      <c r="A350" s="212" t="s">
        <v>1373</v>
      </c>
      <c r="B350" s="212" t="s">
        <v>1374</v>
      </c>
      <c r="C350" s="212" t="s">
        <v>1375</v>
      </c>
      <c r="D350" s="213">
        <v>45458.47723379629</v>
      </c>
      <c r="E350" s="213">
        <v>45458.29211805556</v>
      </c>
      <c r="F350" s="214" t="s">
        <v>498</v>
      </c>
      <c r="G350" s="215" t="s">
        <v>1376</v>
      </c>
      <c r="H350" s="212" t="s">
        <v>265</v>
      </c>
      <c r="I350" s="212" t="s">
        <v>1377</v>
      </c>
    </row>
    <row r="351">
      <c r="A351" s="216" t="s">
        <v>1378</v>
      </c>
      <c r="B351" s="216" t="s">
        <v>1374</v>
      </c>
      <c r="C351" s="216" t="s">
        <v>1374</v>
      </c>
      <c r="D351" s="217">
        <v>45458.474965277775</v>
      </c>
      <c r="E351" s="217">
        <v>45458.29539351852</v>
      </c>
      <c r="F351" s="218" t="s">
        <v>435</v>
      </c>
      <c r="G351" s="219" t="s">
        <v>1379</v>
      </c>
      <c r="H351" s="216" t="s">
        <v>259</v>
      </c>
      <c r="I351" s="216" t="s">
        <v>1380</v>
      </c>
    </row>
    <row r="352">
      <c r="A352" s="216" t="s">
        <v>1381</v>
      </c>
      <c r="B352" s="216" t="s">
        <v>1382</v>
      </c>
      <c r="C352" s="216" t="s">
        <v>1383</v>
      </c>
      <c r="D352" s="217">
        <v>45747.48001157407</v>
      </c>
      <c r="E352" s="217">
        <v>45748.819560185184</v>
      </c>
      <c r="F352" s="218" t="s">
        <v>439</v>
      </c>
      <c r="G352" s="219" t="s">
        <v>440</v>
      </c>
      <c r="H352" s="216" t="s">
        <v>259</v>
      </c>
      <c r="I352" s="216" t="s">
        <v>1384</v>
      </c>
    </row>
    <row r="353">
      <c r="A353" s="212" t="s">
        <v>1385</v>
      </c>
      <c r="B353" s="212" t="s">
        <v>1386</v>
      </c>
      <c r="C353" s="212" t="s">
        <v>1387</v>
      </c>
      <c r="D353" s="213">
        <v>45494.902708333335</v>
      </c>
      <c r="E353" s="213"/>
      <c r="F353" s="214" t="s">
        <v>706</v>
      </c>
      <c r="G353" s="215" t="s">
        <v>1388</v>
      </c>
      <c r="H353" s="212" t="s">
        <v>265</v>
      </c>
      <c r="I353" s="212" t="s">
        <v>1384</v>
      </c>
    </row>
    <row r="354">
      <c r="A354" s="212" t="s">
        <v>1389</v>
      </c>
      <c r="B354" s="212" t="s">
        <v>1386</v>
      </c>
      <c r="C354" s="212" t="s">
        <v>1390</v>
      </c>
      <c r="D354" s="213">
        <v>45494.56599537037</v>
      </c>
      <c r="E354" s="213"/>
      <c r="F354" s="214" t="s">
        <v>269</v>
      </c>
      <c r="G354" s="215" t="s">
        <v>1391</v>
      </c>
      <c r="H354" s="212" t="s">
        <v>259</v>
      </c>
      <c r="I354" s="212" t="s">
        <v>1384</v>
      </c>
    </row>
    <row r="355">
      <c r="A355" s="216" t="s">
        <v>1392</v>
      </c>
      <c r="B355" s="216" t="s">
        <v>1386</v>
      </c>
      <c r="C355" s="216" t="s">
        <v>1387</v>
      </c>
      <c r="D355" s="217">
        <v>45494.565567129626</v>
      </c>
      <c r="E355" s="224"/>
      <c r="F355" s="218" t="s">
        <v>706</v>
      </c>
      <c r="G355" s="219" t="s">
        <v>1388</v>
      </c>
      <c r="H355" s="216" t="s">
        <v>561</v>
      </c>
      <c r="I355" s="216" t="s">
        <v>1384</v>
      </c>
    </row>
    <row r="356">
      <c r="A356" s="216" t="s">
        <v>1393</v>
      </c>
      <c r="B356" s="216" t="s">
        <v>1386</v>
      </c>
      <c r="C356" s="216" t="s">
        <v>1387</v>
      </c>
      <c r="D356" s="217">
        <v>45479.81957175926</v>
      </c>
      <c r="E356" s="217"/>
      <c r="F356" s="218" t="s">
        <v>1394</v>
      </c>
      <c r="G356" s="219" t="s">
        <v>1395</v>
      </c>
      <c r="H356" s="216" t="s">
        <v>561</v>
      </c>
      <c r="I356" s="216" t="s">
        <v>1384</v>
      </c>
    </row>
    <row r="357">
      <c r="A357" s="212" t="s">
        <v>1396</v>
      </c>
      <c r="B357" s="212" t="s">
        <v>1397</v>
      </c>
      <c r="C357" s="212" t="s">
        <v>1398</v>
      </c>
      <c r="D357" s="213">
        <v>45486.759571759256</v>
      </c>
      <c r="E357" s="213"/>
      <c r="F357" s="214" t="s">
        <v>431</v>
      </c>
      <c r="G357" s="215" t="s">
        <v>1399</v>
      </c>
      <c r="H357" s="212" t="s">
        <v>356</v>
      </c>
      <c r="I357" s="212" t="s">
        <v>946</v>
      </c>
    </row>
    <row r="358">
      <c r="A358" s="212" t="s">
        <v>1396</v>
      </c>
      <c r="B358" s="212" t="s">
        <v>1397</v>
      </c>
      <c r="C358" s="212" t="s">
        <v>1398</v>
      </c>
      <c r="D358" s="213">
        <v>45486.759571759256</v>
      </c>
      <c r="E358" s="213"/>
      <c r="F358" s="214" t="s">
        <v>431</v>
      </c>
      <c r="G358" s="215" t="s">
        <v>1399</v>
      </c>
      <c r="H358" s="212" t="s">
        <v>356</v>
      </c>
      <c r="I358" s="212" t="s">
        <v>946</v>
      </c>
    </row>
    <row r="359">
      <c r="A359" s="212" t="s">
        <v>1400</v>
      </c>
      <c r="B359" s="212" t="s">
        <v>1397</v>
      </c>
      <c r="C359" s="212" t="s">
        <v>944</v>
      </c>
      <c r="D359" s="213">
        <v>45481.757210648146</v>
      </c>
      <c r="E359" s="213"/>
      <c r="F359" s="214" t="s">
        <v>431</v>
      </c>
      <c r="G359" s="215" t="s">
        <v>1399</v>
      </c>
      <c r="H359" s="212" t="s">
        <v>356</v>
      </c>
      <c r="I359" s="212" t="s">
        <v>946</v>
      </c>
    </row>
    <row r="360">
      <c r="A360" s="216" t="s">
        <v>1401</v>
      </c>
      <c r="B360" s="216" t="s">
        <v>1397</v>
      </c>
      <c r="C360" s="216" t="s">
        <v>1398</v>
      </c>
      <c r="D360" s="217">
        <v>45465.57178240741</v>
      </c>
      <c r="E360" s="217"/>
      <c r="F360" s="218" t="s">
        <v>431</v>
      </c>
      <c r="G360" s="219" t="s">
        <v>1399</v>
      </c>
      <c r="H360" s="216" t="s">
        <v>356</v>
      </c>
      <c r="I360" s="216" t="s">
        <v>946</v>
      </c>
    </row>
    <row r="361">
      <c r="A361" s="216" t="s">
        <v>1402</v>
      </c>
      <c r="B361" s="216" t="s">
        <v>1397</v>
      </c>
      <c r="C361" s="216" t="s">
        <v>1398</v>
      </c>
      <c r="D361" s="217">
        <v>45459.45825231481</v>
      </c>
      <c r="E361" s="217">
        <v>45459.57297453703</v>
      </c>
      <c r="F361" s="218" t="s">
        <v>431</v>
      </c>
      <c r="G361" s="219" t="s">
        <v>1399</v>
      </c>
      <c r="H361" s="216" t="s">
        <v>356</v>
      </c>
      <c r="I361" s="216" t="s">
        <v>946</v>
      </c>
    </row>
    <row r="362">
      <c r="A362" s="212" t="s">
        <v>1403</v>
      </c>
      <c r="B362" s="212" t="s">
        <v>1397</v>
      </c>
      <c r="C362" s="212" t="s">
        <v>1398</v>
      </c>
      <c r="D362" s="213">
        <v>45451.87278935185</v>
      </c>
      <c r="E362" s="213">
        <v>45452.40289351852</v>
      </c>
      <c r="F362" s="214" t="s">
        <v>431</v>
      </c>
      <c r="G362" s="215" t="s">
        <v>1404</v>
      </c>
      <c r="H362" s="212" t="s">
        <v>356</v>
      </c>
      <c r="I362" s="212" t="s">
        <v>946</v>
      </c>
    </row>
    <row r="363">
      <c r="A363" s="212" t="s">
        <v>1405</v>
      </c>
      <c r="B363" s="212" t="s">
        <v>879</v>
      </c>
      <c r="C363" s="212" t="s">
        <v>1406</v>
      </c>
      <c r="D363" s="213">
        <v>45745.90688657408</v>
      </c>
      <c r="E363" s="213">
        <v>45746.694502314815</v>
      </c>
      <c r="F363" s="214" t="s">
        <v>503</v>
      </c>
      <c r="G363" s="215" t="s">
        <v>1407</v>
      </c>
      <c r="H363" s="212" t="s">
        <v>259</v>
      </c>
      <c r="I363" s="212" t="s">
        <v>260</v>
      </c>
    </row>
    <row r="364">
      <c r="A364" s="212" t="s">
        <v>1408</v>
      </c>
      <c r="B364" s="212" t="s">
        <v>1409</v>
      </c>
      <c r="C364" s="212" t="s">
        <v>1410</v>
      </c>
      <c r="D364" s="213">
        <v>45759.66043981481</v>
      </c>
      <c r="E364" s="213">
        <v>45761.54530092593</v>
      </c>
      <c r="F364" s="214" t="s">
        <v>291</v>
      </c>
      <c r="G364" s="215" t="s">
        <v>1411</v>
      </c>
      <c r="H364" s="212" t="s">
        <v>811</v>
      </c>
      <c r="I364" s="212" t="s">
        <v>357</v>
      </c>
    </row>
    <row r="365">
      <c r="A365" s="212" t="s">
        <v>1412</v>
      </c>
      <c r="B365" s="212" t="s">
        <v>1413</v>
      </c>
      <c r="C365" s="212" t="s">
        <v>1414</v>
      </c>
      <c r="D365" s="213">
        <v>45704.69158564815</v>
      </c>
      <c r="E365" s="213">
        <v>45704.70165509259</v>
      </c>
      <c r="F365" s="214" t="s">
        <v>291</v>
      </c>
      <c r="G365" s="215" t="s">
        <v>1415</v>
      </c>
      <c r="H365" s="212" t="s">
        <v>259</v>
      </c>
      <c r="I365" s="212" t="s">
        <v>578</v>
      </c>
    </row>
    <row r="366">
      <c r="A366" s="212" t="s">
        <v>1416</v>
      </c>
      <c r="B366" s="212" t="s">
        <v>1413</v>
      </c>
      <c r="C366" s="212" t="s">
        <v>1417</v>
      </c>
      <c r="D366" s="213">
        <v>45746.8344212963</v>
      </c>
      <c r="E366" s="213">
        <v>45746.84725694444</v>
      </c>
      <c r="F366" s="214" t="s">
        <v>1418</v>
      </c>
      <c r="G366" s="215" t="s">
        <v>1419</v>
      </c>
      <c r="H366" s="212" t="s">
        <v>561</v>
      </c>
      <c r="I366" s="212" t="s">
        <v>578</v>
      </c>
    </row>
    <row r="367">
      <c r="A367" s="216" t="s">
        <v>1420</v>
      </c>
      <c r="B367" s="216" t="s">
        <v>1421</v>
      </c>
      <c r="C367" s="216" t="s">
        <v>1422</v>
      </c>
      <c r="D367" s="217">
        <v>45437.55899305556</v>
      </c>
      <c r="E367" s="217">
        <v>45437.36142361111</v>
      </c>
      <c r="F367" s="218" t="s">
        <v>442</v>
      </c>
      <c r="G367" s="219" t="s">
        <v>1423</v>
      </c>
      <c r="H367" s="216" t="s">
        <v>265</v>
      </c>
      <c r="I367" s="216" t="s">
        <v>1424</v>
      </c>
    </row>
    <row r="368">
      <c r="A368" s="212" t="s">
        <v>1425</v>
      </c>
      <c r="B368" s="212" t="s">
        <v>1426</v>
      </c>
      <c r="C368" s="212" t="s">
        <v>1427</v>
      </c>
      <c r="D368" s="213">
        <v>45704.78954861111</v>
      </c>
      <c r="E368" s="213">
        <v>45705.750185185185</v>
      </c>
      <c r="F368" s="214" t="s">
        <v>1428</v>
      </c>
      <c r="G368" s="215" t="s">
        <v>1429</v>
      </c>
      <c r="H368" s="212" t="s">
        <v>356</v>
      </c>
      <c r="I368" s="212" t="s">
        <v>1430</v>
      </c>
    </row>
    <row r="369">
      <c r="A369" s="212" t="s">
        <v>1431</v>
      </c>
      <c r="B369" s="212" t="s">
        <v>1426</v>
      </c>
      <c r="C369" s="212" t="s">
        <v>1427</v>
      </c>
      <c r="D369" s="213">
        <v>45774.49528935185</v>
      </c>
      <c r="E369" s="213">
        <v>45775.56263888889</v>
      </c>
      <c r="F369" s="214" t="s">
        <v>1432</v>
      </c>
      <c r="G369" s="215" t="s">
        <v>1433</v>
      </c>
      <c r="H369" s="212" t="s">
        <v>356</v>
      </c>
      <c r="I369" s="212" t="s">
        <v>1430</v>
      </c>
    </row>
    <row r="370">
      <c r="A370" s="216" t="s">
        <v>1434</v>
      </c>
      <c r="B370" s="216" t="s">
        <v>1426</v>
      </c>
      <c r="C370" s="216" t="s">
        <v>1435</v>
      </c>
      <c r="D370" s="217">
        <v>45774.46403935185</v>
      </c>
      <c r="E370" s="217">
        <v>45775.25350694444</v>
      </c>
      <c r="F370" s="218" t="s">
        <v>1436</v>
      </c>
      <c r="G370" s="219" t="s">
        <v>1437</v>
      </c>
      <c r="H370" s="216" t="s">
        <v>795</v>
      </c>
      <c r="I370" s="216" t="s">
        <v>946</v>
      </c>
    </row>
    <row r="371">
      <c r="A371" s="212" t="s">
        <v>1438</v>
      </c>
      <c r="B371" s="212" t="s">
        <v>1439</v>
      </c>
      <c r="C371" s="212" t="s">
        <v>1440</v>
      </c>
      <c r="D371" s="213">
        <v>45714.8419212963</v>
      </c>
      <c r="E371" s="213">
        <v>45716.57996527778</v>
      </c>
      <c r="F371" s="214" t="s">
        <v>538</v>
      </c>
      <c r="G371" s="215" t="s">
        <v>1441</v>
      </c>
      <c r="H371" s="212" t="s">
        <v>259</v>
      </c>
      <c r="I371" s="212" t="s">
        <v>626</v>
      </c>
    </row>
    <row r="372">
      <c r="A372" s="216" t="s">
        <v>1442</v>
      </c>
      <c r="B372" s="216" t="s">
        <v>1439</v>
      </c>
      <c r="C372" s="216" t="s">
        <v>1443</v>
      </c>
      <c r="D372" s="217">
        <v>45714.84108796297</v>
      </c>
      <c r="E372" s="217">
        <v>45714.895844907405</v>
      </c>
      <c r="F372" s="218" t="s">
        <v>431</v>
      </c>
      <c r="G372" s="219" t="s">
        <v>1444</v>
      </c>
      <c r="H372" s="216" t="s">
        <v>259</v>
      </c>
      <c r="I372" s="216" t="s">
        <v>626</v>
      </c>
    </row>
    <row r="373">
      <c r="A373" s="212" t="s">
        <v>1445</v>
      </c>
      <c r="B373" s="212" t="s">
        <v>1439</v>
      </c>
      <c r="C373" s="212" t="s">
        <v>1443</v>
      </c>
      <c r="D373" s="213">
        <v>45749.88104166667</v>
      </c>
      <c r="E373" s="213">
        <v>45750.548680555556</v>
      </c>
      <c r="F373" s="214" t="s">
        <v>431</v>
      </c>
      <c r="G373" s="215" t="s">
        <v>1446</v>
      </c>
      <c r="H373" s="212" t="s">
        <v>259</v>
      </c>
      <c r="I373" s="212" t="s">
        <v>626</v>
      </c>
    </row>
    <row r="374">
      <c r="A374" s="212" t="s">
        <v>1447</v>
      </c>
      <c r="B374" s="212" t="s">
        <v>1448</v>
      </c>
      <c r="C374" s="212" t="s">
        <v>1449</v>
      </c>
      <c r="D374" s="213">
        <v>45552.623877314814</v>
      </c>
      <c r="E374" s="213"/>
      <c r="F374" s="214" t="s">
        <v>1450</v>
      </c>
      <c r="G374" s="215" t="s">
        <v>1451</v>
      </c>
      <c r="H374" s="212" t="s">
        <v>265</v>
      </c>
      <c r="I374" s="212" t="s">
        <v>1452</v>
      </c>
    </row>
    <row r="375">
      <c r="A375" s="212" t="s">
        <v>1453</v>
      </c>
      <c r="B375" s="212" t="s">
        <v>1448</v>
      </c>
      <c r="C375" s="212" t="s">
        <v>1449</v>
      </c>
      <c r="D375" s="213">
        <v>45546.75226851852</v>
      </c>
      <c r="E375" s="213"/>
      <c r="F375" s="214" t="s">
        <v>470</v>
      </c>
      <c r="G375" s="215" t="s">
        <v>1454</v>
      </c>
      <c r="H375" s="212" t="s">
        <v>265</v>
      </c>
      <c r="I375" s="212" t="s">
        <v>1452</v>
      </c>
    </row>
    <row r="376">
      <c r="A376" s="212" t="s">
        <v>1455</v>
      </c>
      <c r="B376" s="212" t="s">
        <v>1448</v>
      </c>
      <c r="C376" s="212" t="s">
        <v>1449</v>
      </c>
      <c r="D376" s="213">
        <v>45526.78050925926</v>
      </c>
      <c r="E376" s="213"/>
      <c r="F376" s="214" t="s">
        <v>722</v>
      </c>
      <c r="G376" s="215" t="s">
        <v>1456</v>
      </c>
      <c r="H376" s="212" t="s">
        <v>265</v>
      </c>
      <c r="I376" s="212" t="s">
        <v>1452</v>
      </c>
    </row>
    <row r="377">
      <c r="A377" s="216" t="s">
        <v>1457</v>
      </c>
      <c r="B377" s="216" t="s">
        <v>1448</v>
      </c>
      <c r="C377" s="216" t="s">
        <v>1449</v>
      </c>
      <c r="D377" s="217">
        <v>45504.73653935185</v>
      </c>
      <c r="E377" s="217"/>
      <c r="F377" s="218" t="s">
        <v>1458</v>
      </c>
      <c r="G377" s="219" t="s">
        <v>1459</v>
      </c>
      <c r="H377" s="216" t="s">
        <v>265</v>
      </c>
      <c r="I377" s="216" t="s">
        <v>1452</v>
      </c>
    </row>
    <row r="378">
      <c r="A378" s="212" t="s">
        <v>1460</v>
      </c>
      <c r="B378" s="212" t="s">
        <v>1448</v>
      </c>
      <c r="C378" s="212" t="s">
        <v>1461</v>
      </c>
      <c r="D378" s="213">
        <v>45504.73505787037</v>
      </c>
      <c r="E378" s="213"/>
      <c r="F378" s="214" t="s">
        <v>1105</v>
      </c>
      <c r="G378" s="215" t="s">
        <v>1106</v>
      </c>
      <c r="H378" s="212" t="s">
        <v>265</v>
      </c>
      <c r="I378" s="212" t="s">
        <v>500</v>
      </c>
    </row>
    <row r="379">
      <c r="A379" s="212" t="s">
        <v>1462</v>
      </c>
      <c r="B379" s="212" t="s">
        <v>1448</v>
      </c>
      <c r="C379" s="212" t="s">
        <v>1461</v>
      </c>
      <c r="D379" s="213">
        <v>45709.64219907407</v>
      </c>
      <c r="E379" s="213">
        <v>45709.6528587963</v>
      </c>
      <c r="F379" s="214" t="s">
        <v>281</v>
      </c>
      <c r="G379" s="215" t="s">
        <v>1285</v>
      </c>
      <c r="H379" s="212" t="s">
        <v>265</v>
      </c>
      <c r="I379" s="212" t="s">
        <v>500</v>
      </c>
    </row>
    <row r="380">
      <c r="A380" s="216" t="s">
        <v>1463</v>
      </c>
      <c r="B380" s="216" t="s">
        <v>1464</v>
      </c>
      <c r="C380" s="216" t="s">
        <v>1465</v>
      </c>
      <c r="D380" s="217">
        <v>45551.83122685185</v>
      </c>
      <c r="E380" s="217"/>
      <c r="F380" s="218" t="s">
        <v>297</v>
      </c>
      <c r="G380" s="219" t="s">
        <v>1466</v>
      </c>
      <c r="H380" s="216" t="s">
        <v>265</v>
      </c>
      <c r="I380" s="216" t="s">
        <v>567</v>
      </c>
    </row>
    <row r="381">
      <c r="A381" s="216" t="s">
        <v>1467</v>
      </c>
      <c r="B381" s="216" t="s">
        <v>1464</v>
      </c>
      <c r="C381" s="216" t="s">
        <v>1465</v>
      </c>
      <c r="D381" s="217">
        <v>45530.84918981481</v>
      </c>
      <c r="E381" s="217"/>
      <c r="F381" s="218" t="s">
        <v>297</v>
      </c>
      <c r="G381" s="219" t="s">
        <v>1468</v>
      </c>
      <c r="H381" s="216" t="s">
        <v>265</v>
      </c>
      <c r="I381" s="216" t="s">
        <v>567</v>
      </c>
    </row>
    <row r="382">
      <c r="A382" s="212" t="s">
        <v>1469</v>
      </c>
      <c r="B382" s="212" t="s">
        <v>1464</v>
      </c>
      <c r="C382" s="212" t="s">
        <v>1465</v>
      </c>
      <c r="D382" s="213">
        <v>45523.83795138889</v>
      </c>
      <c r="E382" s="213"/>
      <c r="F382" s="214" t="s">
        <v>297</v>
      </c>
      <c r="G382" s="215" t="s">
        <v>1470</v>
      </c>
      <c r="H382" s="212" t="s">
        <v>265</v>
      </c>
      <c r="I382" s="212" t="s">
        <v>567</v>
      </c>
    </row>
    <row r="383">
      <c r="A383" s="212" t="s">
        <v>1469</v>
      </c>
      <c r="B383" s="212" t="s">
        <v>1464</v>
      </c>
      <c r="C383" s="212" t="s">
        <v>1465</v>
      </c>
      <c r="D383" s="213">
        <v>45523.83795138889</v>
      </c>
      <c r="E383" s="213"/>
      <c r="F383" s="214" t="s">
        <v>297</v>
      </c>
      <c r="G383" s="215" t="s">
        <v>1470</v>
      </c>
      <c r="H383" s="212" t="s">
        <v>265</v>
      </c>
      <c r="I383" s="212" t="s">
        <v>567</v>
      </c>
    </row>
    <row r="384">
      <c r="A384" s="212" t="s">
        <v>1471</v>
      </c>
      <c r="B384" s="212" t="s">
        <v>1464</v>
      </c>
      <c r="C384" s="212" t="s">
        <v>1465</v>
      </c>
      <c r="D384" s="213">
        <v>45516.85289351852</v>
      </c>
      <c r="E384" s="213"/>
      <c r="F384" s="214" t="s">
        <v>297</v>
      </c>
      <c r="G384" s="215" t="s">
        <v>1472</v>
      </c>
      <c r="H384" s="212" t="s">
        <v>265</v>
      </c>
      <c r="I384" s="212" t="s">
        <v>567</v>
      </c>
    </row>
    <row r="385">
      <c r="A385" s="212" t="s">
        <v>1473</v>
      </c>
      <c r="B385" s="212" t="s">
        <v>1464</v>
      </c>
      <c r="C385" s="212" t="s">
        <v>1474</v>
      </c>
      <c r="D385" s="213">
        <v>45473.79112268519</v>
      </c>
      <c r="E385" s="213"/>
      <c r="F385" s="214" t="s">
        <v>297</v>
      </c>
      <c r="G385" s="215" t="s">
        <v>1475</v>
      </c>
      <c r="H385" s="212" t="s">
        <v>1476</v>
      </c>
      <c r="I385" s="212" t="s">
        <v>567</v>
      </c>
    </row>
    <row r="386">
      <c r="A386" s="212" t="s">
        <v>1477</v>
      </c>
      <c r="B386" s="212" t="s">
        <v>1464</v>
      </c>
      <c r="C386" s="212" t="s">
        <v>1474</v>
      </c>
      <c r="D386" s="213">
        <v>45760.743263888886</v>
      </c>
      <c r="E386" s="213">
        <v>45760.75709490741</v>
      </c>
      <c r="F386" s="214" t="s">
        <v>317</v>
      </c>
      <c r="G386" s="215" t="s">
        <v>1478</v>
      </c>
      <c r="H386" s="212" t="s">
        <v>1476</v>
      </c>
      <c r="I386" s="212" t="s">
        <v>567</v>
      </c>
    </row>
    <row r="387">
      <c r="A387" s="212" t="s">
        <v>1479</v>
      </c>
      <c r="B387" s="212" t="s">
        <v>1480</v>
      </c>
      <c r="C387" s="212" t="s">
        <v>1481</v>
      </c>
      <c r="D387" s="213">
        <v>45702.89875</v>
      </c>
      <c r="E387" s="213">
        <v>45702.98263888889</v>
      </c>
      <c r="F387" s="214" t="s">
        <v>1259</v>
      </c>
      <c r="G387" s="215" t="s">
        <v>1482</v>
      </c>
      <c r="H387" s="212" t="s">
        <v>259</v>
      </c>
      <c r="I387" s="212" t="s">
        <v>1483</v>
      </c>
    </row>
    <row r="388">
      <c r="A388" s="216" t="s">
        <v>1484</v>
      </c>
      <c r="B388" s="216" t="s">
        <v>1485</v>
      </c>
      <c r="C388" s="216" t="s">
        <v>1486</v>
      </c>
      <c r="D388" s="217">
        <v>45549.597974537035</v>
      </c>
      <c r="E388" s="225"/>
      <c r="F388" s="218" t="s">
        <v>1487</v>
      </c>
      <c r="G388" s="219" t="s">
        <v>1488</v>
      </c>
      <c r="H388" s="216" t="s">
        <v>259</v>
      </c>
      <c r="I388" s="216" t="s">
        <v>640</v>
      </c>
    </row>
    <row r="389">
      <c r="A389" s="212" t="s">
        <v>1489</v>
      </c>
      <c r="B389" s="212" t="s">
        <v>1490</v>
      </c>
      <c r="C389" s="212" t="s">
        <v>1491</v>
      </c>
      <c r="D389" s="213">
        <v>45471.890069444446</v>
      </c>
      <c r="E389" s="213"/>
      <c r="F389" s="214" t="s">
        <v>498</v>
      </c>
      <c r="G389" s="215" t="s">
        <v>1492</v>
      </c>
      <c r="H389" s="212" t="s">
        <v>535</v>
      </c>
      <c r="I389" s="212" t="s">
        <v>1493</v>
      </c>
    </row>
    <row r="390">
      <c r="A390" s="216" t="s">
        <v>1494</v>
      </c>
      <c r="B390" s="216" t="s">
        <v>1495</v>
      </c>
      <c r="C390" s="216" t="s">
        <v>1496</v>
      </c>
      <c r="D390" s="217">
        <v>45535.84291666667</v>
      </c>
      <c r="E390" s="217"/>
      <c r="F390" s="218" t="s">
        <v>435</v>
      </c>
      <c r="G390" s="219" t="s">
        <v>1497</v>
      </c>
      <c r="H390" s="216" t="s">
        <v>377</v>
      </c>
      <c r="I390" s="216" t="s">
        <v>1498</v>
      </c>
    </row>
    <row r="391">
      <c r="A391" s="212" t="s">
        <v>1499</v>
      </c>
      <c r="B391" s="212" t="s">
        <v>1495</v>
      </c>
      <c r="C391" s="212" t="s">
        <v>1496</v>
      </c>
      <c r="D391" s="213">
        <v>45499.83819444444</v>
      </c>
      <c r="E391" s="213"/>
      <c r="F391" s="214" t="s">
        <v>730</v>
      </c>
      <c r="G391" s="215" t="s">
        <v>1500</v>
      </c>
      <c r="H391" s="212" t="s">
        <v>377</v>
      </c>
      <c r="I391" s="212" t="s">
        <v>1498</v>
      </c>
    </row>
    <row r="392">
      <c r="A392" s="212" t="s">
        <v>1501</v>
      </c>
      <c r="B392" s="212" t="s">
        <v>1495</v>
      </c>
      <c r="C392" s="212" t="s">
        <v>1496</v>
      </c>
      <c r="D392" s="213">
        <v>45486.837175925924</v>
      </c>
      <c r="E392" s="213"/>
      <c r="F392" s="214" t="s">
        <v>435</v>
      </c>
      <c r="G392" s="215" t="s">
        <v>1502</v>
      </c>
      <c r="H392" s="212" t="s">
        <v>377</v>
      </c>
      <c r="I392" s="212" t="s">
        <v>1498</v>
      </c>
    </row>
    <row r="393">
      <c r="A393" s="212" t="s">
        <v>1501</v>
      </c>
      <c r="B393" s="212" t="s">
        <v>1495</v>
      </c>
      <c r="C393" s="212" t="s">
        <v>1496</v>
      </c>
      <c r="D393" s="213">
        <v>45486.837175925924</v>
      </c>
      <c r="E393" s="213"/>
      <c r="F393" s="214" t="s">
        <v>435</v>
      </c>
      <c r="G393" s="215" t="s">
        <v>1502</v>
      </c>
      <c r="H393" s="212" t="s">
        <v>377</v>
      </c>
      <c r="I393" s="212" t="s">
        <v>1498</v>
      </c>
    </row>
    <row r="394">
      <c r="A394" s="216" t="s">
        <v>1503</v>
      </c>
      <c r="B394" s="216" t="s">
        <v>1495</v>
      </c>
      <c r="C394" s="216" t="s">
        <v>1496</v>
      </c>
      <c r="D394" s="217">
        <v>45468.87054398148</v>
      </c>
      <c r="E394" s="217"/>
      <c r="F394" s="218" t="s">
        <v>435</v>
      </c>
      <c r="G394" s="219" t="s">
        <v>1504</v>
      </c>
      <c r="H394" s="216" t="s">
        <v>377</v>
      </c>
      <c r="I394" s="216" t="s">
        <v>1498</v>
      </c>
    </row>
    <row r="395">
      <c r="A395" s="212" t="s">
        <v>1505</v>
      </c>
      <c r="B395" s="212" t="s">
        <v>1495</v>
      </c>
      <c r="C395" s="212" t="s">
        <v>1496</v>
      </c>
      <c r="D395" s="213">
        <v>45443.80457175926</v>
      </c>
      <c r="E395" s="213">
        <v>45443.61814814815</v>
      </c>
      <c r="F395" s="214" t="s">
        <v>658</v>
      </c>
      <c r="G395" s="215" t="s">
        <v>1506</v>
      </c>
      <c r="H395" s="212" t="s">
        <v>377</v>
      </c>
      <c r="I395" s="212" t="s">
        <v>1498</v>
      </c>
    </row>
    <row r="396">
      <c r="A396" s="216" t="s">
        <v>1507</v>
      </c>
      <c r="B396" s="216" t="s">
        <v>1508</v>
      </c>
      <c r="C396" s="216" t="s">
        <v>1509</v>
      </c>
      <c r="D396" s="217">
        <v>45455.89976851852</v>
      </c>
      <c r="E396" s="217">
        <v>45455.70141203704</v>
      </c>
      <c r="F396" s="218" t="s">
        <v>1510</v>
      </c>
      <c r="G396" s="219" t="s">
        <v>1511</v>
      </c>
      <c r="H396" s="216" t="s">
        <v>265</v>
      </c>
      <c r="I396" s="216" t="s">
        <v>1512</v>
      </c>
    </row>
    <row r="397">
      <c r="A397" s="216" t="s">
        <v>1513</v>
      </c>
      <c r="B397" s="216" t="s">
        <v>1514</v>
      </c>
      <c r="C397" s="216" t="s">
        <v>1515</v>
      </c>
      <c r="D397" s="217">
        <v>45482.830462962964</v>
      </c>
      <c r="E397" s="217"/>
      <c r="F397" s="218" t="s">
        <v>730</v>
      </c>
      <c r="G397" s="219" t="s">
        <v>1516</v>
      </c>
      <c r="H397" s="216" t="s">
        <v>561</v>
      </c>
      <c r="I397" s="216" t="s">
        <v>1517</v>
      </c>
    </row>
    <row r="398">
      <c r="A398" s="216" t="s">
        <v>1518</v>
      </c>
      <c r="B398" s="216" t="s">
        <v>1519</v>
      </c>
      <c r="C398" s="216" t="s">
        <v>1520</v>
      </c>
      <c r="D398" s="217">
        <v>45734.84657407407</v>
      </c>
      <c r="E398" s="217">
        <v>45736.53476851852</v>
      </c>
      <c r="F398" s="218" t="s">
        <v>281</v>
      </c>
      <c r="G398" s="219" t="s">
        <v>1521</v>
      </c>
      <c r="H398" s="216" t="s">
        <v>259</v>
      </c>
      <c r="I398" s="216" t="s">
        <v>313</v>
      </c>
    </row>
    <row r="399">
      <c r="A399" s="216" t="s">
        <v>1522</v>
      </c>
      <c r="B399" s="216" t="s">
        <v>1523</v>
      </c>
      <c r="C399" s="216" t="s">
        <v>1524</v>
      </c>
      <c r="D399" s="217">
        <v>45471.88527777778</v>
      </c>
      <c r="E399" s="217"/>
      <c r="F399" s="218" t="s">
        <v>1124</v>
      </c>
      <c r="G399" s="219" t="s">
        <v>1525</v>
      </c>
      <c r="H399" s="216" t="s">
        <v>259</v>
      </c>
      <c r="I399" s="216" t="s">
        <v>1526</v>
      </c>
    </row>
    <row r="400">
      <c r="A400" s="212" t="s">
        <v>1527</v>
      </c>
      <c r="B400" s="212" t="s">
        <v>1523</v>
      </c>
      <c r="C400" s="212" t="s">
        <v>1524</v>
      </c>
      <c r="D400" s="213">
        <v>45471.884664351855</v>
      </c>
      <c r="E400" s="227"/>
      <c r="F400" s="214" t="s">
        <v>391</v>
      </c>
      <c r="G400" s="215" t="s">
        <v>877</v>
      </c>
      <c r="H400" s="212" t="s">
        <v>259</v>
      </c>
      <c r="I400" s="212" t="s">
        <v>1526</v>
      </c>
    </row>
    <row r="401">
      <c r="A401" s="216" t="s">
        <v>1528</v>
      </c>
      <c r="B401" s="216" t="s">
        <v>1529</v>
      </c>
      <c r="C401" s="216" t="s">
        <v>1530</v>
      </c>
      <c r="D401" s="217">
        <v>45747.877847222226</v>
      </c>
      <c r="E401" s="217">
        <v>45747.899375</v>
      </c>
      <c r="F401" s="218" t="s">
        <v>1531</v>
      </c>
      <c r="G401" s="219" t="s">
        <v>1532</v>
      </c>
      <c r="H401" s="216" t="s">
        <v>377</v>
      </c>
      <c r="I401" s="216" t="s">
        <v>1533</v>
      </c>
    </row>
    <row r="402">
      <c r="A402" s="216" t="s">
        <v>1534</v>
      </c>
      <c r="B402" s="216" t="s">
        <v>1535</v>
      </c>
      <c r="C402" s="216" t="s">
        <v>1536</v>
      </c>
      <c r="D402" s="217">
        <v>45431.72672453704</v>
      </c>
      <c r="E402" s="217">
        <v>45433.368125</v>
      </c>
      <c r="F402" s="218" t="s">
        <v>488</v>
      </c>
      <c r="G402" s="219" t="s">
        <v>1537</v>
      </c>
      <c r="H402" s="216" t="s">
        <v>795</v>
      </c>
      <c r="I402" s="216" t="s">
        <v>796</v>
      </c>
    </row>
    <row r="403">
      <c r="A403" s="212" t="s">
        <v>1538</v>
      </c>
      <c r="B403" s="212" t="s">
        <v>1539</v>
      </c>
      <c r="C403" s="212" t="s">
        <v>1540</v>
      </c>
      <c r="D403" s="213">
        <v>45714.436793981484</v>
      </c>
      <c r="E403" s="213">
        <v>45714.534780092596</v>
      </c>
      <c r="F403" s="214" t="s">
        <v>291</v>
      </c>
      <c r="G403" s="215" t="s">
        <v>1541</v>
      </c>
      <c r="H403" s="212" t="s">
        <v>416</v>
      </c>
      <c r="I403" s="212" t="s">
        <v>1542</v>
      </c>
    </row>
    <row r="404">
      <c r="A404" s="216" t="s">
        <v>1543</v>
      </c>
      <c r="B404" s="216" t="s">
        <v>1539</v>
      </c>
      <c r="C404" s="216" t="s">
        <v>1540</v>
      </c>
      <c r="D404" s="217">
        <v>45706.43388888889</v>
      </c>
      <c r="E404" s="217">
        <v>45707.5312962963</v>
      </c>
      <c r="F404" s="218" t="s">
        <v>291</v>
      </c>
      <c r="G404" s="219" t="s">
        <v>577</v>
      </c>
      <c r="H404" s="216" t="s">
        <v>416</v>
      </c>
      <c r="I404" s="216" t="s">
        <v>1542</v>
      </c>
    </row>
    <row r="405">
      <c r="A405" s="212" t="s">
        <v>1544</v>
      </c>
      <c r="B405" s="212" t="s">
        <v>1545</v>
      </c>
      <c r="C405" s="212" t="s">
        <v>1546</v>
      </c>
      <c r="D405" s="213">
        <v>45449.81884259259</v>
      </c>
      <c r="E405" s="213">
        <v>45449.62165509259</v>
      </c>
      <c r="F405" s="214" t="s">
        <v>439</v>
      </c>
      <c r="G405" s="215" t="s">
        <v>1547</v>
      </c>
      <c r="H405" s="212" t="s">
        <v>265</v>
      </c>
      <c r="I405" s="212" t="s">
        <v>260</v>
      </c>
    </row>
    <row r="406">
      <c r="A406" s="220" t="s">
        <v>1548</v>
      </c>
      <c r="B406" s="220" t="s">
        <v>1545</v>
      </c>
      <c r="C406" s="220" t="s">
        <v>1546</v>
      </c>
      <c r="D406" s="221">
        <v>45431.43392361111</v>
      </c>
      <c r="E406" s="221">
        <v>45431.23616898148</v>
      </c>
      <c r="F406" s="222" t="s">
        <v>257</v>
      </c>
      <c r="G406" s="223" t="s">
        <v>1549</v>
      </c>
      <c r="H406" s="220" t="s">
        <v>265</v>
      </c>
      <c r="I406" s="220" t="s">
        <v>260</v>
      </c>
    </row>
    <row r="407">
      <c r="A407" s="216" t="s">
        <v>1550</v>
      </c>
      <c r="B407" s="216" t="s">
        <v>1551</v>
      </c>
      <c r="C407" s="216" t="s">
        <v>1552</v>
      </c>
      <c r="D407" s="217">
        <v>45544.80648148148</v>
      </c>
      <c r="E407" s="217"/>
      <c r="F407" s="218" t="s">
        <v>1553</v>
      </c>
      <c r="G407" s="219" t="s">
        <v>1554</v>
      </c>
      <c r="H407" s="216" t="s">
        <v>811</v>
      </c>
      <c r="I407" s="216" t="s">
        <v>357</v>
      </c>
    </row>
    <row r="408">
      <c r="A408" s="212" t="s">
        <v>1555</v>
      </c>
      <c r="B408" s="212" t="s">
        <v>1551</v>
      </c>
      <c r="C408" s="212" t="s">
        <v>1552</v>
      </c>
      <c r="D408" s="213">
        <v>45527.859375</v>
      </c>
      <c r="E408" s="213"/>
      <c r="F408" s="214" t="s">
        <v>1556</v>
      </c>
      <c r="G408" s="215" t="s">
        <v>1557</v>
      </c>
      <c r="H408" s="212" t="s">
        <v>377</v>
      </c>
      <c r="I408" s="212" t="s">
        <v>357</v>
      </c>
    </row>
    <row r="409">
      <c r="A409" s="216" t="s">
        <v>1558</v>
      </c>
      <c r="B409" s="216" t="s">
        <v>1551</v>
      </c>
      <c r="C409" s="216" t="s">
        <v>1559</v>
      </c>
      <c r="D409" s="217">
        <v>45508.85041666667</v>
      </c>
      <c r="E409" s="217"/>
      <c r="F409" s="218" t="s">
        <v>651</v>
      </c>
      <c r="G409" s="219" t="s">
        <v>1560</v>
      </c>
      <c r="H409" s="216" t="s">
        <v>811</v>
      </c>
      <c r="I409" s="216" t="s">
        <v>357</v>
      </c>
    </row>
    <row r="410">
      <c r="A410" s="216" t="s">
        <v>1561</v>
      </c>
      <c r="B410" s="216" t="s">
        <v>1551</v>
      </c>
      <c r="C410" s="216" t="s">
        <v>1552</v>
      </c>
      <c r="D410" s="217">
        <v>45473.72723379629</v>
      </c>
      <c r="E410" s="217"/>
      <c r="F410" s="218" t="s">
        <v>1275</v>
      </c>
      <c r="G410" s="219" t="s">
        <v>1562</v>
      </c>
      <c r="H410" s="216" t="s">
        <v>377</v>
      </c>
      <c r="I410" s="216" t="s">
        <v>357</v>
      </c>
    </row>
    <row r="411">
      <c r="A411" s="216" t="s">
        <v>1563</v>
      </c>
      <c r="B411" s="216" t="s">
        <v>1551</v>
      </c>
      <c r="C411" s="216" t="s">
        <v>1564</v>
      </c>
      <c r="D411" s="217">
        <v>45775.614375</v>
      </c>
      <c r="E411" s="217">
        <v>45776.46884259259</v>
      </c>
      <c r="F411" s="218" t="s">
        <v>658</v>
      </c>
      <c r="G411" s="219" t="s">
        <v>1565</v>
      </c>
      <c r="H411" s="216" t="s">
        <v>811</v>
      </c>
      <c r="I411" s="216" t="s">
        <v>357</v>
      </c>
    </row>
    <row r="412">
      <c r="A412" s="212" t="s">
        <v>1566</v>
      </c>
      <c r="B412" s="212" t="s">
        <v>1551</v>
      </c>
      <c r="C412" s="212" t="s">
        <v>1564</v>
      </c>
      <c r="D412" s="213">
        <v>45774.727013888885</v>
      </c>
      <c r="E412" s="227"/>
      <c r="F412" s="214" t="s">
        <v>658</v>
      </c>
      <c r="G412" s="215" t="s">
        <v>1565</v>
      </c>
      <c r="H412" s="212" t="s">
        <v>377</v>
      </c>
      <c r="I412" s="212" t="s">
        <v>357</v>
      </c>
    </row>
    <row r="413">
      <c r="A413" s="212" t="s">
        <v>1567</v>
      </c>
      <c r="B413" s="212" t="s">
        <v>1568</v>
      </c>
      <c r="C413" s="212" t="s">
        <v>1569</v>
      </c>
      <c r="D413" s="213">
        <v>45773.4966087963</v>
      </c>
      <c r="E413" s="213">
        <v>45773.73275462963</v>
      </c>
      <c r="F413" s="214" t="s">
        <v>459</v>
      </c>
      <c r="G413" s="215" t="s">
        <v>1570</v>
      </c>
      <c r="H413" s="212" t="s">
        <v>356</v>
      </c>
      <c r="I413" s="212" t="s">
        <v>1571</v>
      </c>
    </row>
    <row r="414">
      <c r="A414" s="220" t="s">
        <v>1572</v>
      </c>
      <c r="B414" s="220" t="s">
        <v>1568</v>
      </c>
      <c r="C414" s="220" t="s">
        <v>1569</v>
      </c>
      <c r="D414" s="221">
        <v>45773.49576388889</v>
      </c>
      <c r="E414" s="228"/>
      <c r="F414" s="222" t="s">
        <v>391</v>
      </c>
      <c r="G414" s="223" t="s">
        <v>485</v>
      </c>
      <c r="H414" s="220" t="s">
        <v>356</v>
      </c>
      <c r="I414" s="220" t="s">
        <v>1571</v>
      </c>
    </row>
    <row r="415">
      <c r="A415" s="216" t="s">
        <v>1573</v>
      </c>
      <c r="B415" s="216" t="s">
        <v>1574</v>
      </c>
      <c r="C415" s="216" t="s">
        <v>1575</v>
      </c>
      <c r="D415" s="217">
        <v>45550.64643518518</v>
      </c>
      <c r="E415" s="217"/>
      <c r="F415" s="218" t="s">
        <v>503</v>
      </c>
      <c r="G415" s="219" t="s">
        <v>1576</v>
      </c>
      <c r="H415" s="216" t="s">
        <v>259</v>
      </c>
      <c r="I415" s="216" t="s">
        <v>467</v>
      </c>
    </row>
    <row r="416">
      <c r="A416" s="212" t="s">
        <v>1577</v>
      </c>
      <c r="B416" s="212" t="s">
        <v>1574</v>
      </c>
      <c r="C416" s="212" t="s">
        <v>1578</v>
      </c>
      <c r="D416" s="213">
        <v>45550.645844907405</v>
      </c>
      <c r="E416" s="213"/>
      <c r="F416" s="214" t="s">
        <v>339</v>
      </c>
      <c r="G416" s="215" t="s">
        <v>1579</v>
      </c>
      <c r="H416" s="212" t="s">
        <v>265</v>
      </c>
      <c r="I416" s="212" t="s">
        <v>1580</v>
      </c>
    </row>
    <row r="417">
      <c r="A417" s="216" t="s">
        <v>1581</v>
      </c>
      <c r="B417" s="216" t="s">
        <v>1574</v>
      </c>
      <c r="C417" s="216" t="s">
        <v>1575</v>
      </c>
      <c r="D417" s="217">
        <v>45543.592152777775</v>
      </c>
      <c r="E417" s="217"/>
      <c r="F417" s="218" t="s">
        <v>872</v>
      </c>
      <c r="G417" s="219" t="s">
        <v>1582</v>
      </c>
      <c r="H417" s="216" t="s">
        <v>259</v>
      </c>
      <c r="I417" s="216" t="s">
        <v>467</v>
      </c>
    </row>
    <row r="418">
      <c r="A418" s="212" t="s">
        <v>1583</v>
      </c>
      <c r="B418" s="212" t="s">
        <v>1574</v>
      </c>
      <c r="C418" s="212" t="s">
        <v>1578</v>
      </c>
      <c r="D418" s="213">
        <v>45538.50560185185</v>
      </c>
      <c r="E418" s="213"/>
      <c r="F418" s="214" t="s">
        <v>503</v>
      </c>
      <c r="G418" s="215" t="s">
        <v>1584</v>
      </c>
      <c r="H418" s="212" t="s">
        <v>265</v>
      </c>
      <c r="I418" s="212" t="s">
        <v>1580</v>
      </c>
    </row>
    <row r="419">
      <c r="A419" s="212" t="s">
        <v>1585</v>
      </c>
      <c r="B419" s="212" t="s">
        <v>1574</v>
      </c>
      <c r="C419" s="212" t="s">
        <v>1578</v>
      </c>
      <c r="D419" s="213">
        <v>45528.9080787037</v>
      </c>
      <c r="E419" s="213"/>
      <c r="F419" s="214" t="s">
        <v>281</v>
      </c>
      <c r="G419" s="215" t="s">
        <v>1586</v>
      </c>
      <c r="H419" s="212" t="s">
        <v>265</v>
      </c>
      <c r="I419" s="212" t="s">
        <v>1580</v>
      </c>
    </row>
    <row r="420">
      <c r="A420" s="216" t="s">
        <v>1587</v>
      </c>
      <c r="B420" s="216" t="s">
        <v>1574</v>
      </c>
      <c r="C420" s="216" t="s">
        <v>1578</v>
      </c>
      <c r="D420" s="217">
        <v>45521.89184027778</v>
      </c>
      <c r="E420" s="217"/>
      <c r="F420" s="218" t="s">
        <v>281</v>
      </c>
      <c r="G420" s="219" t="s">
        <v>1588</v>
      </c>
      <c r="H420" s="216" t="s">
        <v>265</v>
      </c>
      <c r="I420" s="216" t="s">
        <v>1580</v>
      </c>
    </row>
    <row r="421">
      <c r="A421" s="212" t="s">
        <v>1589</v>
      </c>
      <c r="B421" s="212" t="s">
        <v>1574</v>
      </c>
      <c r="C421" s="212" t="s">
        <v>1575</v>
      </c>
      <c r="D421" s="213">
        <v>45515.545960648145</v>
      </c>
      <c r="E421" s="213"/>
      <c r="F421" s="214" t="s">
        <v>250</v>
      </c>
      <c r="G421" s="215" t="s">
        <v>1590</v>
      </c>
      <c r="H421" s="212" t="s">
        <v>259</v>
      </c>
      <c r="I421" s="212" t="s">
        <v>467</v>
      </c>
    </row>
    <row r="422">
      <c r="A422" s="216" t="s">
        <v>1591</v>
      </c>
      <c r="B422" s="216" t="s">
        <v>1574</v>
      </c>
      <c r="C422" s="216" t="s">
        <v>1578</v>
      </c>
      <c r="D422" s="217">
        <v>45515.54497685185</v>
      </c>
      <c r="E422" s="217"/>
      <c r="F422" s="218" t="s">
        <v>730</v>
      </c>
      <c r="G422" s="219" t="s">
        <v>1592</v>
      </c>
      <c r="H422" s="216" t="s">
        <v>265</v>
      </c>
      <c r="I422" s="216" t="s">
        <v>1580</v>
      </c>
    </row>
    <row r="423">
      <c r="A423" s="216" t="s">
        <v>1593</v>
      </c>
      <c r="B423" s="216" t="s">
        <v>1574</v>
      </c>
      <c r="C423" s="216" t="s">
        <v>1578</v>
      </c>
      <c r="D423" s="217">
        <v>45508.50127314815</v>
      </c>
      <c r="E423" s="217"/>
      <c r="F423" s="218" t="s">
        <v>470</v>
      </c>
      <c r="G423" s="219" t="s">
        <v>1594</v>
      </c>
      <c r="H423" s="216" t="s">
        <v>265</v>
      </c>
      <c r="I423" s="216" t="s">
        <v>1580</v>
      </c>
    </row>
    <row r="424">
      <c r="A424" s="216" t="s">
        <v>1595</v>
      </c>
      <c r="B424" s="216" t="s">
        <v>1574</v>
      </c>
      <c r="C424" s="216" t="s">
        <v>1578</v>
      </c>
      <c r="D424" s="217">
        <v>45504.80616898148</v>
      </c>
      <c r="E424" s="217"/>
      <c r="F424" s="218" t="s">
        <v>431</v>
      </c>
      <c r="G424" s="219" t="s">
        <v>1596</v>
      </c>
      <c r="H424" s="216" t="s">
        <v>265</v>
      </c>
      <c r="I424" s="216" t="s">
        <v>1580</v>
      </c>
    </row>
    <row r="425">
      <c r="A425" s="216" t="s">
        <v>1597</v>
      </c>
      <c r="B425" s="216" t="s">
        <v>1574</v>
      </c>
      <c r="C425" s="216" t="s">
        <v>1575</v>
      </c>
      <c r="D425" s="217">
        <v>45501.51849537037</v>
      </c>
      <c r="E425" s="217"/>
      <c r="F425" s="218" t="s">
        <v>1082</v>
      </c>
      <c r="G425" s="219" t="s">
        <v>1598</v>
      </c>
      <c r="H425" s="216" t="s">
        <v>259</v>
      </c>
      <c r="I425" s="216" t="s">
        <v>467</v>
      </c>
    </row>
    <row r="426">
      <c r="A426" s="212" t="s">
        <v>1599</v>
      </c>
      <c r="B426" s="212" t="s">
        <v>1574</v>
      </c>
      <c r="C426" s="212" t="s">
        <v>1600</v>
      </c>
      <c r="D426" s="213">
        <v>45501.51609953704</v>
      </c>
      <c r="E426" s="213"/>
      <c r="F426" s="214" t="s">
        <v>1105</v>
      </c>
      <c r="G426" s="215" t="s">
        <v>1601</v>
      </c>
      <c r="H426" s="212" t="s">
        <v>265</v>
      </c>
      <c r="I426" s="212" t="s">
        <v>1080</v>
      </c>
    </row>
    <row r="427">
      <c r="A427" s="212" t="s">
        <v>1602</v>
      </c>
      <c r="B427" s="212" t="s">
        <v>1574</v>
      </c>
      <c r="C427" s="212" t="s">
        <v>1578</v>
      </c>
      <c r="D427" s="213">
        <v>45494.633425925924</v>
      </c>
      <c r="E427" s="213"/>
      <c r="F427" s="214" t="s">
        <v>281</v>
      </c>
      <c r="G427" s="215" t="s">
        <v>1603</v>
      </c>
      <c r="H427" s="212" t="s">
        <v>265</v>
      </c>
      <c r="I427" s="212" t="s">
        <v>1580</v>
      </c>
    </row>
    <row r="428">
      <c r="A428" s="212" t="s">
        <v>1604</v>
      </c>
      <c r="B428" s="212" t="s">
        <v>1574</v>
      </c>
      <c r="C428" s="212" t="s">
        <v>1600</v>
      </c>
      <c r="D428" s="213">
        <v>45469.86729166667</v>
      </c>
      <c r="E428" s="213"/>
      <c r="F428" s="214" t="s">
        <v>580</v>
      </c>
      <c r="G428" s="215" t="s">
        <v>1605</v>
      </c>
      <c r="H428" s="212" t="s">
        <v>265</v>
      </c>
      <c r="I428" s="212" t="s">
        <v>1080</v>
      </c>
    </row>
    <row r="429">
      <c r="A429" s="216" t="s">
        <v>1606</v>
      </c>
      <c r="B429" s="216" t="s">
        <v>1574</v>
      </c>
      <c r="C429" s="216" t="s">
        <v>1600</v>
      </c>
      <c r="D429" s="217">
        <v>45712.9056712963</v>
      </c>
      <c r="E429" s="217">
        <v>45712.91667824074</v>
      </c>
      <c r="F429" s="218" t="s">
        <v>1607</v>
      </c>
      <c r="G429" s="219" t="s">
        <v>1608</v>
      </c>
      <c r="H429" s="216" t="s">
        <v>265</v>
      </c>
      <c r="I429" s="216" t="s">
        <v>1080</v>
      </c>
    </row>
    <row r="430">
      <c r="A430" s="216" t="s">
        <v>1609</v>
      </c>
      <c r="B430" s="216" t="s">
        <v>1574</v>
      </c>
      <c r="C430" s="216" t="s">
        <v>1575</v>
      </c>
      <c r="D430" s="217">
        <v>45745.84978009259</v>
      </c>
      <c r="E430" s="217">
        <v>45745.85774305555</v>
      </c>
      <c r="F430" s="218" t="s">
        <v>470</v>
      </c>
      <c r="G430" s="219" t="s">
        <v>790</v>
      </c>
      <c r="H430" s="216" t="s">
        <v>259</v>
      </c>
      <c r="I430" s="216" t="s">
        <v>467</v>
      </c>
    </row>
    <row r="431">
      <c r="A431" s="212" t="s">
        <v>1610</v>
      </c>
      <c r="B431" s="212" t="s">
        <v>1574</v>
      </c>
      <c r="C431" s="212" t="s">
        <v>1611</v>
      </c>
      <c r="D431" s="213">
        <v>45745.84884259259</v>
      </c>
      <c r="E431" s="213">
        <v>45745.85775462963</v>
      </c>
      <c r="F431" s="214" t="s">
        <v>291</v>
      </c>
      <c r="G431" s="215" t="s">
        <v>577</v>
      </c>
      <c r="H431" s="212" t="s">
        <v>265</v>
      </c>
      <c r="I431" s="212" t="s">
        <v>1080</v>
      </c>
    </row>
    <row r="432">
      <c r="A432" s="216" t="s">
        <v>1612</v>
      </c>
      <c r="B432" s="216" t="s">
        <v>1574</v>
      </c>
      <c r="C432" s="216" t="s">
        <v>1575</v>
      </c>
      <c r="D432" s="217">
        <v>45760.61997685185</v>
      </c>
      <c r="E432" s="217">
        <v>45760.62857638889</v>
      </c>
      <c r="F432" s="218" t="s">
        <v>470</v>
      </c>
      <c r="G432" s="219" t="s">
        <v>790</v>
      </c>
      <c r="H432" s="216" t="s">
        <v>259</v>
      </c>
      <c r="I432" s="216" t="s">
        <v>467</v>
      </c>
    </row>
    <row r="433">
      <c r="A433" s="216" t="s">
        <v>1613</v>
      </c>
      <c r="B433" s="216" t="s">
        <v>1614</v>
      </c>
      <c r="C433" s="216" t="s">
        <v>1615</v>
      </c>
      <c r="D433" s="217">
        <v>45707.572546296295</v>
      </c>
      <c r="E433" s="217">
        <v>45707.725752314815</v>
      </c>
      <c r="F433" s="218" t="s">
        <v>509</v>
      </c>
      <c r="G433" s="219" t="s">
        <v>1616</v>
      </c>
      <c r="H433" s="216" t="s">
        <v>377</v>
      </c>
      <c r="I433" s="216" t="s">
        <v>930</v>
      </c>
    </row>
    <row r="434">
      <c r="A434" s="216" t="s">
        <v>1617</v>
      </c>
      <c r="B434" s="216" t="s">
        <v>1618</v>
      </c>
      <c r="C434" s="216" t="s">
        <v>1619</v>
      </c>
      <c r="D434" s="217">
        <v>45524.83828703704</v>
      </c>
      <c r="E434" s="217"/>
      <c r="F434" s="218" t="s">
        <v>706</v>
      </c>
      <c r="G434" s="219" t="s">
        <v>1620</v>
      </c>
      <c r="H434" s="216" t="s">
        <v>265</v>
      </c>
      <c r="I434" s="216" t="s">
        <v>1621</v>
      </c>
    </row>
    <row r="435">
      <c r="A435" s="216" t="s">
        <v>1622</v>
      </c>
      <c r="B435" s="216" t="s">
        <v>1618</v>
      </c>
      <c r="C435" s="216" t="s">
        <v>1619</v>
      </c>
      <c r="D435" s="217">
        <v>45476.772731481484</v>
      </c>
      <c r="E435" s="217"/>
      <c r="F435" s="218" t="s">
        <v>1320</v>
      </c>
      <c r="G435" s="219" t="s">
        <v>1623</v>
      </c>
      <c r="H435" s="216" t="s">
        <v>265</v>
      </c>
      <c r="I435" s="216" t="s">
        <v>1624</v>
      </c>
    </row>
    <row r="436">
      <c r="A436" s="212" t="s">
        <v>1625</v>
      </c>
      <c r="B436" s="212" t="s">
        <v>1626</v>
      </c>
      <c r="C436" s="212" t="s">
        <v>1627</v>
      </c>
      <c r="D436" s="213">
        <v>45774.67824074074</v>
      </c>
      <c r="E436" s="213">
        <v>45775.45849537037</v>
      </c>
      <c r="F436" s="214" t="s">
        <v>317</v>
      </c>
      <c r="G436" s="215" t="s">
        <v>1628</v>
      </c>
      <c r="H436" s="212" t="s">
        <v>252</v>
      </c>
      <c r="I436" s="212" t="s">
        <v>332</v>
      </c>
    </row>
    <row r="437">
      <c r="A437" s="216" t="s">
        <v>1629</v>
      </c>
      <c r="B437" s="216" t="s">
        <v>1630</v>
      </c>
      <c r="C437" s="216" t="s">
        <v>1631</v>
      </c>
      <c r="D437" s="217">
        <v>45550.556539351855</v>
      </c>
      <c r="E437" s="217"/>
      <c r="F437" s="218" t="s">
        <v>281</v>
      </c>
      <c r="G437" s="219" t="s">
        <v>281</v>
      </c>
      <c r="H437" s="216" t="s">
        <v>1632</v>
      </c>
      <c r="I437" s="216" t="s">
        <v>1633</v>
      </c>
    </row>
    <row r="438">
      <c r="A438" s="216" t="s">
        <v>1634</v>
      </c>
      <c r="B438" s="216" t="s">
        <v>1635</v>
      </c>
      <c r="C438" s="216" t="s">
        <v>1636</v>
      </c>
      <c r="D438" s="217">
        <v>45550.50866898148</v>
      </c>
      <c r="E438" s="217"/>
      <c r="F438" s="218" t="s">
        <v>1637</v>
      </c>
      <c r="G438" s="219" t="s">
        <v>1638</v>
      </c>
      <c r="H438" s="216" t="s">
        <v>259</v>
      </c>
      <c r="I438" s="216" t="s">
        <v>467</v>
      </c>
    </row>
    <row r="439">
      <c r="A439" s="212" t="s">
        <v>1639</v>
      </c>
      <c r="B439" s="212" t="s">
        <v>1635</v>
      </c>
      <c r="C439" s="212" t="s">
        <v>1636</v>
      </c>
      <c r="D439" s="213">
        <v>45529.58559027778</v>
      </c>
      <c r="E439" s="213"/>
      <c r="F439" s="214" t="s">
        <v>380</v>
      </c>
      <c r="G439" s="215" t="s">
        <v>1640</v>
      </c>
      <c r="H439" s="212" t="s">
        <v>259</v>
      </c>
      <c r="I439" s="212" t="s">
        <v>467</v>
      </c>
    </row>
    <row r="440">
      <c r="A440" s="216" t="s">
        <v>1641</v>
      </c>
      <c r="B440" s="216" t="s">
        <v>1635</v>
      </c>
      <c r="C440" s="216" t="s">
        <v>1636</v>
      </c>
      <c r="D440" s="217">
        <v>45522.55159722222</v>
      </c>
      <c r="E440" s="217"/>
      <c r="F440" s="218" t="s">
        <v>380</v>
      </c>
      <c r="G440" s="219" t="s">
        <v>1642</v>
      </c>
      <c r="H440" s="216" t="s">
        <v>259</v>
      </c>
      <c r="I440" s="216" t="s">
        <v>467</v>
      </c>
    </row>
    <row r="441">
      <c r="A441" s="212" t="s">
        <v>1643</v>
      </c>
      <c r="B441" s="212" t="s">
        <v>1635</v>
      </c>
      <c r="C441" s="212" t="s">
        <v>1636</v>
      </c>
      <c r="D441" s="213">
        <v>45508.586863425924</v>
      </c>
      <c r="E441" s="213"/>
      <c r="F441" s="214" t="s">
        <v>1531</v>
      </c>
      <c r="G441" s="215" t="s">
        <v>1644</v>
      </c>
      <c r="H441" s="212" t="s">
        <v>259</v>
      </c>
      <c r="I441" s="212" t="s">
        <v>467</v>
      </c>
    </row>
    <row r="442">
      <c r="A442" s="212" t="s">
        <v>1645</v>
      </c>
      <c r="B442" s="212" t="s">
        <v>1635</v>
      </c>
      <c r="C442" s="212" t="s">
        <v>1636</v>
      </c>
      <c r="D442" s="213">
        <v>45704.5865625</v>
      </c>
      <c r="E442" s="213">
        <v>45705.538298611114</v>
      </c>
      <c r="F442" s="214" t="s">
        <v>1646</v>
      </c>
      <c r="G442" s="215" t="s">
        <v>1647</v>
      </c>
      <c r="H442" s="212" t="s">
        <v>259</v>
      </c>
      <c r="I442" s="212" t="s">
        <v>467</v>
      </c>
    </row>
    <row r="443">
      <c r="A443" s="216" t="s">
        <v>1648</v>
      </c>
      <c r="B443" s="216" t="s">
        <v>1635</v>
      </c>
      <c r="C443" s="216" t="s">
        <v>1636</v>
      </c>
      <c r="D443" s="217">
        <v>45760.62553240741</v>
      </c>
      <c r="E443" s="217">
        <v>45762.53482638889</v>
      </c>
      <c r="F443" s="218" t="s">
        <v>1649</v>
      </c>
      <c r="G443" s="219" t="s">
        <v>1650</v>
      </c>
      <c r="H443" s="216" t="s">
        <v>259</v>
      </c>
      <c r="I443" s="216" t="s">
        <v>467</v>
      </c>
    </row>
    <row r="444">
      <c r="A444" s="212" t="s">
        <v>1651</v>
      </c>
      <c r="B444" s="212" t="s">
        <v>1635</v>
      </c>
      <c r="C444" s="212" t="s">
        <v>1636</v>
      </c>
      <c r="D444" s="213">
        <v>45750.57908564815</v>
      </c>
      <c r="E444" s="213">
        <v>45751.46880787037</v>
      </c>
      <c r="F444" s="214" t="s">
        <v>1652</v>
      </c>
      <c r="G444" s="215" t="s">
        <v>1653</v>
      </c>
      <c r="H444" s="212" t="s">
        <v>259</v>
      </c>
      <c r="I444" s="212" t="s">
        <v>467</v>
      </c>
    </row>
    <row r="445">
      <c r="A445" s="216" t="s">
        <v>1654</v>
      </c>
      <c r="B445" s="216" t="s">
        <v>1655</v>
      </c>
      <c r="C445" s="216" t="s">
        <v>1656</v>
      </c>
      <c r="D445" s="217">
        <v>45549.743796296294</v>
      </c>
      <c r="E445" s="217"/>
      <c r="F445" s="218" t="s">
        <v>470</v>
      </c>
      <c r="G445" s="219" t="s">
        <v>1657</v>
      </c>
      <c r="H445" s="216" t="s">
        <v>265</v>
      </c>
      <c r="I445" s="216" t="s">
        <v>399</v>
      </c>
    </row>
    <row r="446">
      <c r="A446" s="212" t="s">
        <v>1658</v>
      </c>
      <c r="B446" s="212" t="s">
        <v>1655</v>
      </c>
      <c r="C446" s="212" t="s">
        <v>1659</v>
      </c>
      <c r="D446" s="213">
        <v>45546.84195601852</v>
      </c>
      <c r="E446" s="213"/>
      <c r="F446" s="214" t="s">
        <v>470</v>
      </c>
      <c r="G446" s="215" t="s">
        <v>1290</v>
      </c>
      <c r="H446" s="212" t="s">
        <v>259</v>
      </c>
      <c r="I446" s="212" t="s">
        <v>1660</v>
      </c>
    </row>
    <row r="447">
      <c r="A447" s="216" t="s">
        <v>1661</v>
      </c>
      <c r="B447" s="216" t="s">
        <v>1655</v>
      </c>
      <c r="C447" s="216" t="s">
        <v>1656</v>
      </c>
      <c r="D447" s="217">
        <v>45546.84071759259</v>
      </c>
      <c r="E447" s="217"/>
      <c r="F447" s="218" t="s">
        <v>435</v>
      </c>
      <c r="G447" s="219" t="s">
        <v>1662</v>
      </c>
      <c r="H447" s="216" t="s">
        <v>265</v>
      </c>
      <c r="I447" s="216" t="s">
        <v>399</v>
      </c>
    </row>
    <row r="448">
      <c r="A448" s="212" t="s">
        <v>1663</v>
      </c>
      <c r="B448" s="212" t="s">
        <v>1655</v>
      </c>
      <c r="C448" s="212" t="s">
        <v>1656</v>
      </c>
      <c r="D448" s="213">
        <v>45514.87053240741</v>
      </c>
      <c r="E448" s="213"/>
      <c r="F448" s="214" t="s">
        <v>250</v>
      </c>
      <c r="G448" s="215" t="s">
        <v>1129</v>
      </c>
      <c r="H448" s="212" t="s">
        <v>265</v>
      </c>
      <c r="I448" s="212" t="s">
        <v>399</v>
      </c>
    </row>
    <row r="449">
      <c r="A449" s="212" t="s">
        <v>1664</v>
      </c>
      <c r="B449" s="212" t="s">
        <v>1655</v>
      </c>
      <c r="C449" s="212" t="s">
        <v>1656</v>
      </c>
      <c r="D449" s="213">
        <v>45507.76777777778</v>
      </c>
      <c r="E449" s="213"/>
      <c r="F449" s="214" t="s">
        <v>281</v>
      </c>
      <c r="G449" s="215" t="s">
        <v>1665</v>
      </c>
      <c r="H449" s="212" t="s">
        <v>265</v>
      </c>
      <c r="I449" s="212" t="s">
        <v>399</v>
      </c>
    </row>
    <row r="450">
      <c r="A450" s="216" t="s">
        <v>1666</v>
      </c>
      <c r="B450" s="216" t="s">
        <v>1655</v>
      </c>
      <c r="C450" s="216" t="s">
        <v>1656</v>
      </c>
      <c r="D450" s="217">
        <v>45501.853738425925</v>
      </c>
      <c r="E450" s="217"/>
      <c r="F450" s="218" t="s">
        <v>250</v>
      </c>
      <c r="G450" s="219" t="s">
        <v>1667</v>
      </c>
      <c r="H450" s="216" t="s">
        <v>265</v>
      </c>
      <c r="I450" s="216" t="s">
        <v>399</v>
      </c>
    </row>
    <row r="451">
      <c r="A451" s="216" t="s">
        <v>1668</v>
      </c>
      <c r="B451" s="216" t="s">
        <v>1655</v>
      </c>
      <c r="C451" s="216" t="s">
        <v>1656</v>
      </c>
      <c r="D451" s="217">
        <v>45493.907685185186</v>
      </c>
      <c r="E451" s="217"/>
      <c r="F451" s="218" t="s">
        <v>291</v>
      </c>
      <c r="G451" s="219" t="s">
        <v>1669</v>
      </c>
      <c r="H451" s="216" t="s">
        <v>265</v>
      </c>
      <c r="I451" s="216" t="s">
        <v>399</v>
      </c>
    </row>
    <row r="452">
      <c r="A452" s="212" t="s">
        <v>1670</v>
      </c>
      <c r="B452" s="212" t="s">
        <v>1655</v>
      </c>
      <c r="C452" s="212" t="s">
        <v>1671</v>
      </c>
      <c r="D452" s="213">
        <v>45493.906863425924</v>
      </c>
      <c r="E452" s="213"/>
      <c r="F452" s="214" t="s">
        <v>1259</v>
      </c>
      <c r="G452" s="215" t="s">
        <v>1672</v>
      </c>
      <c r="H452" s="212" t="s">
        <v>259</v>
      </c>
      <c r="I452" s="212" t="s">
        <v>1673</v>
      </c>
    </row>
    <row r="453">
      <c r="A453" s="216" t="s">
        <v>1674</v>
      </c>
      <c r="B453" s="216" t="s">
        <v>1655</v>
      </c>
      <c r="C453" s="216" t="s">
        <v>1656</v>
      </c>
      <c r="D453" s="217">
        <v>45485.83056712963</v>
      </c>
      <c r="E453" s="217"/>
      <c r="F453" s="218" t="s">
        <v>470</v>
      </c>
      <c r="G453" s="219" t="s">
        <v>1675</v>
      </c>
      <c r="H453" s="216" t="s">
        <v>265</v>
      </c>
      <c r="I453" s="216" t="s">
        <v>399</v>
      </c>
    </row>
    <row r="454">
      <c r="A454" s="216" t="s">
        <v>1674</v>
      </c>
      <c r="B454" s="216" t="s">
        <v>1655</v>
      </c>
      <c r="C454" s="216" t="s">
        <v>1656</v>
      </c>
      <c r="D454" s="217">
        <v>45485.83056712963</v>
      </c>
      <c r="E454" s="217"/>
      <c r="F454" s="218" t="s">
        <v>470</v>
      </c>
      <c r="G454" s="219" t="s">
        <v>1675</v>
      </c>
      <c r="H454" s="216" t="s">
        <v>265</v>
      </c>
      <c r="I454" s="216" t="s">
        <v>399</v>
      </c>
    </row>
    <row r="455">
      <c r="A455" s="212" t="s">
        <v>1676</v>
      </c>
      <c r="B455" s="212" t="s">
        <v>1655</v>
      </c>
      <c r="C455" s="212" t="s">
        <v>1656</v>
      </c>
      <c r="D455" s="213">
        <v>45472.77099537037</v>
      </c>
      <c r="E455" s="213"/>
      <c r="F455" s="214" t="s">
        <v>250</v>
      </c>
      <c r="G455" s="215" t="s">
        <v>1677</v>
      </c>
      <c r="H455" s="212" t="s">
        <v>265</v>
      </c>
      <c r="I455" s="212" t="s">
        <v>399</v>
      </c>
    </row>
    <row r="456">
      <c r="A456" s="212" t="s">
        <v>1678</v>
      </c>
      <c r="B456" s="212" t="s">
        <v>1655</v>
      </c>
      <c r="C456" s="212" t="s">
        <v>1656</v>
      </c>
      <c r="D456" s="213">
        <v>45450.81890046296</v>
      </c>
      <c r="E456" s="213">
        <v>45450.628599537034</v>
      </c>
      <c r="F456" s="214" t="s">
        <v>1679</v>
      </c>
      <c r="G456" s="215" t="s">
        <v>1680</v>
      </c>
      <c r="H456" s="212" t="s">
        <v>265</v>
      </c>
      <c r="I456" s="212" t="s">
        <v>399</v>
      </c>
    </row>
    <row r="457">
      <c r="A457" s="212" t="s">
        <v>1681</v>
      </c>
      <c r="B457" s="212" t="s">
        <v>1655</v>
      </c>
      <c r="C457" s="212" t="s">
        <v>1656</v>
      </c>
      <c r="D457" s="213">
        <v>45439.85355324074</v>
      </c>
      <c r="E457" s="213">
        <v>45439.65628472222</v>
      </c>
      <c r="F457" s="214" t="s">
        <v>470</v>
      </c>
      <c r="G457" s="215" t="s">
        <v>1682</v>
      </c>
      <c r="H457" s="212" t="s">
        <v>265</v>
      </c>
      <c r="I457" s="212" t="s">
        <v>399</v>
      </c>
    </row>
    <row r="458">
      <c r="A458" s="216" t="s">
        <v>1683</v>
      </c>
      <c r="B458" s="216" t="s">
        <v>1655</v>
      </c>
      <c r="C458" s="216" t="s">
        <v>1656</v>
      </c>
      <c r="D458" s="217">
        <v>45431.87836805556</v>
      </c>
      <c r="E458" s="217">
        <v>45431.68059027778</v>
      </c>
      <c r="F458" s="218" t="s">
        <v>1450</v>
      </c>
      <c r="G458" s="219" t="s">
        <v>1684</v>
      </c>
      <c r="H458" s="216" t="s">
        <v>265</v>
      </c>
      <c r="I458" s="216" t="s">
        <v>399</v>
      </c>
    </row>
    <row r="459">
      <c r="A459" s="216" t="s">
        <v>1685</v>
      </c>
      <c r="B459" s="216" t="s">
        <v>1655</v>
      </c>
      <c r="C459" s="216" t="s">
        <v>1656</v>
      </c>
      <c r="D459" s="217">
        <v>45704.83609953704</v>
      </c>
      <c r="E459" s="217">
        <v>45704.84724537037</v>
      </c>
      <c r="F459" s="218" t="s">
        <v>291</v>
      </c>
      <c r="G459" s="219" t="s">
        <v>1686</v>
      </c>
      <c r="H459" s="216" t="s">
        <v>265</v>
      </c>
      <c r="I459" s="216" t="s">
        <v>399</v>
      </c>
    </row>
    <row r="460">
      <c r="A460" s="216" t="s">
        <v>1687</v>
      </c>
      <c r="B460" s="216" t="s">
        <v>1655</v>
      </c>
      <c r="C460" s="216" t="s">
        <v>1656</v>
      </c>
      <c r="D460" s="217">
        <v>45761.86923611111</v>
      </c>
      <c r="E460" s="217">
        <v>45761.87851851852</v>
      </c>
      <c r="F460" s="218" t="s">
        <v>658</v>
      </c>
      <c r="G460" s="219" t="s">
        <v>1688</v>
      </c>
      <c r="H460" s="216" t="s">
        <v>265</v>
      </c>
      <c r="I460" s="216" t="s">
        <v>399</v>
      </c>
    </row>
    <row r="461">
      <c r="A461" s="216" t="s">
        <v>1689</v>
      </c>
      <c r="B461" s="216" t="s">
        <v>1690</v>
      </c>
      <c r="C461" s="216" t="s">
        <v>1691</v>
      </c>
      <c r="D461" s="217">
        <v>45759.87894675926</v>
      </c>
      <c r="E461" s="217">
        <v>45759.8890625</v>
      </c>
      <c r="F461" s="218" t="s">
        <v>498</v>
      </c>
      <c r="G461" s="219" t="s">
        <v>1692</v>
      </c>
      <c r="H461" s="216" t="s">
        <v>259</v>
      </c>
      <c r="I461" s="216" t="s">
        <v>640</v>
      </c>
    </row>
    <row r="462">
      <c r="A462" s="216" t="s">
        <v>1693</v>
      </c>
      <c r="B462" s="216" t="s">
        <v>1694</v>
      </c>
      <c r="C462" s="216" t="s">
        <v>1695</v>
      </c>
      <c r="D462" s="217">
        <v>45745.67449074074</v>
      </c>
      <c r="E462" s="217">
        <v>45745.687627314815</v>
      </c>
      <c r="F462" s="218" t="s">
        <v>250</v>
      </c>
      <c r="G462" s="219" t="s">
        <v>1696</v>
      </c>
      <c r="H462" s="216" t="s">
        <v>632</v>
      </c>
      <c r="I462" s="216" t="s">
        <v>1697</v>
      </c>
    </row>
    <row r="463">
      <c r="A463" s="216" t="s">
        <v>1698</v>
      </c>
      <c r="B463" s="216" t="s">
        <v>1694</v>
      </c>
      <c r="C463" s="216" t="s">
        <v>1699</v>
      </c>
      <c r="D463" s="217">
        <v>45745.67030092593</v>
      </c>
      <c r="E463" s="217">
        <v>45745.680625</v>
      </c>
      <c r="F463" s="218" t="s">
        <v>250</v>
      </c>
      <c r="G463" s="219" t="s">
        <v>1696</v>
      </c>
      <c r="H463" s="216" t="s">
        <v>265</v>
      </c>
      <c r="I463" s="216" t="s">
        <v>1700</v>
      </c>
    </row>
    <row r="464">
      <c r="A464" s="212" t="s">
        <v>1701</v>
      </c>
      <c r="B464" s="212" t="s">
        <v>1702</v>
      </c>
      <c r="C464" s="212" t="s">
        <v>1703</v>
      </c>
      <c r="D464" s="213">
        <v>45747.458182870374</v>
      </c>
      <c r="E464" s="213">
        <v>45747.708553240744</v>
      </c>
      <c r="F464" s="214" t="s">
        <v>503</v>
      </c>
      <c r="G464" s="215" t="s">
        <v>1704</v>
      </c>
      <c r="H464" s="212" t="s">
        <v>346</v>
      </c>
      <c r="I464" s="212" t="s">
        <v>823</v>
      </c>
    </row>
    <row r="465">
      <c r="A465" s="216" t="s">
        <v>1705</v>
      </c>
      <c r="B465" s="216" t="s">
        <v>1702</v>
      </c>
      <c r="C465" s="216" t="s">
        <v>1706</v>
      </c>
      <c r="D465" s="217">
        <v>45747.45700231481</v>
      </c>
      <c r="E465" s="217">
        <v>45747.59034722222</v>
      </c>
      <c r="F465" s="218" t="s">
        <v>317</v>
      </c>
      <c r="G465" s="219" t="s">
        <v>1707</v>
      </c>
      <c r="H465" s="216" t="s">
        <v>283</v>
      </c>
      <c r="I465" s="216" t="s">
        <v>823</v>
      </c>
    </row>
    <row r="466">
      <c r="A466" s="216" t="s">
        <v>1708</v>
      </c>
      <c r="B466" s="216" t="s">
        <v>1702</v>
      </c>
      <c r="C466" s="216" t="s">
        <v>1703</v>
      </c>
      <c r="D466" s="217">
        <v>45761.47269675926</v>
      </c>
      <c r="E466" s="217">
        <v>45761.68068287037</v>
      </c>
      <c r="F466" s="218" t="s">
        <v>503</v>
      </c>
      <c r="G466" s="219" t="s">
        <v>1709</v>
      </c>
      <c r="H466" s="216" t="s">
        <v>346</v>
      </c>
      <c r="I466" s="216" t="s">
        <v>823</v>
      </c>
    </row>
    <row r="467">
      <c r="A467" s="216" t="s">
        <v>1710</v>
      </c>
      <c r="B467" s="216" t="s">
        <v>1702</v>
      </c>
      <c r="C467" s="216" t="s">
        <v>1711</v>
      </c>
      <c r="D467" s="217">
        <v>45750.575011574074</v>
      </c>
      <c r="E467" s="217">
        <v>45750.67376157407</v>
      </c>
      <c r="F467" s="218" t="s">
        <v>269</v>
      </c>
      <c r="G467" s="219" t="s">
        <v>1712</v>
      </c>
      <c r="H467" s="216" t="s">
        <v>1713</v>
      </c>
      <c r="I467" s="216" t="s">
        <v>1714</v>
      </c>
    </row>
    <row r="468">
      <c r="A468" s="216" t="s">
        <v>1715</v>
      </c>
      <c r="B468" s="216" t="s">
        <v>1716</v>
      </c>
      <c r="C468" s="216" t="s">
        <v>1717</v>
      </c>
      <c r="D468" s="217">
        <v>45527.85728009259</v>
      </c>
      <c r="E468" s="217"/>
      <c r="F468" s="218" t="s">
        <v>503</v>
      </c>
      <c r="G468" s="219" t="s">
        <v>1718</v>
      </c>
      <c r="H468" s="216" t="s">
        <v>259</v>
      </c>
      <c r="I468" s="216" t="s">
        <v>260</v>
      </c>
    </row>
    <row r="469">
      <c r="A469" s="212" t="s">
        <v>1719</v>
      </c>
      <c r="B469" s="212" t="s">
        <v>1716</v>
      </c>
      <c r="C469" s="212" t="s">
        <v>1717</v>
      </c>
      <c r="D469" s="213">
        <v>45519.8075</v>
      </c>
      <c r="E469" s="213"/>
      <c r="F469" s="214" t="s">
        <v>470</v>
      </c>
      <c r="G469" s="215" t="s">
        <v>1720</v>
      </c>
      <c r="H469" s="212" t="s">
        <v>259</v>
      </c>
      <c r="I469" s="212" t="s">
        <v>260</v>
      </c>
    </row>
    <row r="470">
      <c r="A470" s="216" t="s">
        <v>1721</v>
      </c>
      <c r="B470" s="216" t="s">
        <v>1716</v>
      </c>
      <c r="C470" s="216" t="s">
        <v>1717</v>
      </c>
      <c r="D470" s="217">
        <v>45500.50703703704</v>
      </c>
      <c r="E470" s="217"/>
      <c r="F470" s="218" t="s">
        <v>435</v>
      </c>
      <c r="G470" s="219" t="s">
        <v>1722</v>
      </c>
      <c r="H470" s="216" t="s">
        <v>259</v>
      </c>
      <c r="I470" s="216" t="s">
        <v>260</v>
      </c>
    </row>
    <row r="471">
      <c r="A471" s="212" t="s">
        <v>1723</v>
      </c>
      <c r="B471" s="212" t="s">
        <v>1716</v>
      </c>
      <c r="C471" s="212" t="s">
        <v>1724</v>
      </c>
      <c r="D471" s="213">
        <v>45492.79027777778</v>
      </c>
      <c r="E471" s="213"/>
      <c r="F471" s="214" t="s">
        <v>498</v>
      </c>
      <c r="G471" s="215" t="s">
        <v>1725</v>
      </c>
      <c r="H471" s="212" t="s">
        <v>293</v>
      </c>
      <c r="I471" s="212" t="s">
        <v>260</v>
      </c>
    </row>
    <row r="472">
      <c r="A472" s="216" t="s">
        <v>1723</v>
      </c>
      <c r="B472" s="216" t="s">
        <v>1716</v>
      </c>
      <c r="C472" s="216" t="s">
        <v>1724</v>
      </c>
      <c r="D472" s="217">
        <v>45492.79027777778</v>
      </c>
      <c r="E472" s="217"/>
      <c r="F472" s="218" t="s">
        <v>498</v>
      </c>
      <c r="G472" s="219" t="s">
        <v>1725</v>
      </c>
      <c r="H472" s="216" t="s">
        <v>293</v>
      </c>
      <c r="I472" s="216" t="s">
        <v>260</v>
      </c>
    </row>
    <row r="473">
      <c r="A473" s="216" t="s">
        <v>1723</v>
      </c>
      <c r="B473" s="216" t="s">
        <v>1716</v>
      </c>
      <c r="C473" s="216" t="s">
        <v>1724</v>
      </c>
      <c r="D473" s="217">
        <v>45492.79027777778</v>
      </c>
      <c r="E473" s="217"/>
      <c r="F473" s="218" t="s">
        <v>498</v>
      </c>
      <c r="G473" s="219" t="s">
        <v>1725</v>
      </c>
      <c r="H473" s="216" t="s">
        <v>293</v>
      </c>
      <c r="I473" s="216" t="s">
        <v>260</v>
      </c>
    </row>
    <row r="474">
      <c r="A474" s="216" t="s">
        <v>1726</v>
      </c>
      <c r="B474" s="216" t="s">
        <v>1716</v>
      </c>
      <c r="C474" s="216" t="s">
        <v>1717</v>
      </c>
      <c r="D474" s="217">
        <v>45452.68851851852</v>
      </c>
      <c r="E474" s="217">
        <v>45452.67017361111</v>
      </c>
      <c r="F474" s="218" t="s">
        <v>281</v>
      </c>
      <c r="G474" s="219" t="s">
        <v>476</v>
      </c>
      <c r="H474" s="216" t="s">
        <v>259</v>
      </c>
      <c r="I474" s="216" t="s">
        <v>260</v>
      </c>
    </row>
    <row r="475">
      <c r="A475" s="216" t="s">
        <v>1727</v>
      </c>
      <c r="B475" s="216" t="s">
        <v>1728</v>
      </c>
      <c r="C475" s="216" t="s">
        <v>1729</v>
      </c>
      <c r="D475" s="217">
        <v>45447.839641203704</v>
      </c>
      <c r="E475" s="217">
        <v>45450.41675925926</v>
      </c>
      <c r="F475" s="218" t="s">
        <v>1124</v>
      </c>
      <c r="G475" s="219" t="s">
        <v>1730</v>
      </c>
      <c r="H475" s="216" t="s">
        <v>259</v>
      </c>
      <c r="I475" s="216" t="s">
        <v>1731</v>
      </c>
    </row>
    <row r="476">
      <c r="A476" s="212" t="s">
        <v>1732</v>
      </c>
      <c r="B476" s="212" t="s">
        <v>1733</v>
      </c>
      <c r="C476" s="212" t="s">
        <v>1734</v>
      </c>
      <c r="D476" s="213">
        <v>45542.66971064815</v>
      </c>
      <c r="E476" s="213"/>
      <c r="F476" s="214" t="s">
        <v>1105</v>
      </c>
      <c r="G476" s="215" t="s">
        <v>1735</v>
      </c>
      <c r="H476" s="212" t="s">
        <v>561</v>
      </c>
      <c r="I476" s="212" t="s">
        <v>626</v>
      </c>
    </row>
    <row r="477">
      <c r="A477" s="216" t="s">
        <v>1736</v>
      </c>
      <c r="B477" s="216" t="s">
        <v>1733</v>
      </c>
      <c r="C477" s="216" t="s">
        <v>1734</v>
      </c>
      <c r="D477" s="217">
        <v>45528.7722337963</v>
      </c>
      <c r="E477" s="217"/>
      <c r="F477" s="218" t="s">
        <v>281</v>
      </c>
      <c r="G477" s="219" t="s">
        <v>1175</v>
      </c>
      <c r="H477" s="216" t="s">
        <v>561</v>
      </c>
      <c r="I477" s="216" t="s">
        <v>626</v>
      </c>
    </row>
    <row r="478">
      <c r="A478" s="212" t="s">
        <v>1737</v>
      </c>
      <c r="B478" s="212" t="s">
        <v>1733</v>
      </c>
      <c r="C478" s="212" t="s">
        <v>1738</v>
      </c>
      <c r="D478" s="213">
        <v>45528.771828703706</v>
      </c>
      <c r="E478" s="213"/>
      <c r="F478" s="214" t="s">
        <v>439</v>
      </c>
      <c r="G478" s="215" t="s">
        <v>934</v>
      </c>
      <c r="H478" s="212" t="s">
        <v>754</v>
      </c>
      <c r="I478" s="212" t="s">
        <v>626</v>
      </c>
    </row>
    <row r="479">
      <c r="A479" s="216" t="s">
        <v>1739</v>
      </c>
      <c r="B479" s="216" t="s">
        <v>1733</v>
      </c>
      <c r="C479" s="216" t="s">
        <v>1738</v>
      </c>
      <c r="D479" s="217">
        <v>45514.83082175926</v>
      </c>
      <c r="E479" s="217"/>
      <c r="F479" s="218" t="s">
        <v>431</v>
      </c>
      <c r="G479" s="219" t="s">
        <v>1740</v>
      </c>
      <c r="H479" s="216" t="s">
        <v>754</v>
      </c>
      <c r="I479" s="216" t="s">
        <v>626</v>
      </c>
    </row>
    <row r="480">
      <c r="A480" s="212" t="s">
        <v>1741</v>
      </c>
      <c r="B480" s="212" t="s">
        <v>1733</v>
      </c>
      <c r="C480" s="212" t="s">
        <v>1734</v>
      </c>
      <c r="D480" s="213">
        <v>45514.83033564815</v>
      </c>
      <c r="E480" s="213"/>
      <c r="F480" s="214" t="s">
        <v>503</v>
      </c>
      <c r="G480" s="215" t="s">
        <v>1742</v>
      </c>
      <c r="H480" s="212" t="s">
        <v>561</v>
      </c>
      <c r="I480" s="212" t="s">
        <v>626</v>
      </c>
    </row>
    <row r="481">
      <c r="A481" s="216" t="s">
        <v>1743</v>
      </c>
      <c r="B481" s="216" t="s">
        <v>1733</v>
      </c>
      <c r="C481" s="216" t="s">
        <v>1734</v>
      </c>
      <c r="D481" s="217">
        <v>45508.51598379629</v>
      </c>
      <c r="E481" s="217"/>
      <c r="F481" s="218" t="s">
        <v>706</v>
      </c>
      <c r="G481" s="219" t="s">
        <v>1744</v>
      </c>
      <c r="H481" s="216" t="s">
        <v>561</v>
      </c>
      <c r="I481" s="216" t="s">
        <v>626</v>
      </c>
    </row>
    <row r="482">
      <c r="A482" s="216" t="s">
        <v>1745</v>
      </c>
      <c r="B482" s="216" t="s">
        <v>1733</v>
      </c>
      <c r="C482" s="216" t="s">
        <v>1734</v>
      </c>
      <c r="D482" s="217">
        <v>45500.58005787037</v>
      </c>
      <c r="E482" s="217"/>
      <c r="F482" s="218" t="s">
        <v>291</v>
      </c>
      <c r="G482" s="219" t="s">
        <v>1746</v>
      </c>
      <c r="H482" s="216" t="s">
        <v>561</v>
      </c>
      <c r="I482" s="216" t="s">
        <v>626</v>
      </c>
    </row>
    <row r="483">
      <c r="A483" s="216" t="s">
        <v>1747</v>
      </c>
      <c r="B483" s="216" t="s">
        <v>1733</v>
      </c>
      <c r="C483" s="216" t="s">
        <v>1748</v>
      </c>
      <c r="D483" s="217">
        <v>45496.79913194444</v>
      </c>
      <c r="E483" s="217"/>
      <c r="F483" s="218" t="s">
        <v>1749</v>
      </c>
      <c r="G483" s="219" t="s">
        <v>1750</v>
      </c>
      <c r="H483" s="216" t="s">
        <v>259</v>
      </c>
      <c r="I483" s="216" t="s">
        <v>626</v>
      </c>
    </row>
    <row r="484">
      <c r="A484" s="216" t="s">
        <v>1751</v>
      </c>
      <c r="B484" s="216" t="s">
        <v>1752</v>
      </c>
      <c r="C484" s="216" t="s">
        <v>1753</v>
      </c>
      <c r="D484" s="217">
        <v>45493.87372685185</v>
      </c>
      <c r="E484" s="217"/>
      <c r="F484" s="218" t="s">
        <v>503</v>
      </c>
      <c r="G484" s="219" t="s">
        <v>886</v>
      </c>
      <c r="H484" s="216" t="s">
        <v>259</v>
      </c>
      <c r="I484" s="216" t="s">
        <v>1493</v>
      </c>
    </row>
    <row r="485">
      <c r="A485" s="216" t="s">
        <v>1754</v>
      </c>
      <c r="B485" s="216" t="s">
        <v>1752</v>
      </c>
      <c r="C485" s="216" t="s">
        <v>1753</v>
      </c>
      <c r="D485" s="217">
        <v>45485.788402777776</v>
      </c>
      <c r="E485" s="217"/>
      <c r="F485" s="218" t="s">
        <v>281</v>
      </c>
      <c r="G485" s="219" t="s">
        <v>1755</v>
      </c>
      <c r="H485" s="216" t="s">
        <v>259</v>
      </c>
      <c r="I485" s="216" t="s">
        <v>1493</v>
      </c>
    </row>
    <row r="486">
      <c r="A486" s="216" t="s">
        <v>1754</v>
      </c>
      <c r="B486" s="216" t="s">
        <v>1752</v>
      </c>
      <c r="C486" s="216" t="s">
        <v>1753</v>
      </c>
      <c r="D486" s="217">
        <v>45485.788402777776</v>
      </c>
      <c r="E486" s="217"/>
      <c r="F486" s="218" t="s">
        <v>281</v>
      </c>
      <c r="G486" s="219" t="s">
        <v>1755</v>
      </c>
      <c r="H486" s="216" t="s">
        <v>259</v>
      </c>
      <c r="I486" s="216" t="s">
        <v>1493</v>
      </c>
    </row>
    <row r="487">
      <c r="A487" s="216" t="s">
        <v>1756</v>
      </c>
      <c r="B487" s="216" t="s">
        <v>1752</v>
      </c>
      <c r="C487" s="216" t="s">
        <v>1757</v>
      </c>
      <c r="D487" s="217">
        <v>45460.6228587963</v>
      </c>
      <c r="E487" s="217">
        <v>45462.49664351852</v>
      </c>
      <c r="F487" s="218" t="s">
        <v>281</v>
      </c>
      <c r="G487" s="219" t="s">
        <v>1758</v>
      </c>
      <c r="H487" s="216" t="s">
        <v>293</v>
      </c>
      <c r="I487" s="216" t="s">
        <v>1759</v>
      </c>
    </row>
    <row r="488">
      <c r="A488" s="212" t="s">
        <v>1760</v>
      </c>
      <c r="B488" s="212" t="s">
        <v>1752</v>
      </c>
      <c r="C488" s="212" t="s">
        <v>1757</v>
      </c>
      <c r="D488" s="213">
        <v>45454.837175925924</v>
      </c>
      <c r="E488" s="213">
        <v>45455.4271875</v>
      </c>
      <c r="F488" s="214" t="s">
        <v>281</v>
      </c>
      <c r="G488" s="215" t="s">
        <v>1761</v>
      </c>
      <c r="H488" s="212" t="s">
        <v>259</v>
      </c>
      <c r="I488" s="212" t="s">
        <v>1493</v>
      </c>
    </row>
    <row r="489">
      <c r="A489" s="212" t="s">
        <v>1762</v>
      </c>
      <c r="B489" s="212" t="s">
        <v>1752</v>
      </c>
      <c r="C489" s="212" t="s">
        <v>1763</v>
      </c>
      <c r="D489" s="213">
        <v>45450.79341435185</v>
      </c>
      <c r="E489" s="213">
        <v>45451.39612268518</v>
      </c>
      <c r="F489" s="214" t="s">
        <v>330</v>
      </c>
      <c r="G489" s="215" t="s">
        <v>1764</v>
      </c>
      <c r="H489" s="212" t="s">
        <v>535</v>
      </c>
      <c r="I489" s="212" t="s">
        <v>1765</v>
      </c>
    </row>
    <row r="490">
      <c r="A490" s="212" t="s">
        <v>1766</v>
      </c>
      <c r="B490" s="212" t="s">
        <v>1767</v>
      </c>
      <c r="C490" s="212" t="s">
        <v>1768</v>
      </c>
      <c r="D490" s="213">
        <v>45746.783796296295</v>
      </c>
      <c r="E490" s="213">
        <v>45746.79519675926</v>
      </c>
      <c r="F490" s="214" t="s">
        <v>1769</v>
      </c>
      <c r="G490" s="215" t="s">
        <v>1770</v>
      </c>
      <c r="H490" s="212" t="s">
        <v>632</v>
      </c>
      <c r="I490" s="212" t="s">
        <v>1080</v>
      </c>
    </row>
    <row r="491">
      <c r="A491" s="212" t="s">
        <v>1771</v>
      </c>
      <c r="B491" s="212" t="s">
        <v>1772</v>
      </c>
      <c r="C491" s="212" t="s">
        <v>1773</v>
      </c>
      <c r="D491" s="213">
        <v>45760.62480324074</v>
      </c>
      <c r="E491" s="213">
        <v>45761.652916666666</v>
      </c>
      <c r="F491" s="214" t="s">
        <v>1300</v>
      </c>
      <c r="G491" s="215" t="s">
        <v>1774</v>
      </c>
      <c r="H491" s="212" t="s">
        <v>259</v>
      </c>
      <c r="I491" s="212" t="s">
        <v>1775</v>
      </c>
    </row>
    <row r="492">
      <c r="A492" s="216" t="s">
        <v>1776</v>
      </c>
      <c r="B492" s="216" t="s">
        <v>1777</v>
      </c>
      <c r="C492" s="216" t="s">
        <v>1778</v>
      </c>
      <c r="D492" s="217">
        <v>45521.656064814815</v>
      </c>
      <c r="E492" s="217"/>
      <c r="F492" s="218" t="s">
        <v>1779</v>
      </c>
      <c r="G492" s="219" t="s">
        <v>1780</v>
      </c>
      <c r="H492" s="216" t="s">
        <v>795</v>
      </c>
      <c r="I492" s="216" t="s">
        <v>946</v>
      </c>
    </row>
    <row r="493">
      <c r="A493" s="212" t="s">
        <v>1781</v>
      </c>
      <c r="B493" s="212" t="s">
        <v>1777</v>
      </c>
      <c r="C493" s="212" t="s">
        <v>1778</v>
      </c>
      <c r="D493" s="213">
        <v>45486.77800925926</v>
      </c>
      <c r="E493" s="213"/>
      <c r="F493" s="214" t="s">
        <v>250</v>
      </c>
      <c r="G493" s="215" t="s">
        <v>1782</v>
      </c>
      <c r="H493" s="212" t="s">
        <v>795</v>
      </c>
      <c r="I493" s="212" t="s">
        <v>946</v>
      </c>
    </row>
    <row r="494">
      <c r="A494" s="212" t="s">
        <v>1781</v>
      </c>
      <c r="B494" s="212" t="s">
        <v>1777</v>
      </c>
      <c r="C494" s="212" t="s">
        <v>1778</v>
      </c>
      <c r="D494" s="213">
        <v>45486.77800925926</v>
      </c>
      <c r="E494" s="213"/>
      <c r="F494" s="214" t="s">
        <v>250</v>
      </c>
      <c r="G494" s="215" t="s">
        <v>1782</v>
      </c>
      <c r="H494" s="212" t="s">
        <v>795</v>
      </c>
      <c r="I494" s="212" t="s">
        <v>946</v>
      </c>
    </row>
    <row r="495">
      <c r="A495" s="216" t="s">
        <v>1783</v>
      </c>
      <c r="B495" s="216" t="s">
        <v>1777</v>
      </c>
      <c r="C495" s="216" t="s">
        <v>1778</v>
      </c>
      <c r="D495" s="217">
        <v>45436.79315972222</v>
      </c>
      <c r="E495" s="217">
        <v>45436.59407407408</v>
      </c>
      <c r="F495" s="218" t="s">
        <v>1784</v>
      </c>
      <c r="G495" s="219" t="s">
        <v>1785</v>
      </c>
      <c r="H495" s="216" t="s">
        <v>795</v>
      </c>
      <c r="I495" s="216" t="s">
        <v>946</v>
      </c>
    </row>
    <row r="496">
      <c r="A496" s="212" t="s">
        <v>1786</v>
      </c>
      <c r="B496" s="212" t="s">
        <v>1787</v>
      </c>
      <c r="C496" s="212" t="s">
        <v>1788</v>
      </c>
      <c r="D496" s="213">
        <v>45549.79393518518</v>
      </c>
      <c r="E496" s="213"/>
      <c r="F496" s="214" t="s">
        <v>431</v>
      </c>
      <c r="G496" s="215" t="s">
        <v>1789</v>
      </c>
      <c r="H496" s="212" t="s">
        <v>561</v>
      </c>
      <c r="I496" s="212" t="s">
        <v>578</v>
      </c>
    </row>
    <row r="497">
      <c r="A497" s="216" t="s">
        <v>1790</v>
      </c>
      <c r="B497" s="216" t="s">
        <v>1787</v>
      </c>
      <c r="C497" s="216" t="s">
        <v>1788</v>
      </c>
      <c r="D497" s="217">
        <v>45543.72865740741</v>
      </c>
      <c r="E497" s="217"/>
      <c r="F497" s="218" t="s">
        <v>1791</v>
      </c>
      <c r="G497" s="219" t="s">
        <v>1792</v>
      </c>
      <c r="H497" s="216" t="s">
        <v>561</v>
      </c>
      <c r="I497" s="216" t="s">
        <v>578</v>
      </c>
    </row>
    <row r="498">
      <c r="A498" s="212" t="s">
        <v>1793</v>
      </c>
      <c r="B498" s="212" t="s">
        <v>1787</v>
      </c>
      <c r="C498" s="212" t="s">
        <v>1788</v>
      </c>
      <c r="D498" s="213">
        <v>45536.51467592592</v>
      </c>
      <c r="E498" s="213"/>
      <c r="F498" s="214" t="s">
        <v>658</v>
      </c>
      <c r="G498" s="215" t="s">
        <v>1794</v>
      </c>
      <c r="H498" s="212" t="s">
        <v>561</v>
      </c>
      <c r="I498" s="212" t="s">
        <v>578</v>
      </c>
    </row>
    <row r="499">
      <c r="A499" s="216" t="s">
        <v>1795</v>
      </c>
      <c r="B499" s="216" t="s">
        <v>1787</v>
      </c>
      <c r="C499" s="216" t="s">
        <v>1788</v>
      </c>
      <c r="D499" s="217">
        <v>45529.72928240741</v>
      </c>
      <c r="E499" s="217"/>
      <c r="F499" s="218" t="s">
        <v>1796</v>
      </c>
      <c r="G499" s="219" t="s">
        <v>1797</v>
      </c>
      <c r="H499" s="216" t="s">
        <v>561</v>
      </c>
      <c r="I499" s="216" t="s">
        <v>578</v>
      </c>
    </row>
    <row r="500">
      <c r="A500" s="212" t="s">
        <v>1798</v>
      </c>
      <c r="B500" s="212" t="s">
        <v>1787</v>
      </c>
      <c r="C500" s="212" t="s">
        <v>1788</v>
      </c>
      <c r="D500" s="213">
        <v>45522.81791666667</v>
      </c>
      <c r="E500" s="213"/>
      <c r="F500" s="214" t="s">
        <v>439</v>
      </c>
      <c r="G500" s="215" t="s">
        <v>1799</v>
      </c>
      <c r="H500" s="212" t="s">
        <v>561</v>
      </c>
      <c r="I500" s="212" t="s">
        <v>578</v>
      </c>
    </row>
    <row r="501">
      <c r="A501" s="212" t="s">
        <v>1800</v>
      </c>
      <c r="B501" s="212" t="s">
        <v>1787</v>
      </c>
      <c r="C501" s="212" t="s">
        <v>1801</v>
      </c>
      <c r="D501" s="213">
        <v>45508.61079861111</v>
      </c>
      <c r="E501" s="213"/>
      <c r="F501" s="214" t="s">
        <v>269</v>
      </c>
      <c r="G501" s="215" t="s">
        <v>1802</v>
      </c>
      <c r="H501" s="212" t="s">
        <v>535</v>
      </c>
      <c r="I501" s="212" t="s">
        <v>1803</v>
      </c>
    </row>
    <row r="502">
      <c r="A502" s="216" t="s">
        <v>1804</v>
      </c>
      <c r="B502" s="216" t="s">
        <v>1787</v>
      </c>
      <c r="C502" s="216" t="s">
        <v>1788</v>
      </c>
      <c r="D502" s="217">
        <v>45508.589780092596</v>
      </c>
      <c r="E502" s="217"/>
      <c r="F502" s="218" t="s">
        <v>1805</v>
      </c>
      <c r="G502" s="219" t="s">
        <v>1806</v>
      </c>
      <c r="H502" s="216" t="s">
        <v>561</v>
      </c>
      <c r="I502" s="216" t="s">
        <v>578</v>
      </c>
    </row>
    <row r="503">
      <c r="A503" s="216" t="s">
        <v>1807</v>
      </c>
      <c r="B503" s="216" t="s">
        <v>1787</v>
      </c>
      <c r="C503" s="216" t="s">
        <v>1788</v>
      </c>
      <c r="D503" s="217">
        <v>45500.78890046296</v>
      </c>
      <c r="E503" s="217"/>
      <c r="F503" s="218" t="s">
        <v>1808</v>
      </c>
      <c r="G503" s="219" t="s">
        <v>1809</v>
      </c>
      <c r="H503" s="216" t="s">
        <v>561</v>
      </c>
      <c r="I503" s="216" t="s">
        <v>578</v>
      </c>
    </row>
    <row r="504">
      <c r="A504" s="212" t="s">
        <v>1810</v>
      </c>
      <c r="B504" s="212" t="s">
        <v>1787</v>
      </c>
      <c r="C504" s="212" t="s">
        <v>1801</v>
      </c>
      <c r="D504" s="213">
        <v>45494.61997685185</v>
      </c>
      <c r="E504" s="213"/>
      <c r="F504" s="214" t="s">
        <v>1811</v>
      </c>
      <c r="G504" s="215" t="s">
        <v>1812</v>
      </c>
      <c r="H504" s="212" t="s">
        <v>535</v>
      </c>
      <c r="I504" s="212" t="s">
        <v>1803</v>
      </c>
    </row>
    <row r="505">
      <c r="A505" s="212" t="s">
        <v>1813</v>
      </c>
      <c r="B505" s="212" t="s">
        <v>1787</v>
      </c>
      <c r="C505" s="212" t="s">
        <v>1788</v>
      </c>
      <c r="D505" s="213">
        <v>45479.464155092595</v>
      </c>
      <c r="E505" s="213"/>
      <c r="F505" s="214" t="s">
        <v>1047</v>
      </c>
      <c r="G505" s="215" t="s">
        <v>1814</v>
      </c>
      <c r="H505" s="212" t="s">
        <v>561</v>
      </c>
      <c r="I505" s="212" t="s">
        <v>578</v>
      </c>
    </row>
    <row r="506">
      <c r="A506" s="212" t="s">
        <v>1815</v>
      </c>
      <c r="B506" s="212" t="s">
        <v>1787</v>
      </c>
      <c r="C506" s="212" t="s">
        <v>1801</v>
      </c>
      <c r="D506" s="213">
        <v>45472.464004629626</v>
      </c>
      <c r="E506" s="213"/>
      <c r="F506" s="214" t="s">
        <v>509</v>
      </c>
      <c r="G506" s="215" t="s">
        <v>1816</v>
      </c>
      <c r="H506" s="212" t="s">
        <v>535</v>
      </c>
      <c r="I506" s="212" t="s">
        <v>1803</v>
      </c>
    </row>
    <row r="507">
      <c r="A507" s="216" t="s">
        <v>1817</v>
      </c>
      <c r="B507" s="216" t="s">
        <v>1787</v>
      </c>
      <c r="C507" s="216" t="s">
        <v>1818</v>
      </c>
      <c r="D507" s="217">
        <v>45472.461481481485</v>
      </c>
      <c r="E507" s="217"/>
      <c r="F507" s="218" t="s">
        <v>1819</v>
      </c>
      <c r="G507" s="219" t="s">
        <v>1820</v>
      </c>
      <c r="H507" s="216" t="s">
        <v>259</v>
      </c>
      <c r="I507" s="216" t="s">
        <v>578</v>
      </c>
    </row>
    <row r="508">
      <c r="A508" s="212" t="s">
        <v>1821</v>
      </c>
      <c r="B508" s="212" t="s">
        <v>1787</v>
      </c>
      <c r="C508" s="212" t="s">
        <v>1788</v>
      </c>
      <c r="D508" s="213">
        <v>45444.54015046296</v>
      </c>
      <c r="E508" s="213">
        <v>45444.340462962966</v>
      </c>
      <c r="F508" s="214" t="s">
        <v>1822</v>
      </c>
      <c r="G508" s="215" t="s">
        <v>1823</v>
      </c>
      <c r="H508" s="212" t="s">
        <v>561</v>
      </c>
      <c r="I508" s="212" t="s">
        <v>578</v>
      </c>
    </row>
    <row r="509">
      <c r="A509" s="216" t="s">
        <v>1824</v>
      </c>
      <c r="B509" s="216" t="s">
        <v>1787</v>
      </c>
      <c r="C509" s="216" t="s">
        <v>1788</v>
      </c>
      <c r="D509" s="217">
        <v>45710.754699074074</v>
      </c>
      <c r="E509" s="217">
        <v>45710.7674537037</v>
      </c>
      <c r="F509" s="218" t="s">
        <v>470</v>
      </c>
      <c r="G509" s="219" t="s">
        <v>1825</v>
      </c>
      <c r="H509" s="216" t="s">
        <v>561</v>
      </c>
      <c r="I509" s="216" t="s">
        <v>578</v>
      </c>
    </row>
    <row r="510">
      <c r="A510" s="216" t="s">
        <v>1826</v>
      </c>
      <c r="B510" s="216" t="s">
        <v>1787</v>
      </c>
      <c r="C510" s="216" t="s">
        <v>1827</v>
      </c>
      <c r="D510" s="217">
        <v>45702.88711805556</v>
      </c>
      <c r="E510" s="217">
        <v>45703.53136574074</v>
      </c>
      <c r="F510" s="218" t="s">
        <v>1436</v>
      </c>
      <c r="G510" s="219" t="s">
        <v>1828</v>
      </c>
      <c r="H510" s="216" t="s">
        <v>259</v>
      </c>
      <c r="I510" s="216" t="s">
        <v>578</v>
      </c>
    </row>
    <row r="511">
      <c r="A511" s="212" t="s">
        <v>1829</v>
      </c>
      <c r="B511" s="212" t="s">
        <v>1787</v>
      </c>
      <c r="C511" s="212" t="s">
        <v>1788</v>
      </c>
      <c r="D511" s="213">
        <v>45702.88684027778</v>
      </c>
      <c r="E511" s="213">
        <v>45702.89931712963</v>
      </c>
      <c r="F511" s="214" t="s">
        <v>431</v>
      </c>
      <c r="G511" s="215" t="s">
        <v>1830</v>
      </c>
      <c r="H511" s="212" t="s">
        <v>561</v>
      </c>
      <c r="I511" s="212" t="s">
        <v>578</v>
      </c>
    </row>
    <row r="512">
      <c r="A512" s="212" t="s">
        <v>1831</v>
      </c>
      <c r="B512" s="212" t="s">
        <v>1787</v>
      </c>
      <c r="C512" s="212" t="s">
        <v>1818</v>
      </c>
      <c r="D512" s="213">
        <v>45746.50131944445</v>
      </c>
      <c r="E512" s="213">
        <v>45746.5105787037</v>
      </c>
      <c r="F512" s="214" t="s">
        <v>470</v>
      </c>
      <c r="G512" s="215" t="s">
        <v>1832</v>
      </c>
      <c r="H512" s="212" t="s">
        <v>259</v>
      </c>
      <c r="I512" s="212" t="s">
        <v>578</v>
      </c>
    </row>
    <row r="513">
      <c r="A513" s="220" t="s">
        <v>1833</v>
      </c>
      <c r="B513" s="220" t="s">
        <v>1787</v>
      </c>
      <c r="C513" s="220" t="s">
        <v>1788</v>
      </c>
      <c r="D513" s="221">
        <v>45744.835648148146</v>
      </c>
      <c r="E513" s="221">
        <v>45744.847291666665</v>
      </c>
      <c r="F513" s="222" t="s">
        <v>624</v>
      </c>
      <c r="G513" s="223" t="s">
        <v>1834</v>
      </c>
      <c r="H513" s="220" t="s">
        <v>561</v>
      </c>
      <c r="I513" s="220" t="s">
        <v>578</v>
      </c>
    </row>
    <row r="514">
      <c r="A514" s="216" t="s">
        <v>1835</v>
      </c>
      <c r="B514" s="216" t="s">
        <v>1787</v>
      </c>
      <c r="C514" s="216" t="s">
        <v>1788</v>
      </c>
      <c r="D514" s="217">
        <v>45737.896840277775</v>
      </c>
      <c r="E514" s="217">
        <v>45737.90974537037</v>
      </c>
      <c r="F514" s="218" t="s">
        <v>624</v>
      </c>
      <c r="G514" s="219" t="s">
        <v>1547</v>
      </c>
      <c r="H514" s="216" t="s">
        <v>561</v>
      </c>
      <c r="I514" s="216" t="s">
        <v>578</v>
      </c>
    </row>
    <row r="515">
      <c r="A515" s="212" t="s">
        <v>1836</v>
      </c>
      <c r="B515" s="212" t="s">
        <v>1787</v>
      </c>
      <c r="C515" s="212" t="s">
        <v>1788</v>
      </c>
      <c r="D515" s="213">
        <v>45773.55568287037</v>
      </c>
      <c r="E515" s="213">
        <v>45773.566296296296</v>
      </c>
      <c r="F515" s="214" t="s">
        <v>572</v>
      </c>
      <c r="G515" s="215" t="s">
        <v>1837</v>
      </c>
      <c r="H515" s="212" t="s">
        <v>561</v>
      </c>
      <c r="I515" s="212" t="s">
        <v>578</v>
      </c>
    </row>
    <row r="516">
      <c r="A516" s="216" t="s">
        <v>1838</v>
      </c>
      <c r="B516" s="216" t="s">
        <v>1787</v>
      </c>
      <c r="C516" s="216" t="s">
        <v>1788</v>
      </c>
      <c r="D516" s="217">
        <v>45759.715949074074</v>
      </c>
      <c r="E516" s="217">
        <v>45759.7293287037</v>
      </c>
      <c r="F516" s="218" t="s">
        <v>1458</v>
      </c>
      <c r="G516" s="219" t="s">
        <v>1839</v>
      </c>
      <c r="H516" s="216" t="s">
        <v>561</v>
      </c>
      <c r="I516" s="216" t="s">
        <v>578</v>
      </c>
    </row>
    <row r="517">
      <c r="A517" s="212" t="s">
        <v>1840</v>
      </c>
      <c r="B517" s="212" t="s">
        <v>1787</v>
      </c>
      <c r="C517" s="212" t="s">
        <v>1818</v>
      </c>
      <c r="D517" s="213">
        <v>45759.71565972222</v>
      </c>
      <c r="E517" s="213">
        <v>45759.72577546296</v>
      </c>
      <c r="F517" s="214" t="s">
        <v>503</v>
      </c>
      <c r="G517" s="215" t="s">
        <v>1841</v>
      </c>
      <c r="H517" s="212" t="s">
        <v>259</v>
      </c>
      <c r="I517" s="212" t="s">
        <v>578</v>
      </c>
    </row>
    <row r="518">
      <c r="A518" s="212" t="s">
        <v>1842</v>
      </c>
      <c r="B518" s="212" t="s">
        <v>1843</v>
      </c>
      <c r="C518" s="212" t="s">
        <v>1844</v>
      </c>
      <c r="D518" s="213">
        <v>45485.81429398148</v>
      </c>
      <c r="E518" s="213"/>
      <c r="F518" s="214" t="s">
        <v>250</v>
      </c>
      <c r="G518" s="215" t="s">
        <v>1131</v>
      </c>
      <c r="H518" s="212" t="s">
        <v>265</v>
      </c>
      <c r="I518" s="212" t="s">
        <v>260</v>
      </c>
    </row>
    <row r="519">
      <c r="A519" s="212" t="s">
        <v>1842</v>
      </c>
      <c r="B519" s="212" t="s">
        <v>1843</v>
      </c>
      <c r="C519" s="212" t="s">
        <v>1844</v>
      </c>
      <c r="D519" s="213">
        <v>45485.81429398148</v>
      </c>
      <c r="E519" s="213"/>
      <c r="F519" s="214" t="s">
        <v>250</v>
      </c>
      <c r="G519" s="215" t="s">
        <v>1131</v>
      </c>
      <c r="H519" s="212" t="s">
        <v>265</v>
      </c>
      <c r="I519" s="212" t="s">
        <v>260</v>
      </c>
    </row>
    <row r="520">
      <c r="A520" s="216" t="s">
        <v>1845</v>
      </c>
      <c r="B520" s="216" t="s">
        <v>1843</v>
      </c>
      <c r="C520" s="216" t="s">
        <v>1844</v>
      </c>
      <c r="D520" s="217">
        <v>45450.787939814814</v>
      </c>
      <c r="E520" s="217">
        <v>45453.295277777775</v>
      </c>
      <c r="F520" s="218" t="s">
        <v>291</v>
      </c>
      <c r="G520" s="219" t="s">
        <v>1113</v>
      </c>
      <c r="H520" s="216" t="s">
        <v>265</v>
      </c>
      <c r="I520" s="216" t="s">
        <v>260</v>
      </c>
    </row>
    <row r="521">
      <c r="A521" s="216" t="s">
        <v>1846</v>
      </c>
      <c r="B521" s="216" t="s">
        <v>1847</v>
      </c>
      <c r="C521" s="216" t="s">
        <v>1848</v>
      </c>
      <c r="D521" s="217">
        <v>45437.79152777778</v>
      </c>
      <c r="E521" s="217">
        <v>45439.271099537036</v>
      </c>
      <c r="F521" s="218" t="s">
        <v>317</v>
      </c>
      <c r="G521" s="219" t="s">
        <v>1849</v>
      </c>
      <c r="H521" s="216" t="s">
        <v>259</v>
      </c>
      <c r="I521" s="216" t="s">
        <v>1196</v>
      </c>
    </row>
    <row r="522">
      <c r="A522" s="212" t="s">
        <v>1850</v>
      </c>
      <c r="B522" s="212" t="s">
        <v>1851</v>
      </c>
      <c r="C522" s="212" t="s">
        <v>1852</v>
      </c>
      <c r="D522" s="213">
        <v>45745.651608796295</v>
      </c>
      <c r="E522" s="213">
        <v>45748.86116898148</v>
      </c>
      <c r="F522" s="214" t="s">
        <v>503</v>
      </c>
      <c r="G522" s="215" t="s">
        <v>1853</v>
      </c>
      <c r="H522" s="212" t="s">
        <v>259</v>
      </c>
      <c r="I522" s="212" t="s">
        <v>607</v>
      </c>
    </row>
    <row r="523">
      <c r="A523" s="216" t="s">
        <v>1854</v>
      </c>
      <c r="B523" s="216" t="s">
        <v>1851</v>
      </c>
      <c r="C523" s="216" t="s">
        <v>1855</v>
      </c>
      <c r="D523" s="217">
        <v>45776.880636574075</v>
      </c>
      <c r="E523" s="217">
        <v>45777.48966435185</v>
      </c>
      <c r="F523" s="218" t="s">
        <v>470</v>
      </c>
      <c r="G523" s="219" t="s">
        <v>1856</v>
      </c>
      <c r="H523" s="216" t="s">
        <v>259</v>
      </c>
      <c r="I523" s="216" t="s">
        <v>1857</v>
      </c>
    </row>
    <row r="524">
      <c r="A524" s="216" t="s">
        <v>1858</v>
      </c>
      <c r="B524" s="216" t="s">
        <v>1859</v>
      </c>
      <c r="C524" s="216" t="s">
        <v>1860</v>
      </c>
      <c r="D524" s="217">
        <v>45541.89813657408</v>
      </c>
      <c r="E524" s="217"/>
      <c r="F524" s="218" t="s">
        <v>1861</v>
      </c>
      <c r="G524" s="219" t="s">
        <v>1862</v>
      </c>
      <c r="H524" s="216" t="s">
        <v>811</v>
      </c>
      <c r="I524" s="216" t="s">
        <v>1863</v>
      </c>
    </row>
    <row r="525">
      <c r="A525" s="216" t="s">
        <v>1864</v>
      </c>
      <c r="B525" s="216" t="s">
        <v>1859</v>
      </c>
      <c r="C525" s="216" t="s">
        <v>1865</v>
      </c>
      <c r="D525" s="217">
        <v>45507.81376157407</v>
      </c>
      <c r="E525" s="217"/>
      <c r="F525" s="218" t="s">
        <v>1866</v>
      </c>
      <c r="G525" s="219" t="s">
        <v>1867</v>
      </c>
      <c r="H525" s="216" t="s">
        <v>388</v>
      </c>
      <c r="I525" s="216" t="s">
        <v>1863</v>
      </c>
    </row>
    <row r="526">
      <c r="A526" s="212" t="s">
        <v>1868</v>
      </c>
      <c r="B526" s="212" t="s">
        <v>1869</v>
      </c>
      <c r="C526" s="212" t="s">
        <v>1869</v>
      </c>
      <c r="D526" s="213">
        <v>45539.79707175926</v>
      </c>
      <c r="E526" s="213"/>
      <c r="F526" s="214" t="s">
        <v>1300</v>
      </c>
      <c r="G526" s="215" t="s">
        <v>1870</v>
      </c>
      <c r="H526" s="212" t="s">
        <v>377</v>
      </c>
      <c r="I526" s="212" t="s">
        <v>1714</v>
      </c>
    </row>
    <row r="527">
      <c r="A527" s="216" t="s">
        <v>1871</v>
      </c>
      <c r="B527" s="216" t="s">
        <v>1869</v>
      </c>
      <c r="C527" s="216" t="s">
        <v>1869</v>
      </c>
      <c r="D527" s="217">
        <v>45761.64574074074</v>
      </c>
      <c r="E527" s="217">
        <v>45761.66333333333</v>
      </c>
      <c r="F527" s="218" t="s">
        <v>735</v>
      </c>
      <c r="G527" s="219" t="s">
        <v>1872</v>
      </c>
      <c r="H527" s="216" t="s">
        <v>377</v>
      </c>
      <c r="I527" s="216" t="s">
        <v>1714</v>
      </c>
    </row>
    <row r="528">
      <c r="A528" s="216" t="s">
        <v>1873</v>
      </c>
      <c r="B528" s="216" t="s">
        <v>1869</v>
      </c>
      <c r="C528" s="216" t="s">
        <v>1874</v>
      </c>
      <c r="D528" s="217">
        <v>45750.488344907404</v>
      </c>
      <c r="E528" s="217">
        <v>45750.49657407407</v>
      </c>
      <c r="F528" s="218" t="s">
        <v>291</v>
      </c>
      <c r="G528" s="219" t="s">
        <v>1875</v>
      </c>
      <c r="H528" s="216" t="s">
        <v>811</v>
      </c>
      <c r="I528" s="216" t="s">
        <v>776</v>
      </c>
    </row>
    <row r="529">
      <c r="A529" s="216" t="s">
        <v>1876</v>
      </c>
      <c r="B529" s="216" t="s">
        <v>1877</v>
      </c>
      <c r="C529" s="216" t="s">
        <v>1878</v>
      </c>
      <c r="D529" s="217">
        <v>45541.81275462963</v>
      </c>
      <c r="E529" s="217"/>
      <c r="F529" s="218" t="s">
        <v>503</v>
      </c>
      <c r="G529" s="219" t="s">
        <v>1879</v>
      </c>
      <c r="H529" s="216" t="s">
        <v>377</v>
      </c>
      <c r="I529" s="216" t="s">
        <v>389</v>
      </c>
    </row>
    <row r="530">
      <c r="A530" s="220" t="s">
        <v>1880</v>
      </c>
      <c r="B530" s="220" t="s">
        <v>1877</v>
      </c>
      <c r="C530" s="220" t="s">
        <v>1878</v>
      </c>
      <c r="D530" s="221">
        <v>45523.61331018519</v>
      </c>
      <c r="E530" s="221"/>
      <c r="F530" s="222" t="s">
        <v>1881</v>
      </c>
      <c r="G530" s="223" t="s">
        <v>1882</v>
      </c>
      <c r="H530" s="220" t="s">
        <v>377</v>
      </c>
      <c r="I530" s="220" t="s">
        <v>389</v>
      </c>
    </row>
    <row r="531">
      <c r="A531" s="216" t="s">
        <v>1880</v>
      </c>
      <c r="B531" s="216" t="s">
        <v>1877</v>
      </c>
      <c r="C531" s="216" t="s">
        <v>1878</v>
      </c>
      <c r="D531" s="217">
        <v>45523.61331018519</v>
      </c>
      <c r="E531" s="217"/>
      <c r="F531" s="218" t="s">
        <v>1881</v>
      </c>
      <c r="G531" s="219" t="s">
        <v>1882</v>
      </c>
      <c r="H531" s="216" t="s">
        <v>377</v>
      </c>
      <c r="I531" s="216" t="s">
        <v>389</v>
      </c>
    </row>
    <row r="532">
      <c r="A532" s="216" t="s">
        <v>1883</v>
      </c>
      <c r="B532" s="216" t="s">
        <v>1877</v>
      </c>
      <c r="C532" s="216" t="s">
        <v>1878</v>
      </c>
      <c r="D532" s="217">
        <v>45716.8094212963</v>
      </c>
      <c r="E532" s="217">
        <v>45716.83356481481</v>
      </c>
      <c r="F532" s="218" t="s">
        <v>1884</v>
      </c>
      <c r="G532" s="219" t="s">
        <v>1885</v>
      </c>
      <c r="H532" s="216" t="s">
        <v>377</v>
      </c>
      <c r="I532" s="216" t="s">
        <v>389</v>
      </c>
    </row>
    <row r="533">
      <c r="A533" s="212" t="s">
        <v>1886</v>
      </c>
      <c r="B533" s="212" t="s">
        <v>1877</v>
      </c>
      <c r="C533" s="212" t="s">
        <v>1878</v>
      </c>
      <c r="D533" s="213">
        <v>45709.79923611111</v>
      </c>
      <c r="E533" s="213">
        <v>45709.82302083333</v>
      </c>
      <c r="F533" s="214" t="s">
        <v>439</v>
      </c>
      <c r="G533" s="215" t="s">
        <v>1887</v>
      </c>
      <c r="H533" s="212" t="s">
        <v>377</v>
      </c>
      <c r="I533" s="212" t="s">
        <v>389</v>
      </c>
    </row>
    <row r="534">
      <c r="A534" s="216" t="s">
        <v>1888</v>
      </c>
      <c r="B534" s="216" t="s">
        <v>1877</v>
      </c>
      <c r="C534" s="216" t="s">
        <v>1878</v>
      </c>
      <c r="D534" s="217">
        <v>45737.799259259256</v>
      </c>
      <c r="E534" s="217">
        <v>45737.816157407404</v>
      </c>
      <c r="F534" s="218" t="s">
        <v>503</v>
      </c>
      <c r="G534" s="219" t="s">
        <v>1051</v>
      </c>
      <c r="H534" s="216" t="s">
        <v>377</v>
      </c>
      <c r="I534" s="216" t="s">
        <v>389</v>
      </c>
    </row>
    <row r="535">
      <c r="A535" s="212" t="s">
        <v>1889</v>
      </c>
      <c r="B535" s="212" t="s">
        <v>1890</v>
      </c>
      <c r="C535" s="212" t="s">
        <v>1891</v>
      </c>
      <c r="D535" s="213">
        <v>45703.88209490741</v>
      </c>
      <c r="E535" s="213">
        <v>45704.708703703705</v>
      </c>
      <c r="F535" s="214" t="s">
        <v>470</v>
      </c>
      <c r="G535" s="215" t="s">
        <v>790</v>
      </c>
      <c r="H535" s="212" t="s">
        <v>265</v>
      </c>
      <c r="I535" s="212" t="s">
        <v>461</v>
      </c>
    </row>
    <row r="536">
      <c r="A536" s="216" t="s">
        <v>1892</v>
      </c>
      <c r="B536" s="216" t="s">
        <v>1890</v>
      </c>
      <c r="C536" s="216" t="s">
        <v>1891</v>
      </c>
      <c r="D536" s="217">
        <v>45745.64748842592</v>
      </c>
      <c r="E536" s="217">
        <v>45746.66333333333</v>
      </c>
      <c r="F536" s="218" t="s">
        <v>470</v>
      </c>
      <c r="G536" s="219" t="s">
        <v>790</v>
      </c>
      <c r="H536" s="216" t="s">
        <v>265</v>
      </c>
      <c r="I536" s="216" t="s">
        <v>461</v>
      </c>
    </row>
    <row r="537">
      <c r="A537" s="212" t="s">
        <v>1893</v>
      </c>
      <c r="B537" s="212" t="s">
        <v>1894</v>
      </c>
      <c r="C537" s="212" t="s">
        <v>1895</v>
      </c>
      <c r="D537" s="213">
        <v>45549.80228009259</v>
      </c>
      <c r="E537" s="213"/>
      <c r="F537" s="214" t="s">
        <v>431</v>
      </c>
      <c r="G537" s="215" t="s">
        <v>513</v>
      </c>
      <c r="H537" s="212" t="s">
        <v>377</v>
      </c>
      <c r="I537" s="212" t="s">
        <v>357</v>
      </c>
    </row>
    <row r="538">
      <c r="A538" s="212" t="s">
        <v>1896</v>
      </c>
      <c r="B538" s="212" t="s">
        <v>1894</v>
      </c>
      <c r="C538" s="212" t="s">
        <v>1897</v>
      </c>
      <c r="D538" s="213">
        <v>45541.86767361111</v>
      </c>
      <c r="E538" s="213"/>
      <c r="F538" s="214" t="s">
        <v>291</v>
      </c>
      <c r="G538" s="215" t="s">
        <v>1898</v>
      </c>
      <c r="H538" s="212" t="s">
        <v>377</v>
      </c>
      <c r="I538" s="212" t="s">
        <v>357</v>
      </c>
    </row>
    <row r="539">
      <c r="A539" s="216" t="s">
        <v>1899</v>
      </c>
      <c r="B539" s="216" t="s">
        <v>1894</v>
      </c>
      <c r="C539" s="216" t="s">
        <v>1895</v>
      </c>
      <c r="D539" s="217">
        <v>45536.60197916667</v>
      </c>
      <c r="E539" s="217"/>
      <c r="F539" s="218" t="s">
        <v>431</v>
      </c>
      <c r="G539" s="219" t="s">
        <v>1900</v>
      </c>
      <c r="H539" s="216" t="s">
        <v>377</v>
      </c>
      <c r="I539" s="216" t="s">
        <v>357</v>
      </c>
    </row>
    <row r="540">
      <c r="A540" s="216" t="s">
        <v>1901</v>
      </c>
      <c r="B540" s="216" t="s">
        <v>1894</v>
      </c>
      <c r="C540" s="216" t="s">
        <v>1895</v>
      </c>
      <c r="D540" s="217">
        <v>45527.82677083334</v>
      </c>
      <c r="E540" s="217"/>
      <c r="F540" s="218" t="s">
        <v>317</v>
      </c>
      <c r="G540" s="219" t="s">
        <v>1902</v>
      </c>
      <c r="H540" s="216" t="s">
        <v>377</v>
      </c>
      <c r="I540" s="216" t="s">
        <v>357</v>
      </c>
    </row>
    <row r="541">
      <c r="A541" s="216" t="s">
        <v>1903</v>
      </c>
      <c r="B541" s="216" t="s">
        <v>1894</v>
      </c>
      <c r="C541" s="216" t="s">
        <v>1895</v>
      </c>
      <c r="D541" s="217">
        <v>45520.841898148145</v>
      </c>
      <c r="E541" s="217"/>
      <c r="F541" s="218" t="s">
        <v>658</v>
      </c>
      <c r="G541" s="219" t="s">
        <v>1904</v>
      </c>
      <c r="H541" s="216" t="s">
        <v>377</v>
      </c>
      <c r="I541" s="216" t="s">
        <v>357</v>
      </c>
    </row>
    <row r="542">
      <c r="A542" s="212" t="s">
        <v>1905</v>
      </c>
      <c r="B542" s="212" t="s">
        <v>1894</v>
      </c>
      <c r="C542" s="212" t="s">
        <v>1895</v>
      </c>
      <c r="D542" s="213">
        <v>45513.8449537037</v>
      </c>
      <c r="E542" s="213"/>
      <c r="F542" s="214" t="s">
        <v>291</v>
      </c>
      <c r="G542" s="215" t="s">
        <v>1906</v>
      </c>
      <c r="H542" s="212" t="s">
        <v>377</v>
      </c>
      <c r="I542" s="212" t="s">
        <v>357</v>
      </c>
    </row>
    <row r="543">
      <c r="A543" s="212" t="s">
        <v>1907</v>
      </c>
      <c r="B543" s="212" t="s">
        <v>1894</v>
      </c>
      <c r="C543" s="212" t="s">
        <v>1895</v>
      </c>
      <c r="D543" s="213">
        <v>45506.87770833333</v>
      </c>
      <c r="E543" s="213"/>
      <c r="F543" s="214" t="s">
        <v>291</v>
      </c>
      <c r="G543" s="215" t="s">
        <v>1908</v>
      </c>
      <c r="H543" s="212" t="s">
        <v>377</v>
      </c>
      <c r="I543" s="212" t="s">
        <v>357</v>
      </c>
    </row>
    <row r="544">
      <c r="A544" s="216" t="s">
        <v>1909</v>
      </c>
      <c r="B544" s="216" t="s">
        <v>1894</v>
      </c>
      <c r="C544" s="216" t="s">
        <v>1895</v>
      </c>
      <c r="D544" s="217">
        <v>45494.42815972222</v>
      </c>
      <c r="E544" s="217"/>
      <c r="F544" s="218" t="s">
        <v>1300</v>
      </c>
      <c r="G544" s="219" t="s">
        <v>1910</v>
      </c>
      <c r="H544" s="216" t="s">
        <v>377</v>
      </c>
      <c r="I544" s="216" t="s">
        <v>357</v>
      </c>
    </row>
    <row r="545">
      <c r="A545" s="216" t="s">
        <v>1911</v>
      </c>
      <c r="B545" s="216" t="s">
        <v>1894</v>
      </c>
      <c r="C545" s="216" t="s">
        <v>1895</v>
      </c>
      <c r="D545" s="217">
        <v>45485.86900462963</v>
      </c>
      <c r="E545" s="217"/>
      <c r="F545" s="218" t="s">
        <v>291</v>
      </c>
      <c r="G545" s="219" t="s">
        <v>1906</v>
      </c>
      <c r="H545" s="216" t="s">
        <v>377</v>
      </c>
      <c r="I545" s="216" t="s">
        <v>357</v>
      </c>
    </row>
    <row r="546">
      <c r="A546" s="216" t="s">
        <v>1911</v>
      </c>
      <c r="B546" s="216" t="s">
        <v>1894</v>
      </c>
      <c r="C546" s="216" t="s">
        <v>1895</v>
      </c>
      <c r="D546" s="217">
        <v>45485.86900462963</v>
      </c>
      <c r="E546" s="217"/>
      <c r="F546" s="218" t="s">
        <v>291</v>
      </c>
      <c r="G546" s="219" t="s">
        <v>1906</v>
      </c>
      <c r="H546" s="216" t="s">
        <v>377</v>
      </c>
      <c r="I546" s="216" t="s">
        <v>357</v>
      </c>
    </row>
    <row r="547">
      <c r="A547" s="212" t="s">
        <v>1912</v>
      </c>
      <c r="B547" s="212" t="s">
        <v>1894</v>
      </c>
      <c r="C547" s="212" t="s">
        <v>1895</v>
      </c>
      <c r="D547" s="213">
        <v>45478.88282407408</v>
      </c>
      <c r="E547" s="213"/>
      <c r="F547" s="214" t="s">
        <v>250</v>
      </c>
      <c r="G547" s="215" t="s">
        <v>1913</v>
      </c>
      <c r="H547" s="212" t="s">
        <v>377</v>
      </c>
      <c r="I547" s="212" t="s">
        <v>357</v>
      </c>
    </row>
    <row r="548">
      <c r="A548" s="212" t="s">
        <v>1914</v>
      </c>
      <c r="B548" s="212" t="s">
        <v>1894</v>
      </c>
      <c r="C548" s="212" t="s">
        <v>1895</v>
      </c>
      <c r="D548" s="213">
        <v>45464.88615740741</v>
      </c>
      <c r="E548" s="213"/>
      <c r="F548" s="214" t="s">
        <v>658</v>
      </c>
      <c r="G548" s="215" t="s">
        <v>1915</v>
      </c>
      <c r="H548" s="212" t="s">
        <v>377</v>
      </c>
      <c r="I548" s="212" t="s">
        <v>357</v>
      </c>
    </row>
    <row r="549">
      <c r="A549" s="216" t="s">
        <v>1916</v>
      </c>
      <c r="B549" s="216" t="s">
        <v>1894</v>
      </c>
      <c r="C549" s="216" t="s">
        <v>1895</v>
      </c>
      <c r="D549" s="217">
        <v>45716.83961805556</v>
      </c>
      <c r="E549" s="217">
        <v>45717.49670138889</v>
      </c>
      <c r="F549" s="218" t="s">
        <v>470</v>
      </c>
      <c r="G549" s="219" t="s">
        <v>1917</v>
      </c>
      <c r="H549" s="216" t="s">
        <v>377</v>
      </c>
      <c r="I549" s="216" t="s">
        <v>357</v>
      </c>
    </row>
    <row r="550">
      <c r="A550" s="212" t="s">
        <v>1918</v>
      </c>
      <c r="B550" s="212" t="s">
        <v>1894</v>
      </c>
      <c r="C550" s="212" t="s">
        <v>1919</v>
      </c>
      <c r="D550" s="213">
        <v>45711.62322916667</v>
      </c>
      <c r="E550" s="213">
        <v>45712.45496527778</v>
      </c>
      <c r="F550" s="214" t="s">
        <v>269</v>
      </c>
      <c r="G550" s="215" t="s">
        <v>1920</v>
      </c>
      <c r="H550" s="212" t="s">
        <v>346</v>
      </c>
      <c r="I550" s="212" t="s">
        <v>812</v>
      </c>
    </row>
    <row r="551">
      <c r="A551" s="216" t="s">
        <v>1921</v>
      </c>
      <c r="B551" s="216" t="s">
        <v>1894</v>
      </c>
      <c r="C551" s="216" t="s">
        <v>1895</v>
      </c>
      <c r="D551" s="217">
        <v>45709.83962962963</v>
      </c>
      <c r="E551" s="217">
        <v>45710.482824074075</v>
      </c>
      <c r="F551" s="218" t="s">
        <v>470</v>
      </c>
      <c r="G551" s="219" t="s">
        <v>1922</v>
      </c>
      <c r="H551" s="216" t="s">
        <v>377</v>
      </c>
      <c r="I551" s="216" t="s">
        <v>357</v>
      </c>
    </row>
    <row r="552">
      <c r="A552" s="212" t="s">
        <v>1923</v>
      </c>
      <c r="B552" s="212" t="s">
        <v>1894</v>
      </c>
      <c r="C552" s="212" t="s">
        <v>1895</v>
      </c>
      <c r="D552" s="213">
        <v>45734.84539351852</v>
      </c>
      <c r="E552" s="213">
        <v>45735.64244212963</v>
      </c>
      <c r="F552" s="214" t="s">
        <v>503</v>
      </c>
      <c r="G552" s="215" t="s">
        <v>1051</v>
      </c>
      <c r="H552" s="212" t="s">
        <v>377</v>
      </c>
      <c r="I552" s="212" t="s">
        <v>357</v>
      </c>
    </row>
    <row r="553">
      <c r="A553" s="216" t="s">
        <v>1924</v>
      </c>
      <c r="B553" s="216" t="s">
        <v>1925</v>
      </c>
      <c r="C553" s="216" t="s">
        <v>1926</v>
      </c>
      <c r="D553" s="217">
        <v>45476.86701388889</v>
      </c>
      <c r="E553" s="217"/>
      <c r="F553" s="218" t="s">
        <v>765</v>
      </c>
      <c r="G553" s="219" t="s">
        <v>1927</v>
      </c>
      <c r="H553" s="216" t="s">
        <v>346</v>
      </c>
      <c r="I553" s="216" t="s">
        <v>1928</v>
      </c>
    </row>
    <row r="554">
      <c r="A554" s="216" t="s">
        <v>1929</v>
      </c>
      <c r="B554" s="216" t="s">
        <v>1930</v>
      </c>
      <c r="C554" s="216" t="s">
        <v>1931</v>
      </c>
      <c r="D554" s="217">
        <v>45536.50100694445</v>
      </c>
      <c r="E554" s="217"/>
      <c r="F554" s="218" t="s">
        <v>269</v>
      </c>
      <c r="G554" s="219" t="s">
        <v>519</v>
      </c>
      <c r="H554" s="216" t="s">
        <v>377</v>
      </c>
      <c r="I554" s="216" t="s">
        <v>1932</v>
      </c>
    </row>
    <row r="555">
      <c r="A555" s="216" t="s">
        <v>1933</v>
      </c>
      <c r="B555" s="216" t="s">
        <v>1934</v>
      </c>
      <c r="C555" s="216" t="s">
        <v>1935</v>
      </c>
      <c r="D555" s="217">
        <v>45543.845601851855</v>
      </c>
      <c r="E555" s="217"/>
      <c r="F555" s="218" t="s">
        <v>509</v>
      </c>
      <c r="G555" s="219" t="s">
        <v>1936</v>
      </c>
      <c r="H555" s="216" t="s">
        <v>346</v>
      </c>
      <c r="I555" s="216" t="s">
        <v>930</v>
      </c>
    </row>
    <row r="556">
      <c r="A556" s="212" t="s">
        <v>1937</v>
      </c>
      <c r="B556" s="212" t="s">
        <v>1934</v>
      </c>
      <c r="C556" s="212" t="s">
        <v>1938</v>
      </c>
      <c r="D556" s="213">
        <v>45708.89372685185</v>
      </c>
      <c r="E556" s="213">
        <v>45709.63899305555</v>
      </c>
      <c r="F556" s="214" t="s">
        <v>431</v>
      </c>
      <c r="G556" s="215" t="s">
        <v>1939</v>
      </c>
      <c r="H556" s="212" t="s">
        <v>377</v>
      </c>
      <c r="I556" s="212" t="s">
        <v>930</v>
      </c>
    </row>
    <row r="557">
      <c r="A557" s="212" t="s">
        <v>1940</v>
      </c>
      <c r="B557" s="212" t="s">
        <v>1934</v>
      </c>
      <c r="C557" s="212" t="s">
        <v>1941</v>
      </c>
      <c r="D557" s="213">
        <v>45746.727430555555</v>
      </c>
      <c r="E557" s="213">
        <v>45748.54173611111</v>
      </c>
      <c r="F557" s="214" t="s">
        <v>431</v>
      </c>
      <c r="G557" s="215" t="s">
        <v>525</v>
      </c>
      <c r="H557" s="212" t="s">
        <v>283</v>
      </c>
      <c r="I557" s="212" t="s">
        <v>1942</v>
      </c>
    </row>
    <row r="558">
      <c r="A558" s="212" t="s">
        <v>1943</v>
      </c>
      <c r="B558" s="212" t="s">
        <v>1934</v>
      </c>
      <c r="C558" s="212" t="s">
        <v>1944</v>
      </c>
      <c r="D558" s="213">
        <v>45738.62909722222</v>
      </c>
      <c r="E558" s="213">
        <v>45741.43755787037</v>
      </c>
      <c r="F558" s="214" t="s">
        <v>250</v>
      </c>
      <c r="G558" s="215" t="s">
        <v>1945</v>
      </c>
      <c r="H558" s="212" t="s">
        <v>377</v>
      </c>
      <c r="I558" s="212" t="s">
        <v>1946</v>
      </c>
    </row>
    <row r="559">
      <c r="A559" s="212" t="s">
        <v>1947</v>
      </c>
      <c r="B559" s="212" t="s">
        <v>1948</v>
      </c>
      <c r="C559" s="212" t="s">
        <v>1949</v>
      </c>
      <c r="D559" s="213">
        <v>45746.880833333336</v>
      </c>
      <c r="E559" s="213">
        <v>45747.38542824074</v>
      </c>
      <c r="F559" s="214" t="s">
        <v>1082</v>
      </c>
      <c r="G559" s="215" t="s">
        <v>1950</v>
      </c>
      <c r="H559" s="212" t="s">
        <v>346</v>
      </c>
      <c r="I559" s="212" t="s">
        <v>823</v>
      </c>
    </row>
    <row r="560">
      <c r="A560" s="216" t="s">
        <v>1951</v>
      </c>
      <c r="B560" s="216" t="s">
        <v>1952</v>
      </c>
      <c r="C560" s="216" t="s">
        <v>1953</v>
      </c>
      <c r="D560" s="217">
        <v>45709.46349537037</v>
      </c>
      <c r="E560" s="217">
        <v>45709.49659722222</v>
      </c>
      <c r="F560" s="218" t="s">
        <v>1954</v>
      </c>
      <c r="G560" s="219" t="s">
        <v>1955</v>
      </c>
      <c r="H560" s="216" t="s">
        <v>811</v>
      </c>
      <c r="I560" s="216" t="s">
        <v>823</v>
      </c>
    </row>
    <row r="561">
      <c r="A561" s="216" t="s">
        <v>1956</v>
      </c>
      <c r="B561" s="216" t="s">
        <v>1952</v>
      </c>
      <c r="C561" s="216" t="s">
        <v>1957</v>
      </c>
      <c r="D561" s="217">
        <v>45707.62804398148</v>
      </c>
      <c r="E561" s="217">
        <v>45707.63553240741</v>
      </c>
      <c r="F561" s="218" t="s">
        <v>269</v>
      </c>
      <c r="G561" s="219" t="s">
        <v>1958</v>
      </c>
      <c r="H561" s="216" t="s">
        <v>811</v>
      </c>
      <c r="I561" s="216" t="s">
        <v>1714</v>
      </c>
    </row>
    <row r="562">
      <c r="A562" s="212" t="s">
        <v>1959</v>
      </c>
      <c r="B562" s="212" t="s">
        <v>1952</v>
      </c>
      <c r="C562" s="212" t="s">
        <v>1960</v>
      </c>
      <c r="D562" s="213">
        <v>45707.62699074074</v>
      </c>
      <c r="E562" s="227"/>
      <c r="F562" s="214" t="s">
        <v>1954</v>
      </c>
      <c r="G562" s="215" t="s">
        <v>1955</v>
      </c>
      <c r="H562" s="212" t="s">
        <v>811</v>
      </c>
      <c r="I562" s="212" t="s">
        <v>823</v>
      </c>
    </row>
    <row r="563">
      <c r="A563" s="212" t="s">
        <v>1961</v>
      </c>
      <c r="B563" s="212" t="s">
        <v>1952</v>
      </c>
      <c r="C563" s="212" t="s">
        <v>1962</v>
      </c>
      <c r="D563" s="213">
        <v>45746.619479166664</v>
      </c>
      <c r="E563" s="213">
        <v>45746.82644675926</v>
      </c>
      <c r="F563" s="214" t="s">
        <v>481</v>
      </c>
      <c r="G563" s="215" t="s">
        <v>1963</v>
      </c>
      <c r="H563" s="212" t="s">
        <v>283</v>
      </c>
      <c r="I563" s="212" t="s">
        <v>1714</v>
      </c>
    </row>
    <row r="564">
      <c r="A564" s="212" t="s">
        <v>1964</v>
      </c>
      <c r="B564" s="212" t="s">
        <v>1965</v>
      </c>
      <c r="C564" s="212" t="s">
        <v>1966</v>
      </c>
      <c r="D564" s="213">
        <v>45745.89059027778</v>
      </c>
      <c r="E564" s="213">
        <v>45745.9028125</v>
      </c>
      <c r="F564" s="214" t="s">
        <v>1092</v>
      </c>
      <c r="G564" s="215" t="s">
        <v>1967</v>
      </c>
      <c r="H564" s="212" t="s">
        <v>337</v>
      </c>
      <c r="I564" s="212" t="s">
        <v>1137</v>
      </c>
    </row>
    <row r="565">
      <c r="A565" s="212" t="s">
        <v>1968</v>
      </c>
      <c r="B565" s="212" t="s">
        <v>1969</v>
      </c>
      <c r="C565" s="212" t="s">
        <v>1970</v>
      </c>
      <c r="D565" s="213">
        <v>45549.81261574074</v>
      </c>
      <c r="E565" s="213"/>
      <c r="F565" s="214" t="s">
        <v>706</v>
      </c>
      <c r="G565" s="215" t="s">
        <v>1971</v>
      </c>
      <c r="H565" s="212" t="s">
        <v>265</v>
      </c>
      <c r="I565" s="212" t="s">
        <v>1080</v>
      </c>
    </row>
    <row r="566">
      <c r="A566" s="216" t="s">
        <v>1972</v>
      </c>
      <c r="B566" s="216" t="s">
        <v>1969</v>
      </c>
      <c r="C566" s="216" t="s">
        <v>1970</v>
      </c>
      <c r="D566" s="217">
        <v>45543.71630787037</v>
      </c>
      <c r="E566" s="217"/>
      <c r="F566" s="218" t="s">
        <v>431</v>
      </c>
      <c r="G566" s="219" t="s">
        <v>1973</v>
      </c>
      <c r="H566" s="216" t="s">
        <v>265</v>
      </c>
      <c r="I566" s="216" t="s">
        <v>1080</v>
      </c>
    </row>
    <row r="567">
      <c r="A567" s="216" t="s">
        <v>1974</v>
      </c>
      <c r="B567" s="216" t="s">
        <v>1969</v>
      </c>
      <c r="C567" s="216" t="s">
        <v>1970</v>
      </c>
      <c r="D567" s="217">
        <v>45528.78962962963</v>
      </c>
      <c r="E567" s="217"/>
      <c r="F567" s="218" t="s">
        <v>503</v>
      </c>
      <c r="G567" s="219" t="s">
        <v>1975</v>
      </c>
      <c r="H567" s="216" t="s">
        <v>265</v>
      </c>
      <c r="I567" s="216" t="s">
        <v>1080</v>
      </c>
    </row>
    <row r="568">
      <c r="A568" s="216" t="s">
        <v>1976</v>
      </c>
      <c r="B568" s="216" t="s">
        <v>1969</v>
      </c>
      <c r="C568" s="216" t="s">
        <v>1977</v>
      </c>
      <c r="D568" s="217">
        <v>45487.7934837963</v>
      </c>
      <c r="E568" s="217"/>
      <c r="F568" s="218" t="s">
        <v>509</v>
      </c>
      <c r="G568" s="219" t="s">
        <v>1978</v>
      </c>
      <c r="H568" s="216" t="s">
        <v>265</v>
      </c>
      <c r="I568" s="216" t="s">
        <v>1979</v>
      </c>
    </row>
    <row r="569">
      <c r="A569" s="212" t="s">
        <v>1980</v>
      </c>
      <c r="B569" s="212" t="s">
        <v>1969</v>
      </c>
      <c r="C569" s="212" t="s">
        <v>1981</v>
      </c>
      <c r="D569" s="213">
        <v>45487.79209490741</v>
      </c>
      <c r="E569" s="213"/>
      <c r="F569" s="214" t="s">
        <v>509</v>
      </c>
      <c r="G569" s="215" t="s">
        <v>1978</v>
      </c>
      <c r="H569" s="212" t="s">
        <v>265</v>
      </c>
      <c r="I569" s="212" t="s">
        <v>1080</v>
      </c>
    </row>
    <row r="570">
      <c r="A570" s="216" t="s">
        <v>1982</v>
      </c>
      <c r="B570" s="216" t="s">
        <v>1969</v>
      </c>
      <c r="C570" s="216" t="s">
        <v>1970</v>
      </c>
      <c r="D570" s="217">
        <v>45487.79152777778</v>
      </c>
      <c r="E570" s="217"/>
      <c r="F570" s="218" t="s">
        <v>498</v>
      </c>
      <c r="G570" s="219" t="s">
        <v>1983</v>
      </c>
      <c r="H570" s="216" t="s">
        <v>265</v>
      </c>
      <c r="I570" s="216" t="s">
        <v>1080</v>
      </c>
    </row>
    <row r="571">
      <c r="A571" s="216" t="s">
        <v>1976</v>
      </c>
      <c r="B571" s="216" t="s">
        <v>1969</v>
      </c>
      <c r="C571" s="216" t="s">
        <v>1977</v>
      </c>
      <c r="D571" s="217">
        <v>45487.7934837963</v>
      </c>
      <c r="E571" s="217"/>
      <c r="F571" s="218" t="s">
        <v>509</v>
      </c>
      <c r="G571" s="219" t="s">
        <v>1978</v>
      </c>
      <c r="H571" s="216" t="s">
        <v>265</v>
      </c>
      <c r="I571" s="216" t="s">
        <v>1979</v>
      </c>
    </row>
    <row r="572">
      <c r="A572" s="212" t="s">
        <v>1980</v>
      </c>
      <c r="B572" s="212" t="s">
        <v>1969</v>
      </c>
      <c r="C572" s="212" t="s">
        <v>1981</v>
      </c>
      <c r="D572" s="213">
        <v>45487.79209490741</v>
      </c>
      <c r="E572" s="213"/>
      <c r="F572" s="214" t="s">
        <v>509</v>
      </c>
      <c r="G572" s="215" t="s">
        <v>1978</v>
      </c>
      <c r="H572" s="212" t="s">
        <v>265</v>
      </c>
      <c r="I572" s="212" t="s">
        <v>1080</v>
      </c>
    </row>
    <row r="573">
      <c r="A573" s="216" t="s">
        <v>1982</v>
      </c>
      <c r="B573" s="216" t="s">
        <v>1969</v>
      </c>
      <c r="C573" s="216" t="s">
        <v>1970</v>
      </c>
      <c r="D573" s="217">
        <v>45487.79152777778</v>
      </c>
      <c r="E573" s="217"/>
      <c r="F573" s="218" t="s">
        <v>498</v>
      </c>
      <c r="G573" s="219" t="s">
        <v>1983</v>
      </c>
      <c r="H573" s="216" t="s">
        <v>265</v>
      </c>
      <c r="I573" s="216" t="s">
        <v>1080</v>
      </c>
    </row>
    <row r="574">
      <c r="A574" s="216" t="s">
        <v>1984</v>
      </c>
      <c r="B574" s="216" t="s">
        <v>1969</v>
      </c>
      <c r="C574" s="216" t="s">
        <v>1981</v>
      </c>
      <c r="D574" s="217">
        <v>45459.73607638889</v>
      </c>
      <c r="E574" s="217">
        <v>45460.36474537037</v>
      </c>
      <c r="F574" s="218" t="s">
        <v>431</v>
      </c>
      <c r="G574" s="219" t="s">
        <v>1985</v>
      </c>
      <c r="H574" s="216" t="s">
        <v>265</v>
      </c>
      <c r="I574" s="216" t="s">
        <v>1080</v>
      </c>
    </row>
    <row r="575">
      <c r="A575" s="212" t="s">
        <v>1986</v>
      </c>
      <c r="B575" s="212" t="s">
        <v>1969</v>
      </c>
      <c r="C575" s="212" t="s">
        <v>1981</v>
      </c>
      <c r="D575" s="213">
        <v>45451.69950231481</v>
      </c>
      <c r="E575" s="213">
        <v>45451.70489583333</v>
      </c>
      <c r="F575" s="214" t="s">
        <v>431</v>
      </c>
      <c r="G575" s="215" t="s">
        <v>720</v>
      </c>
      <c r="H575" s="212" t="s">
        <v>265</v>
      </c>
      <c r="I575" s="212" t="s">
        <v>1080</v>
      </c>
    </row>
    <row r="576">
      <c r="A576" s="216" t="s">
        <v>1987</v>
      </c>
      <c r="B576" s="216" t="s">
        <v>1988</v>
      </c>
      <c r="C576" s="216" t="s">
        <v>1989</v>
      </c>
      <c r="D576" s="217">
        <v>45496.829039351855</v>
      </c>
      <c r="E576" s="217"/>
      <c r="F576" s="218" t="s">
        <v>1990</v>
      </c>
      <c r="G576" s="219" t="s">
        <v>1991</v>
      </c>
      <c r="H576" s="216" t="s">
        <v>632</v>
      </c>
      <c r="I576" s="216" t="s">
        <v>260</v>
      </c>
    </row>
    <row r="577">
      <c r="A577" s="216" t="s">
        <v>1992</v>
      </c>
      <c r="B577" s="216" t="s">
        <v>1988</v>
      </c>
      <c r="C577" s="216" t="s">
        <v>1993</v>
      </c>
      <c r="D577" s="217">
        <v>45473.804618055554</v>
      </c>
      <c r="E577" s="217"/>
      <c r="F577" s="218" t="s">
        <v>1092</v>
      </c>
      <c r="G577" s="219" t="s">
        <v>1994</v>
      </c>
      <c r="H577" s="216" t="s">
        <v>265</v>
      </c>
      <c r="I577" s="216" t="s">
        <v>260</v>
      </c>
    </row>
    <row r="578">
      <c r="A578" s="212" t="s">
        <v>1995</v>
      </c>
      <c r="B578" s="212" t="s">
        <v>1988</v>
      </c>
      <c r="C578" s="212" t="s">
        <v>1996</v>
      </c>
      <c r="D578" s="213">
        <v>45472.64003472222</v>
      </c>
      <c r="E578" s="227"/>
      <c r="F578" s="214" t="s">
        <v>1092</v>
      </c>
      <c r="G578" s="215" t="s">
        <v>1997</v>
      </c>
      <c r="H578" s="212" t="s">
        <v>632</v>
      </c>
      <c r="I578" s="212" t="s">
        <v>260</v>
      </c>
    </row>
    <row r="579">
      <c r="A579" s="212" t="s">
        <v>1998</v>
      </c>
      <c r="B579" s="212" t="s">
        <v>1999</v>
      </c>
      <c r="C579" s="212" t="s">
        <v>2000</v>
      </c>
      <c r="D579" s="213">
        <v>45482.518541666665</v>
      </c>
      <c r="E579" s="213"/>
      <c r="F579" s="214" t="s">
        <v>431</v>
      </c>
      <c r="G579" s="215" t="s">
        <v>431</v>
      </c>
      <c r="H579" s="212" t="s">
        <v>2001</v>
      </c>
      <c r="I579" s="212" t="s">
        <v>2002</v>
      </c>
    </row>
    <row r="580">
      <c r="A580" s="216" t="s">
        <v>2003</v>
      </c>
      <c r="B580" s="216" t="s">
        <v>2004</v>
      </c>
      <c r="C580" s="216" t="s">
        <v>2005</v>
      </c>
      <c r="D580" s="217">
        <v>45522.49041666667</v>
      </c>
      <c r="E580" s="217"/>
      <c r="F580" s="218" t="s">
        <v>2006</v>
      </c>
      <c r="G580" s="219" t="s">
        <v>2007</v>
      </c>
      <c r="H580" s="216" t="s">
        <v>356</v>
      </c>
      <c r="I580" s="216" t="s">
        <v>946</v>
      </c>
    </row>
    <row r="581">
      <c r="A581" s="212" t="s">
        <v>2008</v>
      </c>
      <c r="B581" s="212" t="s">
        <v>2009</v>
      </c>
      <c r="C581" s="212" t="s">
        <v>2010</v>
      </c>
      <c r="D581" s="213">
        <v>45482.69414351852</v>
      </c>
      <c r="E581" s="213"/>
      <c r="F581" s="214" t="s">
        <v>509</v>
      </c>
      <c r="G581" s="215" t="s">
        <v>2011</v>
      </c>
      <c r="H581" s="212" t="s">
        <v>535</v>
      </c>
      <c r="I581" s="212" t="s">
        <v>2012</v>
      </c>
    </row>
    <row r="582">
      <c r="A582" s="216" t="s">
        <v>2013</v>
      </c>
      <c r="B582" s="216" t="s">
        <v>2009</v>
      </c>
      <c r="C582" s="216" t="s">
        <v>2010</v>
      </c>
      <c r="D582" s="217">
        <v>45482.692777777775</v>
      </c>
      <c r="E582" s="224"/>
      <c r="F582" s="218" t="s">
        <v>391</v>
      </c>
      <c r="G582" s="219" t="s">
        <v>877</v>
      </c>
      <c r="H582" s="216" t="s">
        <v>259</v>
      </c>
      <c r="I582" s="216" t="s">
        <v>2012</v>
      </c>
    </row>
    <row r="583">
      <c r="A583" s="216" t="s">
        <v>2014</v>
      </c>
      <c r="B583" s="216" t="s">
        <v>2009</v>
      </c>
      <c r="C583" s="216" t="s">
        <v>2010</v>
      </c>
      <c r="D583" s="217">
        <v>45711.485659722224</v>
      </c>
      <c r="E583" s="217">
        <v>45711.54876157407</v>
      </c>
      <c r="F583" s="218" t="s">
        <v>396</v>
      </c>
      <c r="G583" s="219" t="s">
        <v>2015</v>
      </c>
      <c r="H583" s="216" t="s">
        <v>535</v>
      </c>
      <c r="I583" s="216" t="s">
        <v>2012</v>
      </c>
    </row>
    <row r="584">
      <c r="A584" s="216" t="s">
        <v>2016</v>
      </c>
      <c r="B584" s="216" t="s">
        <v>2009</v>
      </c>
      <c r="C584" s="216" t="s">
        <v>2010</v>
      </c>
      <c r="D584" s="217">
        <v>45703.57167824074</v>
      </c>
      <c r="E584" s="217">
        <v>45703.64252314815</v>
      </c>
      <c r="F584" s="218" t="s">
        <v>250</v>
      </c>
      <c r="G584" s="219" t="s">
        <v>455</v>
      </c>
      <c r="H584" s="216" t="s">
        <v>259</v>
      </c>
      <c r="I584" s="216" t="s">
        <v>2012</v>
      </c>
    </row>
    <row r="585">
      <c r="A585" s="212" t="s">
        <v>2017</v>
      </c>
      <c r="B585" s="212" t="s">
        <v>2018</v>
      </c>
      <c r="C585" s="212" t="s">
        <v>2019</v>
      </c>
      <c r="D585" s="213">
        <v>45542.65399305556</v>
      </c>
      <c r="E585" s="213"/>
      <c r="F585" s="214" t="s">
        <v>658</v>
      </c>
      <c r="G585" s="215" t="s">
        <v>2020</v>
      </c>
      <c r="H585" s="212" t="s">
        <v>811</v>
      </c>
      <c r="I585" s="212" t="s">
        <v>284</v>
      </c>
    </row>
    <row r="586">
      <c r="A586" s="216" t="s">
        <v>2021</v>
      </c>
      <c r="B586" s="216" t="s">
        <v>2018</v>
      </c>
      <c r="C586" s="216" t="s">
        <v>2022</v>
      </c>
      <c r="D586" s="217">
        <v>45525.529027777775</v>
      </c>
      <c r="E586" s="217"/>
      <c r="F586" s="218" t="s">
        <v>488</v>
      </c>
      <c r="G586" s="219" t="s">
        <v>2023</v>
      </c>
      <c r="H586" s="216" t="s">
        <v>811</v>
      </c>
      <c r="I586" s="216" t="s">
        <v>284</v>
      </c>
    </row>
    <row r="587">
      <c r="A587" s="216" t="s">
        <v>2024</v>
      </c>
      <c r="B587" s="216" t="s">
        <v>2018</v>
      </c>
      <c r="C587" s="216" t="s">
        <v>2019</v>
      </c>
      <c r="D587" s="217">
        <v>45517.50498842593</v>
      </c>
      <c r="E587" s="217"/>
      <c r="F587" s="218" t="s">
        <v>317</v>
      </c>
      <c r="G587" s="219" t="s">
        <v>1902</v>
      </c>
      <c r="H587" s="216" t="s">
        <v>811</v>
      </c>
      <c r="I587" s="216" t="s">
        <v>284</v>
      </c>
    </row>
    <row r="588">
      <c r="A588" s="212" t="s">
        <v>2025</v>
      </c>
      <c r="B588" s="212" t="s">
        <v>2018</v>
      </c>
      <c r="C588" s="212" t="s">
        <v>2019</v>
      </c>
      <c r="D588" s="213">
        <v>45508.473125</v>
      </c>
      <c r="E588" s="213"/>
      <c r="F588" s="214" t="s">
        <v>465</v>
      </c>
      <c r="G588" s="215" t="s">
        <v>2026</v>
      </c>
      <c r="H588" s="212" t="s">
        <v>811</v>
      </c>
      <c r="I588" s="212" t="s">
        <v>284</v>
      </c>
    </row>
    <row r="589">
      <c r="A589" s="212" t="s">
        <v>2027</v>
      </c>
      <c r="B589" s="212" t="s">
        <v>2018</v>
      </c>
      <c r="C589" s="212" t="s">
        <v>2019</v>
      </c>
      <c r="D589" s="213">
        <v>45504.81288194445</v>
      </c>
      <c r="E589" s="213"/>
      <c r="F589" s="214" t="s">
        <v>380</v>
      </c>
      <c r="G589" s="215" t="s">
        <v>2028</v>
      </c>
      <c r="H589" s="212" t="s">
        <v>811</v>
      </c>
      <c r="I589" s="212" t="s">
        <v>284</v>
      </c>
    </row>
    <row r="590">
      <c r="A590" s="216" t="s">
        <v>2029</v>
      </c>
      <c r="B590" s="216" t="s">
        <v>2018</v>
      </c>
      <c r="C590" s="216" t="s">
        <v>2019</v>
      </c>
      <c r="D590" s="217">
        <v>45497.74255787037</v>
      </c>
      <c r="E590" s="217"/>
      <c r="F590" s="218" t="s">
        <v>2030</v>
      </c>
      <c r="G590" s="219" t="s">
        <v>2031</v>
      </c>
      <c r="H590" s="216" t="s">
        <v>811</v>
      </c>
      <c r="I590" s="216" t="s">
        <v>284</v>
      </c>
    </row>
    <row r="591">
      <c r="A591" s="212" t="s">
        <v>2032</v>
      </c>
      <c r="B591" s="212" t="s">
        <v>2033</v>
      </c>
      <c r="C591" s="212" t="s">
        <v>2034</v>
      </c>
      <c r="D591" s="213">
        <v>45710.83709490741</v>
      </c>
      <c r="E591" s="213">
        <v>45710.85425925926</v>
      </c>
      <c r="F591" s="214" t="s">
        <v>488</v>
      </c>
      <c r="G591" s="215" t="s">
        <v>2035</v>
      </c>
      <c r="H591" s="212" t="s">
        <v>377</v>
      </c>
      <c r="I591" s="212" t="s">
        <v>827</v>
      </c>
    </row>
    <row r="592">
      <c r="A592" s="216" t="s">
        <v>2036</v>
      </c>
      <c r="B592" s="216" t="s">
        <v>2037</v>
      </c>
      <c r="C592" s="216" t="s">
        <v>2038</v>
      </c>
      <c r="D592" s="217">
        <v>45711.438368055555</v>
      </c>
      <c r="E592" s="217">
        <v>45712.42717592593</v>
      </c>
      <c r="F592" s="218" t="s">
        <v>538</v>
      </c>
      <c r="G592" s="219" t="s">
        <v>2039</v>
      </c>
      <c r="H592" s="216" t="s">
        <v>356</v>
      </c>
      <c r="I592" s="216" t="s">
        <v>776</v>
      </c>
    </row>
    <row r="593">
      <c r="A593" s="212" t="s">
        <v>2040</v>
      </c>
      <c r="B593" s="212" t="s">
        <v>2037</v>
      </c>
      <c r="C593" s="212" t="s">
        <v>2041</v>
      </c>
      <c r="D593" s="213">
        <v>45711.43784722222</v>
      </c>
      <c r="E593" s="213">
        <v>45714.63199074074</v>
      </c>
      <c r="F593" s="214" t="s">
        <v>396</v>
      </c>
      <c r="G593" s="215" t="s">
        <v>922</v>
      </c>
      <c r="H593" s="212" t="s">
        <v>346</v>
      </c>
      <c r="I593" s="212" t="s">
        <v>1714</v>
      </c>
    </row>
    <row r="594">
      <c r="A594" s="212" t="s">
        <v>2042</v>
      </c>
      <c r="B594" s="212" t="s">
        <v>2037</v>
      </c>
      <c r="C594" s="212" t="s">
        <v>2038</v>
      </c>
      <c r="D594" s="213">
        <v>45745.782800925925</v>
      </c>
      <c r="E594" s="213">
        <v>45745.882002314815</v>
      </c>
      <c r="F594" s="214" t="s">
        <v>645</v>
      </c>
      <c r="G594" s="215" t="s">
        <v>2043</v>
      </c>
      <c r="H594" s="212" t="s">
        <v>356</v>
      </c>
      <c r="I594" s="212" t="s">
        <v>776</v>
      </c>
    </row>
    <row r="595">
      <c r="A595" s="212" t="s">
        <v>2044</v>
      </c>
      <c r="B595" s="212" t="s">
        <v>2045</v>
      </c>
      <c r="C595" s="212" t="s">
        <v>2046</v>
      </c>
      <c r="D595" s="213">
        <v>45538.45606481482</v>
      </c>
      <c r="E595" s="213"/>
      <c r="F595" s="214" t="s">
        <v>2047</v>
      </c>
      <c r="G595" s="215" t="s">
        <v>2048</v>
      </c>
      <c r="H595" s="212" t="s">
        <v>561</v>
      </c>
      <c r="I595" s="212" t="s">
        <v>786</v>
      </c>
    </row>
    <row r="596">
      <c r="A596" s="212" t="s">
        <v>2049</v>
      </c>
      <c r="B596" s="212" t="s">
        <v>2045</v>
      </c>
      <c r="C596" s="212" t="s">
        <v>2050</v>
      </c>
      <c r="D596" s="213">
        <v>45510.467627314814</v>
      </c>
      <c r="E596" s="213"/>
      <c r="F596" s="214" t="s">
        <v>2051</v>
      </c>
      <c r="G596" s="215" t="s">
        <v>2052</v>
      </c>
      <c r="H596" s="212" t="s">
        <v>535</v>
      </c>
      <c r="I596" s="212" t="s">
        <v>2053</v>
      </c>
    </row>
    <row r="597">
      <c r="A597" s="216" t="s">
        <v>2054</v>
      </c>
      <c r="B597" s="216" t="s">
        <v>2045</v>
      </c>
      <c r="C597" s="216" t="s">
        <v>2055</v>
      </c>
      <c r="D597" s="217">
        <v>45510.44974537037</v>
      </c>
      <c r="E597" s="217"/>
      <c r="F597" s="218" t="s">
        <v>2056</v>
      </c>
      <c r="G597" s="219" t="s">
        <v>2057</v>
      </c>
      <c r="H597" s="216" t="s">
        <v>259</v>
      </c>
      <c r="I597" s="216" t="s">
        <v>595</v>
      </c>
    </row>
    <row r="598">
      <c r="A598" s="216" t="s">
        <v>2058</v>
      </c>
      <c r="B598" s="216" t="s">
        <v>2045</v>
      </c>
      <c r="C598" s="216" t="s">
        <v>2059</v>
      </c>
      <c r="D598" s="217">
        <v>45506.57711805555</v>
      </c>
      <c r="E598" s="217"/>
      <c r="F598" s="218" t="s">
        <v>330</v>
      </c>
      <c r="G598" s="219" t="s">
        <v>2060</v>
      </c>
      <c r="H598" s="216" t="s">
        <v>265</v>
      </c>
      <c r="I598" s="216" t="s">
        <v>786</v>
      </c>
    </row>
    <row r="599">
      <c r="A599" s="216" t="s">
        <v>2061</v>
      </c>
      <c r="B599" s="216" t="s">
        <v>2045</v>
      </c>
      <c r="C599" s="216" t="s">
        <v>2059</v>
      </c>
      <c r="D599" s="217">
        <v>45433.46493055556</v>
      </c>
      <c r="E599" s="217">
        <v>45433.267476851855</v>
      </c>
      <c r="F599" s="218" t="s">
        <v>2062</v>
      </c>
      <c r="G599" s="219" t="s">
        <v>2063</v>
      </c>
      <c r="H599" s="216" t="s">
        <v>761</v>
      </c>
      <c r="I599" s="216" t="s">
        <v>786</v>
      </c>
    </row>
    <row r="600">
      <c r="A600" s="212" t="s">
        <v>2064</v>
      </c>
      <c r="B600" s="212" t="s">
        <v>2045</v>
      </c>
      <c r="C600" s="212" t="s">
        <v>2065</v>
      </c>
      <c r="D600" s="213">
        <v>45748.473333333335</v>
      </c>
      <c r="E600" s="213">
        <v>45748.482719907406</v>
      </c>
      <c r="F600" s="214" t="s">
        <v>431</v>
      </c>
      <c r="G600" s="215" t="s">
        <v>2066</v>
      </c>
      <c r="H600" s="212" t="s">
        <v>561</v>
      </c>
      <c r="I600" s="212" t="s">
        <v>786</v>
      </c>
    </row>
    <row r="601">
      <c r="A601" s="212" t="s">
        <v>2067</v>
      </c>
      <c r="B601" s="212" t="s">
        <v>2068</v>
      </c>
      <c r="C601" s="212" t="s">
        <v>2069</v>
      </c>
      <c r="D601" s="213">
        <v>45551.83256944444</v>
      </c>
      <c r="E601" s="213"/>
      <c r="F601" s="214" t="s">
        <v>503</v>
      </c>
      <c r="G601" s="215" t="s">
        <v>2070</v>
      </c>
      <c r="H601" s="212" t="s">
        <v>265</v>
      </c>
      <c r="I601" s="212" t="s">
        <v>2071</v>
      </c>
    </row>
    <row r="602">
      <c r="A602" s="212" t="s">
        <v>2072</v>
      </c>
      <c r="B602" s="212" t="s">
        <v>2068</v>
      </c>
      <c r="C602" s="212" t="s">
        <v>2069</v>
      </c>
      <c r="D602" s="213">
        <v>45541.77553240741</v>
      </c>
      <c r="E602" s="213"/>
      <c r="F602" s="214" t="s">
        <v>538</v>
      </c>
      <c r="G602" s="215" t="s">
        <v>2073</v>
      </c>
      <c r="H602" s="212" t="s">
        <v>265</v>
      </c>
      <c r="I602" s="212" t="s">
        <v>2071</v>
      </c>
    </row>
    <row r="603">
      <c r="A603" s="216" t="s">
        <v>2074</v>
      </c>
      <c r="B603" s="216" t="s">
        <v>2068</v>
      </c>
      <c r="C603" s="216" t="s">
        <v>2069</v>
      </c>
      <c r="D603" s="217">
        <v>45529.87206018518</v>
      </c>
      <c r="E603" s="217"/>
      <c r="F603" s="218" t="s">
        <v>538</v>
      </c>
      <c r="G603" s="219" t="s">
        <v>2075</v>
      </c>
      <c r="H603" s="216" t="s">
        <v>265</v>
      </c>
      <c r="I603" s="216" t="s">
        <v>2071</v>
      </c>
    </row>
    <row r="604">
      <c r="A604" s="212" t="s">
        <v>2076</v>
      </c>
      <c r="B604" s="212" t="s">
        <v>2068</v>
      </c>
      <c r="C604" s="212" t="s">
        <v>2077</v>
      </c>
      <c r="D604" s="213">
        <v>45514.86394675926</v>
      </c>
      <c r="E604" s="213"/>
      <c r="F604" s="214" t="s">
        <v>503</v>
      </c>
      <c r="G604" s="215" t="s">
        <v>2078</v>
      </c>
      <c r="H604" s="212" t="s">
        <v>265</v>
      </c>
      <c r="I604" s="212" t="s">
        <v>2071</v>
      </c>
    </row>
    <row r="605">
      <c r="A605" s="212" t="s">
        <v>2079</v>
      </c>
      <c r="B605" s="212" t="s">
        <v>2068</v>
      </c>
      <c r="C605" s="212" t="s">
        <v>2069</v>
      </c>
      <c r="D605" s="213">
        <v>45436.783900462964</v>
      </c>
      <c r="E605" s="213">
        <v>45438.458449074074</v>
      </c>
      <c r="F605" s="214" t="s">
        <v>538</v>
      </c>
      <c r="G605" s="215" t="s">
        <v>2080</v>
      </c>
      <c r="H605" s="212" t="s">
        <v>265</v>
      </c>
      <c r="I605" s="212" t="s">
        <v>2071</v>
      </c>
    </row>
    <row r="606">
      <c r="A606" s="216" t="s">
        <v>2081</v>
      </c>
      <c r="B606" s="216" t="s">
        <v>2068</v>
      </c>
      <c r="C606" s="216" t="s">
        <v>2077</v>
      </c>
      <c r="D606" s="217">
        <v>45711.56658564815</v>
      </c>
      <c r="E606" s="217">
        <v>45712.50011574074</v>
      </c>
      <c r="F606" s="218" t="s">
        <v>503</v>
      </c>
      <c r="G606" s="219" t="s">
        <v>1841</v>
      </c>
      <c r="H606" s="216" t="s">
        <v>265</v>
      </c>
      <c r="I606" s="216" t="s">
        <v>2071</v>
      </c>
    </row>
    <row r="607">
      <c r="A607" s="216" t="s">
        <v>2082</v>
      </c>
      <c r="B607" s="216" t="s">
        <v>2068</v>
      </c>
      <c r="C607" s="216" t="s">
        <v>2077</v>
      </c>
      <c r="D607" s="217">
        <v>45737.59762731481</v>
      </c>
      <c r="E607" s="217">
        <v>45739.55571759259</v>
      </c>
      <c r="F607" s="218" t="s">
        <v>339</v>
      </c>
      <c r="G607" s="219" t="s">
        <v>2083</v>
      </c>
      <c r="H607" s="216" t="s">
        <v>265</v>
      </c>
      <c r="I607" s="216" t="s">
        <v>2071</v>
      </c>
    </row>
    <row r="608">
      <c r="A608" s="212" t="s">
        <v>2084</v>
      </c>
      <c r="B608" s="212" t="s">
        <v>2085</v>
      </c>
      <c r="C608" s="212" t="s">
        <v>2086</v>
      </c>
      <c r="D608" s="213">
        <v>45492.60763888889</v>
      </c>
      <c r="E608" s="213"/>
      <c r="F608" s="214" t="s">
        <v>431</v>
      </c>
      <c r="G608" s="215" t="s">
        <v>2087</v>
      </c>
      <c r="H608" s="212" t="s">
        <v>259</v>
      </c>
      <c r="I608" s="212" t="s">
        <v>2088</v>
      </c>
    </row>
    <row r="609">
      <c r="A609" s="216" t="s">
        <v>2084</v>
      </c>
      <c r="B609" s="216" t="s">
        <v>2085</v>
      </c>
      <c r="C609" s="216" t="s">
        <v>2086</v>
      </c>
      <c r="D609" s="217">
        <v>45492.60763888889</v>
      </c>
      <c r="E609" s="217"/>
      <c r="F609" s="218" t="s">
        <v>431</v>
      </c>
      <c r="G609" s="219" t="s">
        <v>2087</v>
      </c>
      <c r="H609" s="216" t="s">
        <v>259</v>
      </c>
      <c r="I609" s="216" t="s">
        <v>2088</v>
      </c>
    </row>
    <row r="610">
      <c r="A610" s="216" t="s">
        <v>2084</v>
      </c>
      <c r="B610" s="216" t="s">
        <v>2085</v>
      </c>
      <c r="C610" s="216" t="s">
        <v>2086</v>
      </c>
      <c r="D610" s="217">
        <v>45492.60763888889</v>
      </c>
      <c r="E610" s="217"/>
      <c r="F610" s="218" t="s">
        <v>431</v>
      </c>
      <c r="G610" s="219" t="s">
        <v>2087</v>
      </c>
      <c r="H610" s="216" t="s">
        <v>259</v>
      </c>
      <c r="I610" s="216" t="s">
        <v>2088</v>
      </c>
    </row>
    <row r="611">
      <c r="A611" s="212" t="s">
        <v>2089</v>
      </c>
      <c r="B611" s="212" t="s">
        <v>2090</v>
      </c>
      <c r="C611" s="212" t="s">
        <v>2091</v>
      </c>
      <c r="D611" s="213">
        <v>45499.65782407407</v>
      </c>
      <c r="E611" s="213"/>
      <c r="F611" s="214" t="s">
        <v>291</v>
      </c>
      <c r="G611" s="215" t="s">
        <v>2092</v>
      </c>
      <c r="H611" s="212" t="s">
        <v>1345</v>
      </c>
      <c r="I611" s="212" t="s">
        <v>2093</v>
      </c>
    </row>
    <row r="612">
      <c r="A612" s="216" t="s">
        <v>2094</v>
      </c>
      <c r="B612" s="216" t="s">
        <v>2095</v>
      </c>
      <c r="C612" s="216" t="s">
        <v>2096</v>
      </c>
      <c r="D612" s="217">
        <v>45744.88013888889</v>
      </c>
      <c r="E612" s="217">
        <v>45745.53134259259</v>
      </c>
      <c r="F612" s="218" t="s">
        <v>940</v>
      </c>
      <c r="G612" s="219" t="s">
        <v>2097</v>
      </c>
      <c r="H612" s="216" t="s">
        <v>259</v>
      </c>
      <c r="I612" s="216" t="s">
        <v>313</v>
      </c>
    </row>
    <row r="613">
      <c r="A613" s="212" t="s">
        <v>2098</v>
      </c>
      <c r="B613" s="212" t="s">
        <v>2099</v>
      </c>
      <c r="C613" s="212" t="s">
        <v>2100</v>
      </c>
      <c r="D613" s="213">
        <v>45773.82077546296</v>
      </c>
      <c r="E613" s="213">
        <v>45775.81613425926</v>
      </c>
      <c r="F613" s="214" t="s">
        <v>431</v>
      </c>
      <c r="G613" s="215" t="s">
        <v>2101</v>
      </c>
      <c r="H613" s="212" t="s">
        <v>259</v>
      </c>
      <c r="I613" s="212" t="s">
        <v>1483</v>
      </c>
    </row>
    <row r="614">
      <c r="A614" s="216" t="s">
        <v>2102</v>
      </c>
      <c r="B614" s="216" t="s">
        <v>2099</v>
      </c>
      <c r="C614" s="216" t="s">
        <v>2103</v>
      </c>
      <c r="D614" s="217">
        <v>45773.819918981484</v>
      </c>
      <c r="E614" s="217">
        <v>45773.968773148146</v>
      </c>
      <c r="F614" s="218" t="s">
        <v>503</v>
      </c>
      <c r="G614" s="219" t="s">
        <v>2104</v>
      </c>
      <c r="H614" s="216" t="s">
        <v>259</v>
      </c>
      <c r="I614" s="216" t="s">
        <v>1483</v>
      </c>
    </row>
    <row r="615">
      <c r="A615" s="212" t="s">
        <v>2105</v>
      </c>
      <c r="B615" s="212" t="s">
        <v>2106</v>
      </c>
      <c r="C615" s="212" t="s">
        <v>2107</v>
      </c>
      <c r="D615" s="213">
        <v>45549.60087962963</v>
      </c>
      <c r="E615" s="213"/>
      <c r="F615" s="214" t="s">
        <v>2108</v>
      </c>
      <c r="G615" s="215" t="s">
        <v>2109</v>
      </c>
      <c r="H615" s="212" t="s">
        <v>265</v>
      </c>
      <c r="I615" s="212" t="s">
        <v>1452</v>
      </c>
    </row>
    <row r="616">
      <c r="A616" s="212" t="s">
        <v>2110</v>
      </c>
      <c r="B616" s="212" t="s">
        <v>2106</v>
      </c>
      <c r="C616" s="212" t="s">
        <v>2107</v>
      </c>
      <c r="D616" s="213">
        <v>45541.80668981482</v>
      </c>
      <c r="E616" s="213"/>
      <c r="F616" s="214" t="s">
        <v>2111</v>
      </c>
      <c r="G616" s="215" t="s">
        <v>2112</v>
      </c>
      <c r="H616" s="212" t="s">
        <v>265</v>
      </c>
      <c r="I616" s="212" t="s">
        <v>1452</v>
      </c>
    </row>
    <row r="617">
      <c r="A617" s="212" t="s">
        <v>2113</v>
      </c>
      <c r="B617" s="212" t="s">
        <v>2114</v>
      </c>
      <c r="C617" s="212" t="s">
        <v>2115</v>
      </c>
      <c r="D617" s="213">
        <v>45706.57622685185</v>
      </c>
      <c r="E617" s="213">
        <v>45706.61467592593</v>
      </c>
      <c r="F617" s="214" t="s">
        <v>658</v>
      </c>
      <c r="G617" s="215" t="s">
        <v>2116</v>
      </c>
      <c r="H617" s="212" t="s">
        <v>356</v>
      </c>
      <c r="I617" s="212" t="s">
        <v>2117</v>
      </c>
    </row>
    <row r="618">
      <c r="A618" s="216" t="s">
        <v>2118</v>
      </c>
      <c r="B618" s="216" t="s">
        <v>2119</v>
      </c>
      <c r="C618" s="216" t="s">
        <v>2120</v>
      </c>
      <c r="D618" s="217">
        <v>45706.573854166665</v>
      </c>
      <c r="E618" s="224"/>
      <c r="F618" s="218" t="s">
        <v>391</v>
      </c>
      <c r="G618" s="219" t="s">
        <v>485</v>
      </c>
      <c r="H618" s="216" t="s">
        <v>356</v>
      </c>
      <c r="I618" s="216" t="s">
        <v>2117</v>
      </c>
    </row>
    <row r="619">
      <c r="A619" s="216" t="s">
        <v>2121</v>
      </c>
      <c r="B619" s="216" t="s">
        <v>2122</v>
      </c>
      <c r="C619" s="216" t="s">
        <v>2123</v>
      </c>
      <c r="D619" s="217">
        <v>45709.78375</v>
      </c>
      <c r="E619" s="217">
        <v>45710.71188657408</v>
      </c>
      <c r="F619" s="218" t="s">
        <v>435</v>
      </c>
      <c r="G619" s="219" t="s">
        <v>2124</v>
      </c>
      <c r="H619" s="216" t="s">
        <v>795</v>
      </c>
      <c r="I619" s="216" t="s">
        <v>490</v>
      </c>
    </row>
    <row r="620">
      <c r="A620" s="212" t="s">
        <v>2125</v>
      </c>
      <c r="B620" s="212" t="s">
        <v>2126</v>
      </c>
      <c r="C620" s="212" t="s">
        <v>2127</v>
      </c>
      <c r="D620" s="213">
        <v>45459.78042824074</v>
      </c>
      <c r="E620" s="213">
        <v>45460.50701388889</v>
      </c>
      <c r="F620" s="214" t="s">
        <v>465</v>
      </c>
      <c r="G620" s="215" t="s">
        <v>2128</v>
      </c>
      <c r="H620" s="212" t="s">
        <v>259</v>
      </c>
      <c r="I620" s="212" t="s">
        <v>2129</v>
      </c>
    </row>
    <row r="621">
      <c r="A621" s="212" t="s">
        <v>2130</v>
      </c>
      <c r="B621" s="212" t="s">
        <v>2131</v>
      </c>
      <c r="C621" s="212" t="s">
        <v>2132</v>
      </c>
      <c r="D621" s="213">
        <v>45552.73918981481</v>
      </c>
      <c r="E621" s="213"/>
      <c r="F621" s="214" t="s">
        <v>431</v>
      </c>
      <c r="G621" s="215" t="s">
        <v>513</v>
      </c>
      <c r="H621" s="212" t="s">
        <v>377</v>
      </c>
      <c r="I621" s="212" t="s">
        <v>389</v>
      </c>
    </row>
    <row r="622">
      <c r="A622" s="216" t="s">
        <v>2133</v>
      </c>
      <c r="B622" s="216" t="s">
        <v>2131</v>
      </c>
      <c r="C622" s="216" t="s">
        <v>2134</v>
      </c>
      <c r="D622" s="217">
        <v>45737.780439814815</v>
      </c>
      <c r="E622" s="217">
        <v>45738.45144675926</v>
      </c>
      <c r="F622" s="218" t="s">
        <v>493</v>
      </c>
      <c r="G622" s="219" t="s">
        <v>1331</v>
      </c>
      <c r="H622" s="216" t="s">
        <v>259</v>
      </c>
      <c r="I622" s="216" t="s">
        <v>2135</v>
      </c>
    </row>
    <row r="623">
      <c r="A623" s="212" t="s">
        <v>2136</v>
      </c>
      <c r="B623" s="212" t="s">
        <v>2131</v>
      </c>
      <c r="C623" s="212" t="s">
        <v>1878</v>
      </c>
      <c r="D623" s="213">
        <v>45737.77974537037</v>
      </c>
      <c r="E623" s="213">
        <v>45742.48270833334</v>
      </c>
      <c r="F623" s="214" t="s">
        <v>658</v>
      </c>
      <c r="G623" s="215" t="s">
        <v>1565</v>
      </c>
      <c r="H623" s="212" t="s">
        <v>811</v>
      </c>
      <c r="I623" s="212" t="s">
        <v>389</v>
      </c>
    </row>
    <row r="624">
      <c r="A624" s="212" t="s">
        <v>2137</v>
      </c>
      <c r="B624" s="212" t="s">
        <v>2138</v>
      </c>
      <c r="C624" s="212" t="s">
        <v>2139</v>
      </c>
      <c r="D624" s="213">
        <v>45744.877280092594</v>
      </c>
      <c r="E624" s="213">
        <v>45744.89934027778</v>
      </c>
      <c r="F624" s="214" t="s">
        <v>2140</v>
      </c>
      <c r="G624" s="215" t="s">
        <v>2141</v>
      </c>
      <c r="H624" s="212" t="s">
        <v>377</v>
      </c>
      <c r="I624" s="212" t="s">
        <v>827</v>
      </c>
    </row>
    <row r="625">
      <c r="A625" s="212" t="s">
        <v>2142</v>
      </c>
      <c r="B625" s="212" t="s">
        <v>2138</v>
      </c>
      <c r="C625" s="212" t="s">
        <v>2143</v>
      </c>
      <c r="D625" s="213">
        <v>45736.90293981481</v>
      </c>
      <c r="E625" s="213">
        <v>45737.49309027778</v>
      </c>
      <c r="F625" s="214" t="s">
        <v>503</v>
      </c>
      <c r="G625" s="215" t="s">
        <v>1051</v>
      </c>
      <c r="H625" s="212" t="s">
        <v>346</v>
      </c>
      <c r="I625" s="212" t="s">
        <v>776</v>
      </c>
    </row>
    <row r="626">
      <c r="A626" s="216" t="s">
        <v>2144</v>
      </c>
      <c r="B626" s="216" t="s">
        <v>2138</v>
      </c>
      <c r="C626" s="216" t="s">
        <v>2145</v>
      </c>
      <c r="D626" s="217">
        <v>45760.716157407405</v>
      </c>
      <c r="E626" s="224"/>
      <c r="F626" s="218" t="s">
        <v>481</v>
      </c>
      <c r="G626" s="219" t="s">
        <v>2146</v>
      </c>
      <c r="H626" s="216" t="s">
        <v>346</v>
      </c>
      <c r="I626" s="216" t="s">
        <v>776</v>
      </c>
    </row>
    <row r="627">
      <c r="A627" s="212" t="s">
        <v>2147</v>
      </c>
      <c r="B627" s="212" t="s">
        <v>2138</v>
      </c>
      <c r="C627" s="212" t="s">
        <v>2139</v>
      </c>
      <c r="D627" s="213">
        <v>45760.71326388889</v>
      </c>
      <c r="E627" s="227"/>
      <c r="F627" s="214" t="s">
        <v>2148</v>
      </c>
      <c r="G627" s="215" t="s">
        <v>2149</v>
      </c>
      <c r="H627" s="212" t="s">
        <v>377</v>
      </c>
      <c r="I627" s="212" t="s">
        <v>2150</v>
      </c>
    </row>
    <row r="628">
      <c r="A628" s="212" t="s">
        <v>2151</v>
      </c>
      <c r="B628" s="212" t="s">
        <v>2152</v>
      </c>
      <c r="C628" s="212" t="s">
        <v>2153</v>
      </c>
      <c r="D628" s="213">
        <v>45438.75655092593</v>
      </c>
      <c r="E628" s="213"/>
      <c r="F628" s="214" t="s">
        <v>651</v>
      </c>
      <c r="G628" s="215" t="s">
        <v>2154</v>
      </c>
      <c r="H628" s="212" t="s">
        <v>259</v>
      </c>
      <c r="I628" s="212" t="s">
        <v>2155</v>
      </c>
    </row>
    <row r="629">
      <c r="A629" s="216" t="s">
        <v>2156</v>
      </c>
      <c r="B629" s="216" t="s">
        <v>2157</v>
      </c>
      <c r="C629" s="216" t="s">
        <v>2158</v>
      </c>
      <c r="D629" s="217">
        <v>45738.71943287037</v>
      </c>
      <c r="E629" s="217">
        <v>45739.454930555556</v>
      </c>
      <c r="F629" s="218" t="s">
        <v>250</v>
      </c>
      <c r="G629" s="219" t="s">
        <v>2159</v>
      </c>
      <c r="H629" s="216" t="s">
        <v>356</v>
      </c>
      <c r="I629" s="216" t="s">
        <v>2160</v>
      </c>
    </row>
    <row r="630">
      <c r="A630" s="216" t="s">
        <v>2161</v>
      </c>
      <c r="B630" s="216" t="s">
        <v>2162</v>
      </c>
      <c r="C630" s="216" t="s">
        <v>2163</v>
      </c>
      <c r="D630" s="217">
        <v>45542.838900462964</v>
      </c>
      <c r="E630" s="217"/>
      <c r="F630" s="218" t="s">
        <v>2164</v>
      </c>
      <c r="G630" s="219" t="s">
        <v>2165</v>
      </c>
      <c r="H630" s="216" t="s">
        <v>265</v>
      </c>
      <c r="I630" s="216" t="s">
        <v>2166</v>
      </c>
    </row>
    <row r="631">
      <c r="A631" s="212" t="s">
        <v>2167</v>
      </c>
      <c r="B631" s="212" t="s">
        <v>2162</v>
      </c>
      <c r="C631" s="212" t="s">
        <v>2168</v>
      </c>
      <c r="D631" s="213">
        <v>45542.83818287037</v>
      </c>
      <c r="E631" s="213"/>
      <c r="F631" s="214" t="s">
        <v>2169</v>
      </c>
      <c r="G631" s="215" t="s">
        <v>2057</v>
      </c>
      <c r="H631" s="212" t="s">
        <v>265</v>
      </c>
      <c r="I631" s="212" t="s">
        <v>2166</v>
      </c>
    </row>
    <row r="632">
      <c r="A632" s="216" t="s">
        <v>2170</v>
      </c>
      <c r="B632" s="216" t="s">
        <v>2162</v>
      </c>
      <c r="C632" s="216" t="s">
        <v>2163</v>
      </c>
      <c r="D632" s="217">
        <v>45479.84527777778</v>
      </c>
      <c r="E632" s="217"/>
      <c r="F632" s="218" t="s">
        <v>503</v>
      </c>
      <c r="G632" s="219" t="s">
        <v>2171</v>
      </c>
      <c r="H632" s="216" t="s">
        <v>265</v>
      </c>
      <c r="I632" s="216" t="s">
        <v>2166</v>
      </c>
    </row>
    <row r="633">
      <c r="A633" s="216" t="s">
        <v>2172</v>
      </c>
      <c r="B633" s="216" t="s">
        <v>2162</v>
      </c>
      <c r="C633" s="216" t="s">
        <v>2168</v>
      </c>
      <c r="D633" s="217">
        <v>45473.653344907405</v>
      </c>
      <c r="E633" s="217"/>
      <c r="F633" s="218" t="s">
        <v>706</v>
      </c>
      <c r="G633" s="219" t="s">
        <v>2173</v>
      </c>
      <c r="H633" s="216" t="s">
        <v>265</v>
      </c>
      <c r="I633" s="216" t="s">
        <v>2166</v>
      </c>
    </row>
    <row r="634">
      <c r="A634" s="216" t="s">
        <v>2174</v>
      </c>
      <c r="B634" s="216" t="s">
        <v>2162</v>
      </c>
      <c r="C634" s="216" t="s">
        <v>2168</v>
      </c>
      <c r="D634" s="217">
        <v>45472.83515046296</v>
      </c>
      <c r="E634" s="217"/>
      <c r="F634" s="218" t="s">
        <v>872</v>
      </c>
      <c r="G634" s="219" t="s">
        <v>2175</v>
      </c>
      <c r="H634" s="216" t="s">
        <v>265</v>
      </c>
      <c r="I634" s="216" t="s">
        <v>2166</v>
      </c>
    </row>
    <row r="635">
      <c r="A635" s="212" t="s">
        <v>2176</v>
      </c>
      <c r="B635" s="212" t="s">
        <v>2162</v>
      </c>
      <c r="C635" s="212" t="s">
        <v>2163</v>
      </c>
      <c r="D635" s="213">
        <v>45472.834872685184</v>
      </c>
      <c r="E635" s="213"/>
      <c r="F635" s="214" t="s">
        <v>2177</v>
      </c>
      <c r="G635" s="215" t="s">
        <v>2178</v>
      </c>
      <c r="H635" s="212" t="s">
        <v>265</v>
      </c>
      <c r="I635" s="212" t="s">
        <v>2166</v>
      </c>
    </row>
    <row r="636">
      <c r="A636" s="216" t="s">
        <v>2179</v>
      </c>
      <c r="B636" s="216" t="s">
        <v>2162</v>
      </c>
      <c r="C636" s="216" t="s">
        <v>2163</v>
      </c>
      <c r="D636" s="217">
        <v>45465.80856481481</v>
      </c>
      <c r="E636" s="217"/>
      <c r="F636" s="218" t="s">
        <v>2180</v>
      </c>
      <c r="G636" s="219" t="s">
        <v>2181</v>
      </c>
      <c r="H636" s="216" t="s">
        <v>265</v>
      </c>
      <c r="I636" s="216" t="s">
        <v>2166</v>
      </c>
    </row>
    <row r="637">
      <c r="A637" s="212" t="s">
        <v>2182</v>
      </c>
      <c r="B637" s="212" t="s">
        <v>2162</v>
      </c>
      <c r="C637" s="212" t="s">
        <v>2168</v>
      </c>
      <c r="D637" s="213">
        <v>45465.80804398148</v>
      </c>
      <c r="E637" s="213"/>
      <c r="F637" s="214" t="s">
        <v>2183</v>
      </c>
      <c r="G637" s="215" t="s">
        <v>2184</v>
      </c>
      <c r="H637" s="212" t="s">
        <v>265</v>
      </c>
      <c r="I637" s="212" t="s">
        <v>2166</v>
      </c>
    </row>
    <row r="638">
      <c r="A638" s="212" t="s">
        <v>2185</v>
      </c>
      <c r="B638" s="212" t="s">
        <v>2162</v>
      </c>
      <c r="C638" s="212" t="s">
        <v>2163</v>
      </c>
      <c r="D638" s="213">
        <v>45458.81383101852</v>
      </c>
      <c r="E638" s="213">
        <v>45459.316157407404</v>
      </c>
      <c r="F638" s="214" t="s">
        <v>2186</v>
      </c>
      <c r="G638" s="215" t="s">
        <v>2187</v>
      </c>
      <c r="H638" s="212" t="s">
        <v>265</v>
      </c>
      <c r="I638" s="212" t="s">
        <v>2166</v>
      </c>
    </row>
    <row r="639">
      <c r="A639" s="216" t="s">
        <v>2188</v>
      </c>
      <c r="B639" s="216" t="s">
        <v>2162</v>
      </c>
      <c r="C639" s="216" t="s">
        <v>2168</v>
      </c>
      <c r="D639" s="217">
        <v>45458.812951388885</v>
      </c>
      <c r="E639" s="217">
        <v>45458.6147337963</v>
      </c>
      <c r="F639" s="218" t="s">
        <v>1652</v>
      </c>
      <c r="G639" s="219" t="s">
        <v>2189</v>
      </c>
      <c r="H639" s="216" t="s">
        <v>265</v>
      </c>
      <c r="I639" s="216" t="s">
        <v>2166</v>
      </c>
    </row>
    <row r="640">
      <c r="A640" s="216" t="s">
        <v>2190</v>
      </c>
      <c r="B640" s="216" t="s">
        <v>2162</v>
      </c>
      <c r="C640" s="216" t="s">
        <v>2163</v>
      </c>
      <c r="D640" s="217">
        <v>45452.839594907404</v>
      </c>
      <c r="E640" s="217">
        <v>45453.35810185185</v>
      </c>
      <c r="F640" s="218" t="s">
        <v>431</v>
      </c>
      <c r="G640" s="219" t="s">
        <v>2191</v>
      </c>
      <c r="H640" s="216" t="s">
        <v>265</v>
      </c>
      <c r="I640" s="216" t="s">
        <v>2166</v>
      </c>
    </row>
    <row r="641">
      <c r="A641" s="216" t="s">
        <v>2192</v>
      </c>
      <c r="B641" s="216" t="s">
        <v>2162</v>
      </c>
      <c r="C641" s="216" t="s">
        <v>2168</v>
      </c>
      <c r="D641" s="217">
        <v>45451.84667824074</v>
      </c>
      <c r="E641" s="217">
        <v>45451.64942129629</v>
      </c>
      <c r="F641" s="218" t="s">
        <v>1553</v>
      </c>
      <c r="G641" s="219" t="s">
        <v>2193</v>
      </c>
      <c r="H641" s="216" t="s">
        <v>265</v>
      </c>
      <c r="I641" s="216" t="s">
        <v>2166</v>
      </c>
    </row>
    <row r="642">
      <c r="A642" s="212" t="s">
        <v>2194</v>
      </c>
      <c r="B642" s="212" t="s">
        <v>2162</v>
      </c>
      <c r="C642" s="212" t="s">
        <v>2168</v>
      </c>
      <c r="D642" s="213">
        <v>45437.78228009259</v>
      </c>
      <c r="E642" s="213">
        <v>45437.58692129629</v>
      </c>
      <c r="F642" s="214" t="s">
        <v>2195</v>
      </c>
      <c r="G642" s="215" t="s">
        <v>2196</v>
      </c>
      <c r="H642" s="212" t="s">
        <v>265</v>
      </c>
      <c r="I642" s="212" t="s">
        <v>2166</v>
      </c>
    </row>
    <row r="643">
      <c r="A643" s="216" t="s">
        <v>2197</v>
      </c>
      <c r="B643" s="216" t="s">
        <v>2162</v>
      </c>
      <c r="C643" s="216" t="s">
        <v>2168</v>
      </c>
      <c r="D643" s="217">
        <v>45745.84127314815</v>
      </c>
      <c r="E643" s="217">
        <v>45745.85077546296</v>
      </c>
      <c r="F643" s="218" t="s">
        <v>2198</v>
      </c>
      <c r="G643" s="219" t="s">
        <v>2199</v>
      </c>
      <c r="H643" s="216" t="s">
        <v>265</v>
      </c>
      <c r="I643" s="216" t="s">
        <v>2166</v>
      </c>
    </row>
    <row r="644">
      <c r="A644" s="216" t="s">
        <v>2200</v>
      </c>
      <c r="B644" s="216" t="s">
        <v>2162</v>
      </c>
      <c r="C644" s="216" t="s">
        <v>2163</v>
      </c>
      <c r="D644" s="217">
        <v>45773.831712962965</v>
      </c>
      <c r="E644" s="217">
        <v>45776.5591087963</v>
      </c>
      <c r="F644" s="218" t="s">
        <v>2201</v>
      </c>
      <c r="G644" s="219" t="s">
        <v>2202</v>
      </c>
      <c r="H644" s="216" t="s">
        <v>265</v>
      </c>
      <c r="I644" s="216" t="s">
        <v>2166</v>
      </c>
    </row>
    <row r="645">
      <c r="A645" s="212" t="s">
        <v>2203</v>
      </c>
      <c r="B645" s="212" t="s">
        <v>2162</v>
      </c>
      <c r="C645" s="212" t="s">
        <v>2168</v>
      </c>
      <c r="D645" s="213">
        <v>45773.830879629626</v>
      </c>
      <c r="E645" s="213">
        <v>45773.840416666666</v>
      </c>
      <c r="F645" s="214" t="s">
        <v>1019</v>
      </c>
      <c r="G645" s="215" t="s">
        <v>2204</v>
      </c>
      <c r="H645" s="212" t="s">
        <v>265</v>
      </c>
      <c r="I645" s="212" t="s">
        <v>2166</v>
      </c>
    </row>
    <row r="646">
      <c r="A646" s="216" t="s">
        <v>2205</v>
      </c>
      <c r="B646" s="216" t="s">
        <v>2162</v>
      </c>
      <c r="C646" s="216" t="s">
        <v>2206</v>
      </c>
      <c r="D646" s="217">
        <v>45759.85228009259</v>
      </c>
      <c r="E646" s="217">
        <v>45759.8646875</v>
      </c>
      <c r="F646" s="218" t="s">
        <v>269</v>
      </c>
      <c r="G646" s="219" t="s">
        <v>2207</v>
      </c>
      <c r="H646" s="216" t="s">
        <v>561</v>
      </c>
      <c r="I646" s="216" t="s">
        <v>2166</v>
      </c>
    </row>
    <row r="647">
      <c r="A647" s="212" t="s">
        <v>2208</v>
      </c>
      <c r="B647" s="212" t="s">
        <v>2162</v>
      </c>
      <c r="C647" s="212" t="s">
        <v>2163</v>
      </c>
      <c r="D647" s="213">
        <v>45759.85105324074</v>
      </c>
      <c r="E647" s="213">
        <v>45762.75707175926</v>
      </c>
      <c r="F647" s="214" t="s">
        <v>1458</v>
      </c>
      <c r="G647" s="215" t="s">
        <v>2209</v>
      </c>
      <c r="H647" s="212" t="s">
        <v>265</v>
      </c>
      <c r="I647" s="212" t="s">
        <v>2166</v>
      </c>
    </row>
    <row r="648">
      <c r="A648" s="216" t="s">
        <v>2210</v>
      </c>
      <c r="B648" s="216" t="s">
        <v>2162</v>
      </c>
      <c r="C648" s="216" t="s">
        <v>2168</v>
      </c>
      <c r="D648" s="217">
        <v>45759.85047453704</v>
      </c>
      <c r="E648" s="217">
        <v>45759.8612037037</v>
      </c>
      <c r="F648" s="218" t="s">
        <v>503</v>
      </c>
      <c r="G648" s="219" t="s">
        <v>1841</v>
      </c>
      <c r="H648" s="216" t="s">
        <v>265</v>
      </c>
      <c r="I648" s="216" t="s">
        <v>2166</v>
      </c>
    </row>
    <row r="649">
      <c r="A649" s="212" t="s">
        <v>2211</v>
      </c>
      <c r="B649" s="212" t="s">
        <v>2212</v>
      </c>
      <c r="C649" s="212" t="s">
        <v>2213</v>
      </c>
      <c r="D649" s="213">
        <v>45521.88450231482</v>
      </c>
      <c r="E649" s="213"/>
      <c r="F649" s="214" t="s">
        <v>2214</v>
      </c>
      <c r="G649" s="215" t="s">
        <v>2215</v>
      </c>
      <c r="H649" s="212" t="s">
        <v>561</v>
      </c>
      <c r="I649" s="212" t="s">
        <v>1731</v>
      </c>
    </row>
    <row r="650">
      <c r="A650" s="216" t="s">
        <v>2216</v>
      </c>
      <c r="B650" s="216" t="s">
        <v>2212</v>
      </c>
      <c r="C650" s="216" t="s">
        <v>2217</v>
      </c>
      <c r="D650" s="217">
        <v>45502.912152777775</v>
      </c>
      <c r="E650" s="217"/>
      <c r="F650" s="218" t="s">
        <v>1142</v>
      </c>
      <c r="G650" s="219" t="s">
        <v>2218</v>
      </c>
      <c r="H650" s="216" t="s">
        <v>561</v>
      </c>
      <c r="I650" s="216" t="s">
        <v>1731</v>
      </c>
    </row>
    <row r="651">
      <c r="A651" s="212" t="s">
        <v>2219</v>
      </c>
      <c r="B651" s="212" t="s">
        <v>2212</v>
      </c>
      <c r="C651" s="212" t="s">
        <v>2220</v>
      </c>
      <c r="D651" s="213">
        <v>45502.90862268519</v>
      </c>
      <c r="E651" s="213"/>
      <c r="F651" s="214" t="s">
        <v>250</v>
      </c>
      <c r="G651" s="215" t="s">
        <v>2221</v>
      </c>
      <c r="H651" s="212" t="s">
        <v>259</v>
      </c>
      <c r="I651" s="212" t="s">
        <v>1731</v>
      </c>
    </row>
    <row r="652">
      <c r="A652" s="216" t="s">
        <v>2222</v>
      </c>
      <c r="B652" s="216" t="s">
        <v>2212</v>
      </c>
      <c r="C652" s="216" t="s">
        <v>2223</v>
      </c>
      <c r="D652" s="217">
        <v>45473.787766203706</v>
      </c>
      <c r="E652" s="217"/>
      <c r="F652" s="218" t="s">
        <v>2224</v>
      </c>
      <c r="G652" s="219" t="s">
        <v>2225</v>
      </c>
      <c r="H652" s="216" t="s">
        <v>561</v>
      </c>
      <c r="I652" s="216" t="s">
        <v>1731</v>
      </c>
    </row>
    <row r="653">
      <c r="A653" s="216" t="s">
        <v>2226</v>
      </c>
      <c r="B653" s="216" t="s">
        <v>2212</v>
      </c>
      <c r="C653" s="216" t="s">
        <v>2227</v>
      </c>
      <c r="D653" s="217">
        <v>45448.83068287037</v>
      </c>
      <c r="E653" s="217">
        <v>45448.649351851855</v>
      </c>
      <c r="F653" s="218" t="s">
        <v>2228</v>
      </c>
      <c r="G653" s="219" t="s">
        <v>2229</v>
      </c>
      <c r="H653" s="216" t="s">
        <v>265</v>
      </c>
      <c r="I653" s="216" t="s">
        <v>1731</v>
      </c>
    </row>
    <row r="654">
      <c r="A654" s="216" t="s">
        <v>2230</v>
      </c>
      <c r="B654" s="216" t="s">
        <v>2231</v>
      </c>
      <c r="C654" s="216" t="s">
        <v>2232</v>
      </c>
      <c r="D654" s="217">
        <v>45746.545694444445</v>
      </c>
      <c r="E654" s="217">
        <v>45746.55567129629</v>
      </c>
      <c r="F654" s="218" t="s">
        <v>431</v>
      </c>
      <c r="G654" s="219" t="s">
        <v>1404</v>
      </c>
      <c r="H654" s="216" t="s">
        <v>795</v>
      </c>
      <c r="I654" s="216" t="s">
        <v>2233</v>
      </c>
    </row>
    <row r="655">
      <c r="A655" s="212" t="s">
        <v>2234</v>
      </c>
      <c r="B655" s="212" t="s">
        <v>2235</v>
      </c>
      <c r="C655" s="212" t="s">
        <v>2236</v>
      </c>
      <c r="D655" s="213">
        <v>45518.765625</v>
      </c>
      <c r="E655" s="213"/>
      <c r="F655" s="214" t="s">
        <v>498</v>
      </c>
      <c r="G655" s="215" t="s">
        <v>2237</v>
      </c>
      <c r="H655" s="212" t="s">
        <v>356</v>
      </c>
      <c r="I655" s="212" t="s">
        <v>2238</v>
      </c>
    </row>
    <row r="656">
      <c r="A656" s="212" t="s">
        <v>2239</v>
      </c>
      <c r="B656" s="212" t="s">
        <v>2235</v>
      </c>
      <c r="C656" s="212" t="s">
        <v>2240</v>
      </c>
      <c r="D656" s="213">
        <v>45515.53162037037</v>
      </c>
      <c r="E656" s="213"/>
      <c r="F656" s="214" t="s">
        <v>1082</v>
      </c>
      <c r="G656" s="215" t="s">
        <v>2241</v>
      </c>
      <c r="H656" s="212" t="s">
        <v>356</v>
      </c>
      <c r="I656" s="212" t="s">
        <v>946</v>
      </c>
    </row>
    <row r="657">
      <c r="A657" s="212" t="s">
        <v>2242</v>
      </c>
      <c r="B657" s="212" t="s">
        <v>2235</v>
      </c>
      <c r="C657" s="212" t="s">
        <v>2240</v>
      </c>
      <c r="D657" s="213">
        <v>45502.78371527778</v>
      </c>
      <c r="E657" s="213"/>
      <c r="F657" s="214" t="s">
        <v>498</v>
      </c>
      <c r="G657" s="215" t="s">
        <v>2243</v>
      </c>
      <c r="H657" s="212" t="s">
        <v>356</v>
      </c>
      <c r="I657" s="212" t="s">
        <v>946</v>
      </c>
    </row>
    <row r="658">
      <c r="A658" s="212" t="s">
        <v>2244</v>
      </c>
      <c r="B658" s="212" t="s">
        <v>2235</v>
      </c>
      <c r="C658" s="212" t="s">
        <v>2240</v>
      </c>
      <c r="D658" s="213">
        <v>45491.76865740741</v>
      </c>
      <c r="E658" s="213"/>
      <c r="F658" s="214" t="s">
        <v>498</v>
      </c>
      <c r="G658" s="215" t="s">
        <v>2237</v>
      </c>
      <c r="H658" s="212" t="s">
        <v>356</v>
      </c>
      <c r="I658" s="212" t="s">
        <v>946</v>
      </c>
    </row>
    <row r="659">
      <c r="A659" s="216" t="s">
        <v>2245</v>
      </c>
      <c r="B659" s="216" t="s">
        <v>2235</v>
      </c>
      <c r="C659" s="216" t="s">
        <v>2236</v>
      </c>
      <c r="D659" s="217">
        <v>45491.76789351852</v>
      </c>
      <c r="E659" s="217"/>
      <c r="F659" s="218" t="s">
        <v>498</v>
      </c>
      <c r="G659" s="219" t="s">
        <v>2237</v>
      </c>
      <c r="H659" s="216" t="s">
        <v>356</v>
      </c>
      <c r="I659" s="216" t="s">
        <v>2238</v>
      </c>
    </row>
    <row r="660">
      <c r="A660" s="212" t="s">
        <v>2244</v>
      </c>
      <c r="B660" s="212" t="s">
        <v>2235</v>
      </c>
      <c r="C660" s="212" t="s">
        <v>2240</v>
      </c>
      <c r="D660" s="213">
        <v>45491.76865740741</v>
      </c>
      <c r="E660" s="213"/>
      <c r="F660" s="214" t="s">
        <v>498</v>
      </c>
      <c r="G660" s="215" t="s">
        <v>2237</v>
      </c>
      <c r="H660" s="212" t="s">
        <v>356</v>
      </c>
      <c r="I660" s="212" t="s">
        <v>946</v>
      </c>
    </row>
    <row r="661">
      <c r="A661" s="216" t="s">
        <v>2245</v>
      </c>
      <c r="B661" s="216" t="s">
        <v>2235</v>
      </c>
      <c r="C661" s="216" t="s">
        <v>2236</v>
      </c>
      <c r="D661" s="217">
        <v>45491.76789351852</v>
      </c>
      <c r="E661" s="217"/>
      <c r="F661" s="218" t="s">
        <v>498</v>
      </c>
      <c r="G661" s="219" t="s">
        <v>2237</v>
      </c>
      <c r="H661" s="216" t="s">
        <v>356</v>
      </c>
      <c r="I661" s="216" t="s">
        <v>2238</v>
      </c>
    </row>
    <row r="662">
      <c r="A662" s="212" t="s">
        <v>2246</v>
      </c>
      <c r="B662" s="212" t="s">
        <v>2235</v>
      </c>
      <c r="C662" s="212" t="s">
        <v>2236</v>
      </c>
      <c r="D662" s="213">
        <v>45454.73771990741</v>
      </c>
      <c r="E662" s="213">
        <v>45454.62505787037</v>
      </c>
      <c r="F662" s="214" t="s">
        <v>498</v>
      </c>
      <c r="G662" s="215" t="s">
        <v>2237</v>
      </c>
      <c r="H662" s="212" t="s">
        <v>356</v>
      </c>
      <c r="I662" s="212" t="s">
        <v>2238</v>
      </c>
    </row>
    <row r="663">
      <c r="A663" s="216" t="s">
        <v>2247</v>
      </c>
      <c r="B663" s="216" t="s">
        <v>2235</v>
      </c>
      <c r="C663" s="216" t="s">
        <v>2248</v>
      </c>
      <c r="D663" s="217">
        <v>45443.905173611114</v>
      </c>
      <c r="E663" s="217">
        <v>45444.54866898148</v>
      </c>
      <c r="F663" s="218" t="s">
        <v>498</v>
      </c>
      <c r="G663" s="219" t="s">
        <v>2243</v>
      </c>
      <c r="H663" s="216" t="s">
        <v>356</v>
      </c>
      <c r="I663" s="216" t="s">
        <v>2238</v>
      </c>
    </row>
    <row r="664">
      <c r="A664" s="212" t="s">
        <v>2249</v>
      </c>
      <c r="B664" s="212" t="s">
        <v>2235</v>
      </c>
      <c r="C664" s="212" t="s">
        <v>2236</v>
      </c>
      <c r="D664" s="213">
        <v>45715.82237268519</v>
      </c>
      <c r="E664" s="213">
        <v>45719.74328703704</v>
      </c>
      <c r="F664" s="214" t="s">
        <v>488</v>
      </c>
      <c r="G664" s="215" t="s">
        <v>489</v>
      </c>
      <c r="H664" s="212" t="s">
        <v>356</v>
      </c>
      <c r="I664" s="212" t="s">
        <v>2238</v>
      </c>
    </row>
    <row r="665">
      <c r="A665" s="216" t="s">
        <v>2250</v>
      </c>
      <c r="B665" s="216" t="s">
        <v>2235</v>
      </c>
      <c r="C665" s="216" t="s">
        <v>2240</v>
      </c>
      <c r="D665" s="217">
        <v>45745.883564814816</v>
      </c>
      <c r="E665" s="217">
        <v>45748.47925925926</v>
      </c>
      <c r="F665" s="218" t="s">
        <v>488</v>
      </c>
      <c r="G665" s="219" t="s">
        <v>489</v>
      </c>
      <c r="H665" s="216" t="s">
        <v>356</v>
      </c>
      <c r="I665" s="216" t="s">
        <v>946</v>
      </c>
    </row>
    <row r="666">
      <c r="A666" s="212" t="s">
        <v>2251</v>
      </c>
      <c r="B666" s="212" t="s">
        <v>2235</v>
      </c>
      <c r="C666" s="212" t="s">
        <v>2236</v>
      </c>
      <c r="D666" s="213">
        <v>45738.652766203704</v>
      </c>
      <c r="E666" s="213">
        <v>45740.458449074074</v>
      </c>
      <c r="F666" s="214" t="s">
        <v>488</v>
      </c>
      <c r="G666" s="215" t="s">
        <v>2252</v>
      </c>
      <c r="H666" s="212" t="s">
        <v>356</v>
      </c>
      <c r="I666" s="212" t="s">
        <v>2238</v>
      </c>
    </row>
    <row r="667">
      <c r="A667" s="212" t="s">
        <v>2253</v>
      </c>
      <c r="B667" s="212" t="s">
        <v>2235</v>
      </c>
      <c r="C667" s="212" t="s">
        <v>2240</v>
      </c>
      <c r="D667" s="213">
        <v>45736.57512731481</v>
      </c>
      <c r="E667" s="213">
        <v>45737.43407407407</v>
      </c>
      <c r="F667" s="214" t="s">
        <v>1556</v>
      </c>
      <c r="G667" s="215" t="s">
        <v>2254</v>
      </c>
      <c r="H667" s="212" t="s">
        <v>356</v>
      </c>
      <c r="I667" s="212" t="s">
        <v>946</v>
      </c>
    </row>
    <row r="668">
      <c r="A668" s="212" t="s">
        <v>2255</v>
      </c>
      <c r="B668" s="212" t="s">
        <v>2235</v>
      </c>
      <c r="C668" s="212" t="s">
        <v>2236</v>
      </c>
      <c r="D668" s="213">
        <v>45777.83534722222</v>
      </c>
      <c r="E668" s="213">
        <v>45778.70143518518</v>
      </c>
      <c r="F668" s="214" t="s">
        <v>488</v>
      </c>
      <c r="G668" s="215" t="s">
        <v>2256</v>
      </c>
      <c r="H668" s="212" t="s">
        <v>356</v>
      </c>
      <c r="I668" s="212" t="s">
        <v>2238</v>
      </c>
    </row>
    <row r="669">
      <c r="A669" s="216" t="s">
        <v>2257</v>
      </c>
      <c r="B669" s="216" t="s">
        <v>2235</v>
      </c>
      <c r="C669" s="216" t="s">
        <v>2240</v>
      </c>
      <c r="D669" s="217">
        <v>45777.83491898148</v>
      </c>
      <c r="E669" s="217">
        <v>45778.45489583333</v>
      </c>
      <c r="F669" s="218" t="s">
        <v>488</v>
      </c>
      <c r="G669" s="219" t="s">
        <v>2256</v>
      </c>
      <c r="H669" s="216" t="s">
        <v>356</v>
      </c>
      <c r="I669" s="216" t="s">
        <v>946</v>
      </c>
    </row>
    <row r="670">
      <c r="A670" s="212" t="s">
        <v>2258</v>
      </c>
      <c r="B670" s="212" t="s">
        <v>2259</v>
      </c>
      <c r="C670" s="212" t="s">
        <v>2260</v>
      </c>
      <c r="D670" s="213">
        <v>45457.81366898148</v>
      </c>
      <c r="E670" s="213">
        <v>45457.61483796296</v>
      </c>
      <c r="F670" s="214" t="s">
        <v>645</v>
      </c>
      <c r="G670" s="215" t="s">
        <v>2261</v>
      </c>
      <c r="H670" s="212" t="s">
        <v>265</v>
      </c>
      <c r="I670" s="212" t="s">
        <v>2262</v>
      </c>
    </row>
    <row r="671">
      <c r="A671" s="212" t="s">
        <v>2263</v>
      </c>
      <c r="B671" s="212" t="s">
        <v>2259</v>
      </c>
      <c r="C671" s="212" t="s">
        <v>2260</v>
      </c>
      <c r="D671" s="213">
        <v>45435.835185185184</v>
      </c>
      <c r="E671" s="213">
        <v>45435.63549768519</v>
      </c>
      <c r="F671" s="214" t="s">
        <v>269</v>
      </c>
      <c r="G671" s="215" t="s">
        <v>2264</v>
      </c>
      <c r="H671" s="212" t="s">
        <v>265</v>
      </c>
      <c r="I671" s="212" t="s">
        <v>2262</v>
      </c>
    </row>
    <row r="672">
      <c r="A672" s="216" t="s">
        <v>2265</v>
      </c>
      <c r="B672" s="216" t="s">
        <v>2259</v>
      </c>
      <c r="C672" s="216" t="s">
        <v>2266</v>
      </c>
      <c r="D672" s="217">
        <v>45708.64148148148</v>
      </c>
      <c r="E672" s="217">
        <v>45710.906273148146</v>
      </c>
      <c r="F672" s="218" t="s">
        <v>317</v>
      </c>
      <c r="G672" s="219" t="s">
        <v>680</v>
      </c>
      <c r="H672" s="216" t="s">
        <v>259</v>
      </c>
      <c r="I672" s="216" t="s">
        <v>2262</v>
      </c>
    </row>
    <row r="673">
      <c r="A673" s="216" t="s">
        <v>2267</v>
      </c>
      <c r="B673" s="216" t="s">
        <v>2259</v>
      </c>
      <c r="C673" s="216" t="s">
        <v>2268</v>
      </c>
      <c r="D673" s="217">
        <v>45737.55430555555</v>
      </c>
      <c r="E673" s="217">
        <v>45737.566041666665</v>
      </c>
      <c r="F673" s="218" t="s">
        <v>2269</v>
      </c>
      <c r="G673" s="219" t="s">
        <v>2270</v>
      </c>
      <c r="H673" s="216" t="s">
        <v>265</v>
      </c>
      <c r="I673" s="216" t="s">
        <v>1080</v>
      </c>
    </row>
    <row r="674">
      <c r="A674" s="212" t="s">
        <v>2271</v>
      </c>
      <c r="B674" s="212" t="s">
        <v>2259</v>
      </c>
      <c r="C674" s="212" t="s">
        <v>2272</v>
      </c>
      <c r="D674" s="213">
        <v>45737.552453703705</v>
      </c>
      <c r="E674" s="213">
        <v>45737.56601851852</v>
      </c>
      <c r="F674" s="214" t="s">
        <v>538</v>
      </c>
      <c r="G674" s="215" t="s">
        <v>2273</v>
      </c>
      <c r="H674" s="212" t="s">
        <v>265</v>
      </c>
      <c r="I674" s="212" t="s">
        <v>2262</v>
      </c>
    </row>
    <row r="675">
      <c r="A675" s="216" t="s">
        <v>2274</v>
      </c>
      <c r="B675" s="216" t="s">
        <v>2259</v>
      </c>
      <c r="C675" s="216" t="s">
        <v>2260</v>
      </c>
      <c r="D675" s="217">
        <v>45737.551041666666</v>
      </c>
      <c r="E675" s="217">
        <v>45737.55913194444</v>
      </c>
      <c r="F675" s="218" t="s">
        <v>470</v>
      </c>
      <c r="G675" s="219" t="s">
        <v>587</v>
      </c>
      <c r="H675" s="216" t="s">
        <v>265</v>
      </c>
      <c r="I675" s="216" t="s">
        <v>2262</v>
      </c>
    </row>
    <row r="676">
      <c r="A676" s="212" t="s">
        <v>2275</v>
      </c>
      <c r="B676" s="212" t="s">
        <v>2259</v>
      </c>
      <c r="C676" s="212" t="s">
        <v>2260</v>
      </c>
      <c r="D676" s="213">
        <v>45737.54938657407</v>
      </c>
      <c r="E676" s="227"/>
      <c r="F676" s="214" t="s">
        <v>391</v>
      </c>
      <c r="G676" s="215" t="s">
        <v>877</v>
      </c>
      <c r="H676" s="212" t="s">
        <v>265</v>
      </c>
      <c r="I676" s="212" t="s">
        <v>2262</v>
      </c>
    </row>
    <row r="677">
      <c r="A677" s="216" t="s">
        <v>2276</v>
      </c>
      <c r="B677" s="216" t="s">
        <v>2277</v>
      </c>
      <c r="C677" s="216" t="s">
        <v>2278</v>
      </c>
      <c r="D677" s="217">
        <v>45745.73054398148</v>
      </c>
      <c r="E677" s="217">
        <v>45747.729317129626</v>
      </c>
      <c r="F677" s="218" t="s">
        <v>2279</v>
      </c>
      <c r="G677" s="219" t="s">
        <v>2280</v>
      </c>
      <c r="H677" s="216" t="s">
        <v>356</v>
      </c>
      <c r="I677" s="216" t="s">
        <v>946</v>
      </c>
    </row>
    <row r="678">
      <c r="A678" s="212" t="s">
        <v>2281</v>
      </c>
      <c r="B678" s="212" t="s">
        <v>2277</v>
      </c>
      <c r="C678" s="212" t="s">
        <v>2282</v>
      </c>
      <c r="D678" s="213">
        <v>45750.78037037037</v>
      </c>
      <c r="E678" s="213">
        <v>45751.451469907406</v>
      </c>
      <c r="F678" s="214" t="s">
        <v>509</v>
      </c>
      <c r="G678" s="215" t="s">
        <v>2283</v>
      </c>
      <c r="H678" s="212" t="s">
        <v>356</v>
      </c>
      <c r="I678" s="212" t="s">
        <v>1430</v>
      </c>
    </row>
    <row r="679">
      <c r="A679" s="216" t="s">
        <v>2284</v>
      </c>
      <c r="B679" s="216" t="s">
        <v>2285</v>
      </c>
      <c r="C679" s="216" t="s">
        <v>2285</v>
      </c>
      <c r="D679" s="217">
        <v>45456.79369212963</v>
      </c>
      <c r="E679" s="217">
        <v>45456.74653935185</v>
      </c>
      <c r="F679" s="218" t="s">
        <v>281</v>
      </c>
      <c r="G679" s="219" t="s">
        <v>2286</v>
      </c>
      <c r="H679" s="216" t="s">
        <v>259</v>
      </c>
      <c r="I679" s="216" t="s">
        <v>2287</v>
      </c>
    </row>
    <row r="680">
      <c r="A680" s="212" t="s">
        <v>2288</v>
      </c>
      <c r="B680" s="212" t="s">
        <v>2289</v>
      </c>
      <c r="C680" s="212" t="s">
        <v>2290</v>
      </c>
      <c r="D680" s="213">
        <v>45479.83929398148</v>
      </c>
      <c r="E680" s="213"/>
      <c r="F680" s="214" t="s">
        <v>722</v>
      </c>
      <c r="G680" s="215" t="s">
        <v>2291</v>
      </c>
      <c r="H680" s="212" t="s">
        <v>356</v>
      </c>
      <c r="I680" s="212" t="s">
        <v>2292</v>
      </c>
    </row>
    <row r="681">
      <c r="A681" s="212" t="s">
        <v>2293</v>
      </c>
      <c r="B681" s="212" t="s">
        <v>2289</v>
      </c>
      <c r="C681" s="212" t="s">
        <v>2290</v>
      </c>
      <c r="D681" s="213">
        <v>45707.780636574076</v>
      </c>
      <c r="E681" s="213">
        <v>45708.40280092593</v>
      </c>
      <c r="F681" s="214" t="s">
        <v>2294</v>
      </c>
      <c r="G681" s="215" t="s">
        <v>2295</v>
      </c>
      <c r="H681" s="212" t="s">
        <v>356</v>
      </c>
      <c r="I681" s="212" t="s">
        <v>2292</v>
      </c>
    </row>
    <row r="682">
      <c r="A682" s="212" t="s">
        <v>2296</v>
      </c>
      <c r="B682" s="212" t="s">
        <v>2289</v>
      </c>
      <c r="C682" s="212" t="s">
        <v>2290</v>
      </c>
      <c r="D682" s="213">
        <v>45760.69048611111</v>
      </c>
      <c r="E682" s="213">
        <v>45761.5765625</v>
      </c>
      <c r="F682" s="214" t="s">
        <v>2030</v>
      </c>
      <c r="G682" s="215" t="s">
        <v>2297</v>
      </c>
      <c r="H682" s="212" t="s">
        <v>356</v>
      </c>
      <c r="I682" s="212" t="s">
        <v>2292</v>
      </c>
    </row>
    <row r="683">
      <c r="A683" s="212" t="s">
        <v>2298</v>
      </c>
      <c r="B683" s="212" t="s">
        <v>2299</v>
      </c>
      <c r="C683" s="212" t="s">
        <v>2300</v>
      </c>
      <c r="D683" s="213">
        <v>45490.69658564815</v>
      </c>
      <c r="E683" s="213"/>
      <c r="F683" s="214" t="s">
        <v>470</v>
      </c>
      <c r="G683" s="215" t="s">
        <v>1675</v>
      </c>
      <c r="H683" s="212" t="s">
        <v>561</v>
      </c>
      <c r="I683" s="212" t="s">
        <v>461</v>
      </c>
    </row>
    <row r="684">
      <c r="A684" s="212" t="s">
        <v>2298</v>
      </c>
      <c r="B684" s="212" t="s">
        <v>2299</v>
      </c>
      <c r="C684" s="212" t="s">
        <v>2300</v>
      </c>
      <c r="D684" s="213">
        <v>45490.69658564815</v>
      </c>
      <c r="E684" s="213"/>
      <c r="F684" s="214" t="s">
        <v>470</v>
      </c>
      <c r="G684" s="215" t="s">
        <v>1675</v>
      </c>
      <c r="H684" s="212" t="s">
        <v>561</v>
      </c>
      <c r="I684" s="212" t="s">
        <v>461</v>
      </c>
    </row>
    <row r="685">
      <c r="A685" s="216" t="s">
        <v>2301</v>
      </c>
      <c r="B685" s="216" t="s">
        <v>2299</v>
      </c>
      <c r="C685" s="216" t="s">
        <v>2300</v>
      </c>
      <c r="D685" s="217">
        <v>45434.90032407407</v>
      </c>
      <c r="E685" s="217">
        <v>45434.70142361111</v>
      </c>
      <c r="F685" s="218" t="s">
        <v>1259</v>
      </c>
      <c r="G685" s="219" t="s">
        <v>2302</v>
      </c>
      <c r="H685" s="216" t="s">
        <v>561</v>
      </c>
      <c r="I685" s="216" t="s">
        <v>461</v>
      </c>
    </row>
    <row r="686">
      <c r="A686" s="216" t="s">
        <v>2303</v>
      </c>
      <c r="B686" s="216" t="s">
        <v>2304</v>
      </c>
      <c r="C686" s="216" t="s">
        <v>2305</v>
      </c>
      <c r="D686" s="217">
        <v>45745.56721064815</v>
      </c>
      <c r="E686" s="217">
        <v>45748.475856481484</v>
      </c>
      <c r="F686" s="218" t="s">
        <v>470</v>
      </c>
      <c r="G686" s="219" t="s">
        <v>2306</v>
      </c>
      <c r="H686" s="216" t="s">
        <v>259</v>
      </c>
      <c r="I686" s="216" t="s">
        <v>2307</v>
      </c>
    </row>
    <row r="687">
      <c r="A687" s="216" t="s">
        <v>2308</v>
      </c>
      <c r="B687" s="216" t="s">
        <v>2304</v>
      </c>
      <c r="C687" s="216" t="s">
        <v>2305</v>
      </c>
      <c r="D687" s="217">
        <v>45774.48956018518</v>
      </c>
      <c r="E687" s="217">
        <v>45774.513969907406</v>
      </c>
      <c r="F687" s="218" t="s">
        <v>698</v>
      </c>
      <c r="G687" s="219" t="s">
        <v>2309</v>
      </c>
      <c r="H687" s="216" t="s">
        <v>259</v>
      </c>
      <c r="I687" s="216" t="s">
        <v>2307</v>
      </c>
    </row>
    <row r="688">
      <c r="A688" s="216" t="s">
        <v>2310</v>
      </c>
      <c r="B688" s="216" t="s">
        <v>2311</v>
      </c>
      <c r="C688" s="216" t="s">
        <v>2312</v>
      </c>
      <c r="D688" s="217">
        <v>45710.79609953704</v>
      </c>
      <c r="E688" s="217">
        <v>45713.63550925926</v>
      </c>
      <c r="F688" s="218" t="s">
        <v>269</v>
      </c>
      <c r="G688" s="219" t="s">
        <v>2207</v>
      </c>
      <c r="H688" s="216" t="s">
        <v>2313</v>
      </c>
      <c r="I688" s="216" t="s">
        <v>2314</v>
      </c>
    </row>
    <row r="689">
      <c r="A689" s="216" t="s">
        <v>2315</v>
      </c>
      <c r="B689" s="216" t="s">
        <v>2311</v>
      </c>
      <c r="C689" s="216" t="s">
        <v>2312</v>
      </c>
      <c r="D689" s="217">
        <v>45704.46450231481</v>
      </c>
      <c r="E689" s="217">
        <v>45705.61119212963</v>
      </c>
      <c r="F689" s="218" t="s">
        <v>431</v>
      </c>
      <c r="G689" s="219" t="s">
        <v>432</v>
      </c>
      <c r="H689" s="216" t="s">
        <v>2313</v>
      </c>
      <c r="I689" s="216" t="s">
        <v>2314</v>
      </c>
    </row>
    <row r="690">
      <c r="A690" s="212" t="s">
        <v>2316</v>
      </c>
      <c r="B690" s="212" t="s">
        <v>2311</v>
      </c>
      <c r="C690" s="212" t="s">
        <v>2312</v>
      </c>
      <c r="D690" s="213">
        <v>45745.825636574074</v>
      </c>
      <c r="E690" s="213">
        <v>45746.60084490741</v>
      </c>
      <c r="F690" s="214" t="s">
        <v>431</v>
      </c>
      <c r="G690" s="215" t="s">
        <v>2317</v>
      </c>
      <c r="H690" s="212" t="s">
        <v>2313</v>
      </c>
      <c r="I690" s="212" t="s">
        <v>2314</v>
      </c>
    </row>
    <row r="691">
      <c r="A691" s="216" t="s">
        <v>2318</v>
      </c>
      <c r="B691" s="216" t="s">
        <v>2311</v>
      </c>
      <c r="C691" s="216" t="s">
        <v>2312</v>
      </c>
      <c r="D691" s="217">
        <v>45759.79114583333</v>
      </c>
      <c r="E691" s="217">
        <v>45761.628645833334</v>
      </c>
      <c r="F691" s="218" t="s">
        <v>645</v>
      </c>
      <c r="G691" s="219" t="s">
        <v>2319</v>
      </c>
      <c r="H691" s="216" t="s">
        <v>2313</v>
      </c>
      <c r="I691" s="216" t="s">
        <v>2314</v>
      </c>
    </row>
    <row r="692">
      <c r="A692" s="216" t="s">
        <v>2320</v>
      </c>
      <c r="B692" s="216" t="s">
        <v>2311</v>
      </c>
      <c r="C692" s="216" t="s">
        <v>2312</v>
      </c>
      <c r="D692" s="217">
        <v>45750.828148148146</v>
      </c>
      <c r="E692" s="217">
        <v>45752.67371527778</v>
      </c>
      <c r="F692" s="218" t="s">
        <v>269</v>
      </c>
      <c r="G692" s="219" t="s">
        <v>2321</v>
      </c>
      <c r="H692" s="216" t="s">
        <v>2313</v>
      </c>
      <c r="I692" s="216" t="s">
        <v>2314</v>
      </c>
    </row>
    <row r="693">
      <c r="A693" s="212" t="s">
        <v>2322</v>
      </c>
      <c r="B693" s="212" t="s">
        <v>2323</v>
      </c>
      <c r="C693" s="212" t="s">
        <v>2324</v>
      </c>
      <c r="D693" s="213">
        <v>45761.52471064815</v>
      </c>
      <c r="E693" s="213">
        <v>45761.62855324074</v>
      </c>
      <c r="F693" s="214" t="s">
        <v>1199</v>
      </c>
      <c r="G693" s="215" t="s">
        <v>2325</v>
      </c>
      <c r="H693" s="212" t="s">
        <v>293</v>
      </c>
      <c r="I693" s="212" t="s">
        <v>2326</v>
      </c>
    </row>
    <row r="694">
      <c r="A694" s="216" t="s">
        <v>2327</v>
      </c>
      <c r="B694" s="216" t="s">
        <v>2328</v>
      </c>
      <c r="C694" s="216" t="s">
        <v>2329</v>
      </c>
      <c r="D694" s="217">
        <v>45746.60975694445</v>
      </c>
      <c r="E694" s="217">
        <v>45755.54866898148</v>
      </c>
      <c r="F694" s="218" t="s">
        <v>498</v>
      </c>
      <c r="G694" s="219" t="s">
        <v>1692</v>
      </c>
      <c r="H694" s="216" t="s">
        <v>293</v>
      </c>
      <c r="I694" s="216" t="s">
        <v>549</v>
      </c>
    </row>
    <row r="695">
      <c r="A695" s="212" t="s">
        <v>2330</v>
      </c>
      <c r="B695" s="212" t="s">
        <v>2331</v>
      </c>
      <c r="C695" s="212" t="s">
        <v>2332</v>
      </c>
      <c r="D695" s="213">
        <v>45746.5562037037</v>
      </c>
      <c r="E695" s="213">
        <v>45746.87158564815</v>
      </c>
      <c r="F695" s="214" t="s">
        <v>580</v>
      </c>
      <c r="G695" s="215" t="s">
        <v>581</v>
      </c>
      <c r="H695" s="212" t="s">
        <v>259</v>
      </c>
      <c r="I695" s="212" t="s">
        <v>626</v>
      </c>
    </row>
    <row r="696">
      <c r="A696" s="216" t="s">
        <v>2333</v>
      </c>
      <c r="B696" s="216" t="s">
        <v>2334</v>
      </c>
      <c r="C696" s="216" t="s">
        <v>2335</v>
      </c>
      <c r="D696" s="217">
        <v>45501.747824074075</v>
      </c>
      <c r="E696" s="217"/>
      <c r="F696" s="218" t="s">
        <v>435</v>
      </c>
      <c r="G696" s="219" t="s">
        <v>2336</v>
      </c>
      <c r="H696" s="216" t="s">
        <v>356</v>
      </c>
      <c r="I696" s="216" t="s">
        <v>2337</v>
      </c>
    </row>
    <row r="697">
      <c r="A697" s="216" t="s">
        <v>2338</v>
      </c>
      <c r="B697" s="216" t="s">
        <v>2339</v>
      </c>
      <c r="C697" s="216" t="s">
        <v>2340</v>
      </c>
      <c r="D697" s="217">
        <v>45520.73086805556</v>
      </c>
      <c r="E697" s="217"/>
      <c r="F697" s="218" t="s">
        <v>291</v>
      </c>
      <c r="G697" s="219" t="s">
        <v>2341</v>
      </c>
      <c r="H697" s="216" t="s">
        <v>259</v>
      </c>
      <c r="I697" s="216" t="s">
        <v>2342</v>
      </c>
    </row>
    <row r="698">
      <c r="A698" s="212" t="s">
        <v>2343</v>
      </c>
      <c r="B698" s="212" t="s">
        <v>2339</v>
      </c>
      <c r="C698" s="212" t="s">
        <v>2340</v>
      </c>
      <c r="D698" s="213">
        <v>45506.75517361111</v>
      </c>
      <c r="E698" s="213"/>
      <c r="F698" s="214" t="s">
        <v>1105</v>
      </c>
      <c r="G698" s="215" t="s">
        <v>2344</v>
      </c>
      <c r="H698" s="212" t="s">
        <v>259</v>
      </c>
      <c r="I698" s="212" t="s">
        <v>2342</v>
      </c>
    </row>
    <row r="699">
      <c r="A699" s="216" t="s">
        <v>2345</v>
      </c>
      <c r="B699" s="216" t="s">
        <v>2339</v>
      </c>
      <c r="C699" s="216" t="s">
        <v>2340</v>
      </c>
      <c r="D699" s="217">
        <v>45709.856886574074</v>
      </c>
      <c r="E699" s="217">
        <v>45709.8646875</v>
      </c>
      <c r="F699" s="218" t="s">
        <v>431</v>
      </c>
      <c r="G699" s="219" t="s">
        <v>2346</v>
      </c>
      <c r="H699" s="216" t="s">
        <v>259</v>
      </c>
      <c r="I699" s="216" t="s">
        <v>2342</v>
      </c>
    </row>
    <row r="700">
      <c r="A700" s="212" t="s">
        <v>2347</v>
      </c>
      <c r="B700" s="212" t="s">
        <v>2339</v>
      </c>
      <c r="C700" s="212" t="s">
        <v>2340</v>
      </c>
      <c r="D700" s="213">
        <v>45703.60165509259</v>
      </c>
      <c r="E700" s="213">
        <v>45703.611180555556</v>
      </c>
      <c r="F700" s="214" t="s">
        <v>269</v>
      </c>
      <c r="G700" s="215" t="s">
        <v>2348</v>
      </c>
      <c r="H700" s="212" t="s">
        <v>259</v>
      </c>
      <c r="I700" s="212" t="s">
        <v>2342</v>
      </c>
    </row>
    <row r="701">
      <c r="A701" s="212" t="s">
        <v>2349</v>
      </c>
      <c r="B701" s="212" t="s">
        <v>2339</v>
      </c>
      <c r="C701" s="212" t="s">
        <v>2340</v>
      </c>
      <c r="D701" s="213">
        <v>45737.79101851852</v>
      </c>
      <c r="E701" s="213">
        <v>45737.798726851855</v>
      </c>
      <c r="F701" s="214" t="s">
        <v>339</v>
      </c>
      <c r="G701" s="215" t="s">
        <v>2083</v>
      </c>
      <c r="H701" s="212" t="s">
        <v>259</v>
      </c>
      <c r="I701" s="212" t="s">
        <v>2342</v>
      </c>
    </row>
    <row r="702">
      <c r="A702" s="212" t="s">
        <v>2350</v>
      </c>
      <c r="B702" s="212" t="s">
        <v>2339</v>
      </c>
      <c r="C702" s="212" t="s">
        <v>2340</v>
      </c>
      <c r="D702" s="213">
        <v>45773.75894675926</v>
      </c>
      <c r="E702" s="213">
        <v>45773.76755787037</v>
      </c>
      <c r="F702" s="214" t="s">
        <v>2351</v>
      </c>
      <c r="G702" s="215" t="s">
        <v>2352</v>
      </c>
      <c r="H702" s="212" t="s">
        <v>259</v>
      </c>
      <c r="I702" s="212" t="s">
        <v>2342</v>
      </c>
    </row>
    <row r="703">
      <c r="A703" s="212" t="s">
        <v>2353</v>
      </c>
      <c r="B703" s="212" t="s">
        <v>2354</v>
      </c>
      <c r="C703" s="212" t="s">
        <v>2355</v>
      </c>
      <c r="D703" s="213">
        <v>45750.631319444445</v>
      </c>
      <c r="E703" s="213">
        <v>45750.802199074074</v>
      </c>
      <c r="F703" s="214" t="s">
        <v>488</v>
      </c>
      <c r="G703" s="215" t="s">
        <v>2356</v>
      </c>
      <c r="H703" s="212" t="s">
        <v>795</v>
      </c>
      <c r="I703" s="212" t="s">
        <v>946</v>
      </c>
    </row>
    <row r="704">
      <c r="A704" s="216" t="s">
        <v>2357</v>
      </c>
      <c r="B704" s="216" t="s">
        <v>2358</v>
      </c>
      <c r="C704" s="216" t="s">
        <v>2359</v>
      </c>
      <c r="D704" s="217">
        <v>45550.436215277776</v>
      </c>
      <c r="E704" s="217"/>
      <c r="F704" s="218" t="s">
        <v>250</v>
      </c>
      <c r="G704" s="219" t="s">
        <v>2360</v>
      </c>
      <c r="H704" s="216" t="s">
        <v>811</v>
      </c>
      <c r="I704" s="216" t="s">
        <v>2361</v>
      </c>
    </row>
    <row r="705">
      <c r="A705" s="216" t="s">
        <v>2362</v>
      </c>
      <c r="B705" s="216" t="s">
        <v>2358</v>
      </c>
      <c r="C705" s="216" t="s">
        <v>2359</v>
      </c>
      <c r="D705" s="217">
        <v>45522.68431712963</v>
      </c>
      <c r="E705" s="217"/>
      <c r="F705" s="218" t="s">
        <v>291</v>
      </c>
      <c r="G705" s="219" t="s">
        <v>1906</v>
      </c>
      <c r="H705" s="216" t="s">
        <v>811</v>
      </c>
      <c r="I705" s="216" t="s">
        <v>2361</v>
      </c>
    </row>
    <row r="706">
      <c r="A706" s="216" t="s">
        <v>2363</v>
      </c>
      <c r="B706" s="216" t="s">
        <v>2358</v>
      </c>
      <c r="C706" s="216" t="s">
        <v>2359</v>
      </c>
      <c r="D706" s="217">
        <v>45515.9031712963</v>
      </c>
      <c r="E706" s="217"/>
      <c r="F706" s="218" t="s">
        <v>730</v>
      </c>
      <c r="G706" s="219" t="s">
        <v>2364</v>
      </c>
      <c r="H706" s="216" t="s">
        <v>811</v>
      </c>
      <c r="I706" s="216" t="s">
        <v>2361</v>
      </c>
    </row>
    <row r="707">
      <c r="A707" s="216" t="s">
        <v>2365</v>
      </c>
      <c r="B707" s="216" t="s">
        <v>2358</v>
      </c>
      <c r="C707" s="216" t="s">
        <v>2359</v>
      </c>
      <c r="D707" s="217">
        <v>45501.45013888889</v>
      </c>
      <c r="E707" s="217"/>
      <c r="F707" s="218" t="s">
        <v>250</v>
      </c>
      <c r="G707" s="219" t="s">
        <v>2366</v>
      </c>
      <c r="H707" s="216" t="s">
        <v>811</v>
      </c>
      <c r="I707" s="216" t="s">
        <v>2361</v>
      </c>
    </row>
    <row r="708">
      <c r="A708" s="212" t="s">
        <v>2367</v>
      </c>
      <c r="B708" s="212" t="s">
        <v>2358</v>
      </c>
      <c r="C708" s="212" t="s">
        <v>2359</v>
      </c>
      <c r="D708" s="213">
        <v>45480.9083912037</v>
      </c>
      <c r="E708" s="213"/>
      <c r="F708" s="214" t="s">
        <v>599</v>
      </c>
      <c r="G708" s="215" t="s">
        <v>2368</v>
      </c>
      <c r="H708" s="212" t="s">
        <v>811</v>
      </c>
      <c r="I708" s="212" t="s">
        <v>2361</v>
      </c>
    </row>
    <row r="709">
      <c r="A709" s="212" t="s">
        <v>2369</v>
      </c>
      <c r="B709" s="212" t="s">
        <v>2358</v>
      </c>
      <c r="C709" s="212" t="s">
        <v>2359</v>
      </c>
      <c r="D709" s="213">
        <v>45473.813576388886</v>
      </c>
      <c r="E709" s="213"/>
      <c r="F709" s="214" t="s">
        <v>2370</v>
      </c>
      <c r="G709" s="215" t="s">
        <v>2371</v>
      </c>
      <c r="H709" s="212" t="s">
        <v>811</v>
      </c>
      <c r="I709" s="212" t="s">
        <v>2361</v>
      </c>
    </row>
    <row r="710">
      <c r="A710" s="216" t="s">
        <v>2372</v>
      </c>
      <c r="B710" s="216" t="s">
        <v>2358</v>
      </c>
      <c r="C710" s="216" t="s">
        <v>2359</v>
      </c>
      <c r="D710" s="217">
        <v>45459.83962962963</v>
      </c>
      <c r="E710" s="217">
        <v>45462.35775462963</v>
      </c>
      <c r="F710" s="218" t="s">
        <v>488</v>
      </c>
      <c r="G710" s="219" t="s">
        <v>2023</v>
      </c>
      <c r="H710" s="216" t="s">
        <v>811</v>
      </c>
      <c r="I710" s="216" t="s">
        <v>2361</v>
      </c>
    </row>
    <row r="711">
      <c r="A711" s="212" t="s">
        <v>2373</v>
      </c>
      <c r="B711" s="212" t="s">
        <v>2358</v>
      </c>
      <c r="C711" s="212" t="s">
        <v>2359</v>
      </c>
      <c r="D711" s="213">
        <v>45459.83215277778</v>
      </c>
      <c r="E711" s="213">
        <v>45462.361180555556</v>
      </c>
      <c r="F711" s="214" t="s">
        <v>2374</v>
      </c>
      <c r="G711" s="215" t="s">
        <v>2375</v>
      </c>
      <c r="H711" s="212" t="s">
        <v>811</v>
      </c>
      <c r="I711" s="212" t="s">
        <v>2361</v>
      </c>
    </row>
    <row r="712">
      <c r="A712" s="212" t="s">
        <v>2376</v>
      </c>
      <c r="B712" s="212" t="s">
        <v>2358</v>
      </c>
      <c r="C712" s="212" t="s">
        <v>2359</v>
      </c>
      <c r="D712" s="213">
        <v>45440.75614583334</v>
      </c>
      <c r="E712" s="213">
        <v>45443.29516203704</v>
      </c>
      <c r="F712" s="214" t="s">
        <v>2377</v>
      </c>
      <c r="G712" s="215" t="s">
        <v>2378</v>
      </c>
      <c r="H712" s="212" t="s">
        <v>811</v>
      </c>
      <c r="I712" s="212" t="s">
        <v>2361</v>
      </c>
    </row>
    <row r="713">
      <c r="A713" s="212" t="s">
        <v>2379</v>
      </c>
      <c r="B713" s="212" t="s">
        <v>2380</v>
      </c>
      <c r="C713" s="212" t="s">
        <v>2381</v>
      </c>
      <c r="D713" s="213">
        <v>45744.888506944444</v>
      </c>
      <c r="E713" s="213">
        <v>45744.906319444446</v>
      </c>
      <c r="F713" s="214" t="s">
        <v>538</v>
      </c>
      <c r="G713" s="215" t="s">
        <v>2382</v>
      </c>
      <c r="H713" s="212" t="s">
        <v>377</v>
      </c>
      <c r="I713" s="212" t="s">
        <v>389</v>
      </c>
    </row>
    <row r="714">
      <c r="A714" s="212" t="s">
        <v>2383</v>
      </c>
      <c r="B714" s="212" t="s">
        <v>2384</v>
      </c>
      <c r="C714" s="212" t="s">
        <v>2385</v>
      </c>
      <c r="D714" s="213">
        <v>45543.81271990741</v>
      </c>
      <c r="E714" s="213"/>
      <c r="F714" s="214" t="s">
        <v>431</v>
      </c>
      <c r="G714" s="215" t="s">
        <v>1973</v>
      </c>
      <c r="H714" s="212" t="s">
        <v>265</v>
      </c>
      <c r="I714" s="212" t="s">
        <v>2386</v>
      </c>
    </row>
    <row r="715">
      <c r="A715" s="212" t="s">
        <v>2387</v>
      </c>
      <c r="B715" s="212" t="s">
        <v>2388</v>
      </c>
      <c r="C715" s="212" t="s">
        <v>2389</v>
      </c>
      <c r="D715" s="213">
        <v>45536.65453703704</v>
      </c>
      <c r="E715" s="213"/>
      <c r="F715" s="214" t="s">
        <v>380</v>
      </c>
      <c r="G715" s="215" t="s">
        <v>2390</v>
      </c>
      <c r="H715" s="212" t="s">
        <v>259</v>
      </c>
      <c r="I715" s="212" t="s">
        <v>2391</v>
      </c>
    </row>
    <row r="716">
      <c r="A716" s="216" t="s">
        <v>2392</v>
      </c>
      <c r="B716" s="216" t="s">
        <v>2388</v>
      </c>
      <c r="C716" s="216" t="s">
        <v>2389</v>
      </c>
      <c r="D716" s="217">
        <v>45507.743796296294</v>
      </c>
      <c r="E716" s="217"/>
      <c r="F716" s="218" t="s">
        <v>380</v>
      </c>
      <c r="G716" s="219" t="s">
        <v>2393</v>
      </c>
      <c r="H716" s="216" t="s">
        <v>259</v>
      </c>
      <c r="I716" s="216" t="s">
        <v>2391</v>
      </c>
    </row>
    <row r="717">
      <c r="A717" s="216" t="s">
        <v>2394</v>
      </c>
      <c r="B717" s="216" t="s">
        <v>2388</v>
      </c>
      <c r="C717" s="216" t="s">
        <v>2389</v>
      </c>
      <c r="D717" s="217">
        <v>45494.62868055556</v>
      </c>
      <c r="E717" s="217"/>
      <c r="F717" s="218" t="s">
        <v>2395</v>
      </c>
      <c r="G717" s="219" t="s">
        <v>2396</v>
      </c>
      <c r="H717" s="216" t="s">
        <v>259</v>
      </c>
      <c r="I717" s="216" t="s">
        <v>2391</v>
      </c>
    </row>
    <row r="718">
      <c r="A718" s="212" t="s">
        <v>2397</v>
      </c>
      <c r="B718" s="212" t="s">
        <v>2388</v>
      </c>
      <c r="C718" s="212" t="s">
        <v>2389</v>
      </c>
      <c r="D718" s="213">
        <v>45479.850266203706</v>
      </c>
      <c r="E718" s="213"/>
      <c r="F718" s="214" t="s">
        <v>722</v>
      </c>
      <c r="G718" s="215" t="s">
        <v>2398</v>
      </c>
      <c r="H718" s="212" t="s">
        <v>259</v>
      </c>
      <c r="I718" s="212" t="s">
        <v>2391</v>
      </c>
    </row>
    <row r="719">
      <c r="A719" s="216" t="s">
        <v>2399</v>
      </c>
      <c r="B719" s="216" t="s">
        <v>2388</v>
      </c>
      <c r="C719" s="216" t="s">
        <v>2389</v>
      </c>
      <c r="D719" s="217">
        <v>45473.56673611111</v>
      </c>
      <c r="E719" s="217"/>
      <c r="F719" s="218" t="s">
        <v>503</v>
      </c>
      <c r="G719" s="219" t="s">
        <v>2400</v>
      </c>
      <c r="H719" s="216" t="s">
        <v>259</v>
      </c>
      <c r="I719" s="216" t="s">
        <v>2391</v>
      </c>
    </row>
    <row r="720">
      <c r="A720" s="212" t="s">
        <v>2401</v>
      </c>
      <c r="B720" s="212" t="s">
        <v>2388</v>
      </c>
      <c r="C720" s="212" t="s">
        <v>2389</v>
      </c>
      <c r="D720" s="213">
        <v>45468.88116898148</v>
      </c>
      <c r="E720" s="213"/>
      <c r="F720" s="214" t="s">
        <v>503</v>
      </c>
      <c r="G720" s="215" t="s">
        <v>2402</v>
      </c>
      <c r="H720" s="212" t="s">
        <v>259</v>
      </c>
      <c r="I720" s="212" t="s">
        <v>2391</v>
      </c>
    </row>
    <row r="721">
      <c r="A721" s="216" t="s">
        <v>2403</v>
      </c>
      <c r="B721" s="216" t="s">
        <v>2388</v>
      </c>
      <c r="C721" s="216" t="s">
        <v>2389</v>
      </c>
      <c r="D721" s="217">
        <v>45445.74965277778</v>
      </c>
      <c r="E721" s="217">
        <v>45446.39255787037</v>
      </c>
      <c r="F721" s="218" t="s">
        <v>380</v>
      </c>
      <c r="G721" s="219" t="s">
        <v>2404</v>
      </c>
      <c r="H721" s="216" t="s">
        <v>259</v>
      </c>
      <c r="I721" s="216" t="s">
        <v>2391</v>
      </c>
    </row>
    <row r="722">
      <c r="A722" s="216" t="s">
        <v>2405</v>
      </c>
      <c r="B722" s="216" t="s">
        <v>2388</v>
      </c>
      <c r="C722" s="216" t="s">
        <v>2389</v>
      </c>
      <c r="D722" s="217">
        <v>45746.59340277778</v>
      </c>
      <c r="E722" s="217">
        <v>45747.74665509259</v>
      </c>
      <c r="F722" s="218" t="s">
        <v>503</v>
      </c>
      <c r="G722" s="219" t="s">
        <v>2406</v>
      </c>
      <c r="H722" s="216" t="s">
        <v>259</v>
      </c>
      <c r="I722" s="216" t="s">
        <v>2391</v>
      </c>
    </row>
    <row r="723">
      <c r="A723" s="216" t="s">
        <v>2407</v>
      </c>
      <c r="B723" s="216" t="s">
        <v>2388</v>
      </c>
      <c r="C723" s="216" t="s">
        <v>2408</v>
      </c>
      <c r="D723" s="217">
        <v>45760.609618055554</v>
      </c>
      <c r="E723" s="217">
        <v>45760.68418981481</v>
      </c>
      <c r="F723" s="218" t="s">
        <v>706</v>
      </c>
      <c r="G723" s="219" t="s">
        <v>2409</v>
      </c>
      <c r="H723" s="216" t="s">
        <v>259</v>
      </c>
      <c r="I723" s="216" t="s">
        <v>2391</v>
      </c>
    </row>
    <row r="724">
      <c r="A724" s="212" t="s">
        <v>2410</v>
      </c>
      <c r="B724" s="212" t="s">
        <v>2388</v>
      </c>
      <c r="C724" s="212" t="s">
        <v>2389</v>
      </c>
      <c r="D724" s="213">
        <v>45760.608923611115</v>
      </c>
      <c r="E724" s="213">
        <v>45761.4793287037</v>
      </c>
      <c r="F724" s="214" t="s">
        <v>2411</v>
      </c>
      <c r="G724" s="215" t="s">
        <v>2412</v>
      </c>
      <c r="H724" s="212" t="s">
        <v>259</v>
      </c>
      <c r="I724" s="212" t="s">
        <v>2391</v>
      </c>
    </row>
    <row r="725">
      <c r="A725" s="216" t="s">
        <v>2413</v>
      </c>
      <c r="B725" s="216" t="s">
        <v>2414</v>
      </c>
      <c r="C725" s="216" t="s">
        <v>2415</v>
      </c>
      <c r="D725" s="217">
        <v>45776.76148148148</v>
      </c>
      <c r="E725" s="217">
        <v>45776.77096064815</v>
      </c>
      <c r="F725" s="218" t="s">
        <v>503</v>
      </c>
      <c r="G725" s="219" t="s">
        <v>1584</v>
      </c>
      <c r="H725" s="216" t="s">
        <v>265</v>
      </c>
      <c r="I725" s="216" t="s">
        <v>1094</v>
      </c>
    </row>
    <row r="726">
      <c r="A726" s="216" t="s">
        <v>2416</v>
      </c>
      <c r="B726" s="216" t="s">
        <v>2417</v>
      </c>
      <c r="C726" s="216" t="s">
        <v>2418</v>
      </c>
      <c r="D726" s="217">
        <v>45482.76204861111</v>
      </c>
      <c r="E726" s="217"/>
      <c r="F726" s="218" t="s">
        <v>1436</v>
      </c>
      <c r="G726" s="219" t="s">
        <v>2419</v>
      </c>
      <c r="H726" s="216" t="s">
        <v>795</v>
      </c>
      <c r="I726" s="216" t="s">
        <v>2292</v>
      </c>
    </row>
    <row r="727">
      <c r="A727" s="212" t="s">
        <v>2420</v>
      </c>
      <c r="B727" s="212" t="s">
        <v>2421</v>
      </c>
      <c r="C727" s="212" t="s">
        <v>2422</v>
      </c>
      <c r="D727" s="213">
        <v>45493.855162037034</v>
      </c>
      <c r="E727" s="213"/>
      <c r="F727" s="214" t="s">
        <v>580</v>
      </c>
      <c r="G727" s="215" t="s">
        <v>2423</v>
      </c>
      <c r="H727" s="212" t="s">
        <v>265</v>
      </c>
      <c r="I727" s="212" t="s">
        <v>2424</v>
      </c>
    </row>
    <row r="728">
      <c r="A728" s="212" t="s">
        <v>2425</v>
      </c>
      <c r="B728" s="212" t="s">
        <v>2426</v>
      </c>
      <c r="C728" s="212" t="s">
        <v>2427</v>
      </c>
      <c r="D728" s="213">
        <v>45537.535358796296</v>
      </c>
      <c r="E728" s="213"/>
      <c r="F728" s="214" t="s">
        <v>503</v>
      </c>
      <c r="G728" s="215" t="s">
        <v>2428</v>
      </c>
      <c r="H728" s="212" t="s">
        <v>632</v>
      </c>
      <c r="I728" s="212" t="s">
        <v>1080</v>
      </c>
    </row>
    <row r="729">
      <c r="A729" s="216" t="s">
        <v>2429</v>
      </c>
      <c r="B729" s="216" t="s">
        <v>2430</v>
      </c>
      <c r="C729" s="216" t="s">
        <v>2431</v>
      </c>
      <c r="D729" s="217">
        <v>45459.53208333333</v>
      </c>
      <c r="E729" s="217">
        <v>45459.56266203704</v>
      </c>
      <c r="F729" s="218" t="s">
        <v>396</v>
      </c>
      <c r="G729" s="219" t="s">
        <v>2432</v>
      </c>
      <c r="H729" s="216" t="s">
        <v>265</v>
      </c>
      <c r="I729" s="216" t="s">
        <v>2433</v>
      </c>
    </row>
    <row r="730">
      <c r="A730" s="216" t="s">
        <v>2434</v>
      </c>
      <c r="B730" s="216" t="s">
        <v>2430</v>
      </c>
      <c r="C730" s="216" t="s">
        <v>2435</v>
      </c>
      <c r="D730" s="217">
        <v>45439.42041666667</v>
      </c>
      <c r="E730" s="217">
        <v>45439.583449074074</v>
      </c>
      <c r="F730" s="218" t="s">
        <v>503</v>
      </c>
      <c r="G730" s="219" t="s">
        <v>2436</v>
      </c>
      <c r="H730" s="216" t="s">
        <v>259</v>
      </c>
      <c r="I730" s="216" t="s">
        <v>461</v>
      </c>
    </row>
    <row r="731">
      <c r="A731" s="212" t="s">
        <v>2437</v>
      </c>
      <c r="B731" s="212" t="s">
        <v>2430</v>
      </c>
      <c r="C731" s="212" t="s">
        <v>2438</v>
      </c>
      <c r="D731" s="213">
        <v>45774.63297453704</v>
      </c>
      <c r="E731" s="213">
        <v>45775.84033564815</v>
      </c>
      <c r="F731" s="214" t="s">
        <v>538</v>
      </c>
      <c r="G731" s="215" t="s">
        <v>2439</v>
      </c>
      <c r="H731" s="212" t="s">
        <v>259</v>
      </c>
      <c r="I731" s="212" t="s">
        <v>461</v>
      </c>
    </row>
    <row r="732">
      <c r="A732" s="212" t="s">
        <v>2440</v>
      </c>
      <c r="B732" s="212" t="s">
        <v>2441</v>
      </c>
      <c r="C732" s="212" t="s">
        <v>2442</v>
      </c>
      <c r="D732" s="213">
        <v>45482.686585648145</v>
      </c>
      <c r="E732" s="227"/>
      <c r="F732" s="214" t="s">
        <v>391</v>
      </c>
      <c r="G732" s="215" t="s">
        <v>877</v>
      </c>
      <c r="H732" s="212" t="s">
        <v>259</v>
      </c>
      <c r="I732" s="212" t="s">
        <v>260</v>
      </c>
    </row>
    <row r="733">
      <c r="A733" s="216" t="s">
        <v>2443</v>
      </c>
      <c r="B733" s="216" t="s">
        <v>2444</v>
      </c>
      <c r="C733" s="216" t="s">
        <v>2445</v>
      </c>
      <c r="D733" s="217">
        <v>45544.728055555555</v>
      </c>
      <c r="E733" s="217"/>
      <c r="F733" s="218" t="s">
        <v>470</v>
      </c>
      <c r="G733" s="219" t="s">
        <v>2446</v>
      </c>
      <c r="H733" s="216" t="s">
        <v>632</v>
      </c>
      <c r="I733" s="216" t="s">
        <v>2447</v>
      </c>
    </row>
    <row r="734">
      <c r="A734" s="212" t="s">
        <v>2448</v>
      </c>
      <c r="B734" s="212" t="s">
        <v>2444</v>
      </c>
      <c r="C734" s="212" t="s">
        <v>2449</v>
      </c>
      <c r="D734" s="213">
        <v>45540.475694444445</v>
      </c>
      <c r="E734" s="213"/>
      <c r="F734" s="214" t="s">
        <v>257</v>
      </c>
      <c r="G734" s="215" t="s">
        <v>2450</v>
      </c>
      <c r="H734" s="212" t="s">
        <v>356</v>
      </c>
      <c r="I734" s="212" t="s">
        <v>2451</v>
      </c>
    </row>
    <row r="735">
      <c r="A735" s="212" t="s">
        <v>2452</v>
      </c>
      <c r="B735" s="212" t="s">
        <v>2444</v>
      </c>
      <c r="C735" s="212" t="s">
        <v>2449</v>
      </c>
      <c r="D735" s="213">
        <v>45498.744722222225</v>
      </c>
      <c r="E735" s="213"/>
      <c r="F735" s="214" t="s">
        <v>2453</v>
      </c>
      <c r="G735" s="215" t="s">
        <v>2454</v>
      </c>
      <c r="H735" s="212" t="s">
        <v>356</v>
      </c>
      <c r="I735" s="212" t="s">
        <v>2451</v>
      </c>
    </row>
    <row r="736">
      <c r="A736" s="212" t="s">
        <v>2455</v>
      </c>
      <c r="B736" s="212" t="s">
        <v>2444</v>
      </c>
      <c r="C736" s="212" t="s">
        <v>2445</v>
      </c>
      <c r="D736" s="213">
        <v>45489.85967592592</v>
      </c>
      <c r="E736" s="213"/>
      <c r="F736" s="214" t="s">
        <v>250</v>
      </c>
      <c r="G736" s="215" t="s">
        <v>2456</v>
      </c>
      <c r="H736" s="212" t="s">
        <v>632</v>
      </c>
      <c r="I736" s="212" t="s">
        <v>2447</v>
      </c>
    </row>
    <row r="737">
      <c r="A737" s="212" t="s">
        <v>2455</v>
      </c>
      <c r="B737" s="212" t="s">
        <v>2444</v>
      </c>
      <c r="C737" s="212" t="s">
        <v>2445</v>
      </c>
      <c r="D737" s="213">
        <v>45489.85967592592</v>
      </c>
      <c r="E737" s="213"/>
      <c r="F737" s="214" t="s">
        <v>250</v>
      </c>
      <c r="G737" s="215" t="s">
        <v>2456</v>
      </c>
      <c r="H737" s="212" t="s">
        <v>632</v>
      </c>
      <c r="I737" s="212" t="s">
        <v>2447</v>
      </c>
    </row>
    <row r="738">
      <c r="A738" s="216" t="s">
        <v>2457</v>
      </c>
      <c r="B738" s="216" t="s">
        <v>2444</v>
      </c>
      <c r="C738" s="216" t="s">
        <v>2458</v>
      </c>
      <c r="D738" s="217">
        <v>45468.86237268519</v>
      </c>
      <c r="E738" s="217"/>
      <c r="F738" s="218" t="s">
        <v>281</v>
      </c>
      <c r="G738" s="219" t="s">
        <v>1603</v>
      </c>
      <c r="H738" s="216" t="s">
        <v>259</v>
      </c>
      <c r="I738" s="216" t="s">
        <v>2459</v>
      </c>
    </row>
    <row r="739">
      <c r="A739" s="212" t="s">
        <v>2460</v>
      </c>
      <c r="B739" s="212" t="s">
        <v>2444</v>
      </c>
      <c r="C739" s="212" t="s">
        <v>2458</v>
      </c>
      <c r="D739" s="213">
        <v>45448.84170138889</v>
      </c>
      <c r="E739" s="213">
        <v>45448.65283564815</v>
      </c>
      <c r="F739" s="214" t="s">
        <v>1259</v>
      </c>
      <c r="G739" s="215" t="s">
        <v>2461</v>
      </c>
      <c r="H739" s="212" t="s">
        <v>259</v>
      </c>
      <c r="I739" s="212" t="s">
        <v>2459</v>
      </c>
    </row>
    <row r="740">
      <c r="A740" s="216" t="s">
        <v>2462</v>
      </c>
      <c r="B740" s="216" t="s">
        <v>2444</v>
      </c>
      <c r="C740" s="216" t="s">
        <v>2449</v>
      </c>
      <c r="D740" s="217">
        <v>45441.770682870374</v>
      </c>
      <c r="E740" s="217">
        <v>45441.57293981482</v>
      </c>
      <c r="F740" s="218" t="s">
        <v>2463</v>
      </c>
      <c r="G740" s="219" t="s">
        <v>2464</v>
      </c>
      <c r="H740" s="216" t="s">
        <v>356</v>
      </c>
      <c r="I740" s="216" t="s">
        <v>2451</v>
      </c>
    </row>
    <row r="741">
      <c r="A741" s="216" t="s">
        <v>2465</v>
      </c>
      <c r="B741" s="216" t="s">
        <v>2444</v>
      </c>
      <c r="C741" s="216" t="s">
        <v>2466</v>
      </c>
      <c r="D741" s="217">
        <v>45434.81215277778</v>
      </c>
      <c r="E741" s="217">
        <v>45434.6250462963</v>
      </c>
      <c r="F741" s="218" t="s">
        <v>2467</v>
      </c>
      <c r="G741" s="219" t="s">
        <v>2468</v>
      </c>
      <c r="H741" s="216" t="s">
        <v>259</v>
      </c>
      <c r="I741" s="216" t="s">
        <v>2459</v>
      </c>
    </row>
    <row r="742">
      <c r="A742" s="216" t="s">
        <v>2469</v>
      </c>
      <c r="B742" s="216" t="s">
        <v>2444</v>
      </c>
      <c r="C742" s="216" t="s">
        <v>2466</v>
      </c>
      <c r="D742" s="217">
        <v>45707.78975694445</v>
      </c>
      <c r="E742" s="217">
        <v>45707.79876157407</v>
      </c>
      <c r="F742" s="218" t="s">
        <v>2470</v>
      </c>
      <c r="G742" s="219" t="s">
        <v>2471</v>
      </c>
      <c r="H742" s="216" t="s">
        <v>259</v>
      </c>
      <c r="I742" s="216" t="s">
        <v>2459</v>
      </c>
    </row>
    <row r="743">
      <c r="A743" s="212" t="s">
        <v>2472</v>
      </c>
      <c r="B743" s="212" t="s">
        <v>2444</v>
      </c>
      <c r="C743" s="212" t="s">
        <v>2449</v>
      </c>
      <c r="D743" s="213">
        <v>45777.795636574076</v>
      </c>
      <c r="E743" s="213">
        <v>45777.805613425924</v>
      </c>
      <c r="F743" s="214" t="s">
        <v>2473</v>
      </c>
      <c r="G743" s="215" t="s">
        <v>2474</v>
      </c>
      <c r="H743" s="212" t="s">
        <v>356</v>
      </c>
      <c r="I743" s="212" t="s">
        <v>2451</v>
      </c>
    </row>
    <row r="744">
      <c r="A744" s="212" t="s">
        <v>2475</v>
      </c>
      <c r="B744" s="212" t="s">
        <v>2476</v>
      </c>
      <c r="C744" s="212" t="s">
        <v>2477</v>
      </c>
      <c r="D744" s="213">
        <v>45550.61913194445</v>
      </c>
      <c r="E744" s="213"/>
      <c r="F744" s="214" t="s">
        <v>431</v>
      </c>
      <c r="G744" s="215" t="s">
        <v>1789</v>
      </c>
      <c r="H744" s="212" t="s">
        <v>265</v>
      </c>
      <c r="I744" s="212" t="s">
        <v>2478</v>
      </c>
    </row>
    <row r="745">
      <c r="A745" s="216" t="s">
        <v>2479</v>
      </c>
      <c r="B745" s="216" t="s">
        <v>2476</v>
      </c>
      <c r="C745" s="216" t="s">
        <v>2480</v>
      </c>
      <c r="D745" s="217">
        <v>45550.61832175926</v>
      </c>
      <c r="E745" s="217"/>
      <c r="F745" s="218" t="s">
        <v>1553</v>
      </c>
      <c r="G745" s="219" t="s">
        <v>2481</v>
      </c>
      <c r="H745" s="216" t="s">
        <v>265</v>
      </c>
      <c r="I745" s="216" t="s">
        <v>2478</v>
      </c>
    </row>
    <row r="746">
      <c r="A746" s="216" t="s">
        <v>2482</v>
      </c>
      <c r="B746" s="216" t="s">
        <v>2476</v>
      </c>
      <c r="C746" s="216" t="s">
        <v>2480</v>
      </c>
      <c r="D746" s="217">
        <v>45541.84210648148</v>
      </c>
      <c r="E746" s="217"/>
      <c r="F746" s="218" t="s">
        <v>2483</v>
      </c>
      <c r="G746" s="219" t="s">
        <v>2484</v>
      </c>
      <c r="H746" s="216" t="s">
        <v>265</v>
      </c>
      <c r="I746" s="216" t="s">
        <v>2478</v>
      </c>
    </row>
    <row r="747">
      <c r="A747" s="212" t="s">
        <v>2485</v>
      </c>
      <c r="B747" s="212" t="s">
        <v>2476</v>
      </c>
      <c r="C747" s="212" t="s">
        <v>2480</v>
      </c>
      <c r="D747" s="213">
        <v>45535.69394675926</v>
      </c>
      <c r="E747" s="213"/>
      <c r="F747" s="214" t="s">
        <v>407</v>
      </c>
      <c r="G747" s="215" t="s">
        <v>2486</v>
      </c>
      <c r="H747" s="212" t="s">
        <v>265</v>
      </c>
      <c r="I747" s="212" t="s">
        <v>2478</v>
      </c>
    </row>
    <row r="748">
      <c r="A748" s="212" t="s">
        <v>2487</v>
      </c>
      <c r="B748" s="212" t="s">
        <v>2476</v>
      </c>
      <c r="C748" s="212" t="s">
        <v>2480</v>
      </c>
      <c r="D748" s="213">
        <v>45507.47342592593</v>
      </c>
      <c r="E748" s="213"/>
      <c r="F748" s="214" t="s">
        <v>2488</v>
      </c>
      <c r="G748" s="215" t="s">
        <v>2489</v>
      </c>
      <c r="H748" s="212" t="s">
        <v>265</v>
      </c>
      <c r="I748" s="212" t="s">
        <v>2478</v>
      </c>
    </row>
    <row r="749">
      <c r="A749" s="212" t="s">
        <v>2490</v>
      </c>
      <c r="B749" s="212" t="s">
        <v>2476</v>
      </c>
      <c r="C749" s="212" t="s">
        <v>2480</v>
      </c>
      <c r="D749" s="213">
        <v>45493.619375</v>
      </c>
      <c r="E749" s="213"/>
      <c r="F749" s="214" t="s">
        <v>2491</v>
      </c>
      <c r="G749" s="215" t="s">
        <v>2492</v>
      </c>
      <c r="H749" s="212" t="s">
        <v>265</v>
      </c>
      <c r="I749" s="212" t="s">
        <v>2478</v>
      </c>
    </row>
    <row r="750">
      <c r="A750" s="212" t="s">
        <v>2493</v>
      </c>
      <c r="B750" s="212" t="s">
        <v>2476</v>
      </c>
      <c r="C750" s="212" t="s">
        <v>2480</v>
      </c>
      <c r="D750" s="213">
        <v>45479.596238425926</v>
      </c>
      <c r="E750" s="213"/>
      <c r="F750" s="214" t="s">
        <v>2494</v>
      </c>
      <c r="G750" s="215" t="s">
        <v>2495</v>
      </c>
      <c r="H750" s="212" t="s">
        <v>265</v>
      </c>
      <c r="I750" s="212" t="s">
        <v>2478</v>
      </c>
    </row>
    <row r="751">
      <c r="A751" s="216" t="s">
        <v>2496</v>
      </c>
      <c r="B751" s="216" t="s">
        <v>2476</v>
      </c>
      <c r="C751" s="216" t="s">
        <v>2480</v>
      </c>
      <c r="D751" s="217">
        <v>45472.618483796294</v>
      </c>
      <c r="E751" s="217"/>
      <c r="F751" s="218" t="s">
        <v>1019</v>
      </c>
      <c r="G751" s="219" t="s">
        <v>2497</v>
      </c>
      <c r="H751" s="216" t="s">
        <v>265</v>
      </c>
      <c r="I751" s="216" t="s">
        <v>2478</v>
      </c>
    </row>
    <row r="752">
      <c r="A752" s="212" t="s">
        <v>2498</v>
      </c>
      <c r="B752" s="212" t="s">
        <v>2476</v>
      </c>
      <c r="C752" s="212" t="s">
        <v>2477</v>
      </c>
      <c r="D752" s="213">
        <v>45458.871770833335</v>
      </c>
      <c r="E752" s="213">
        <v>45459.61817129629</v>
      </c>
      <c r="F752" s="214" t="s">
        <v>2499</v>
      </c>
      <c r="G752" s="215" t="s">
        <v>2500</v>
      </c>
      <c r="H752" s="212" t="s">
        <v>259</v>
      </c>
      <c r="I752" s="212" t="s">
        <v>2478</v>
      </c>
    </row>
    <row r="753">
      <c r="A753" s="216" t="s">
        <v>2501</v>
      </c>
      <c r="B753" s="216" t="s">
        <v>2476</v>
      </c>
      <c r="C753" s="216" t="s">
        <v>2480</v>
      </c>
      <c r="D753" s="217">
        <v>45458.87113425926</v>
      </c>
      <c r="E753" s="217">
        <v>45458.673634259256</v>
      </c>
      <c r="F753" s="218" t="s">
        <v>2502</v>
      </c>
      <c r="G753" s="219" t="s">
        <v>2503</v>
      </c>
      <c r="H753" s="216" t="s">
        <v>265</v>
      </c>
      <c r="I753" s="216" t="s">
        <v>2478</v>
      </c>
    </row>
    <row r="754">
      <c r="A754" s="212" t="s">
        <v>2504</v>
      </c>
      <c r="B754" s="212" t="s">
        <v>2476</v>
      </c>
      <c r="C754" s="212" t="s">
        <v>2480</v>
      </c>
      <c r="D754" s="213">
        <v>45450.84327546296</v>
      </c>
      <c r="E754" s="213">
        <v>45450.65650462963</v>
      </c>
      <c r="F754" s="214" t="s">
        <v>2505</v>
      </c>
      <c r="G754" s="215" t="s">
        <v>2506</v>
      </c>
      <c r="H754" s="212" t="s">
        <v>265</v>
      </c>
      <c r="I754" s="212" t="s">
        <v>2478</v>
      </c>
    </row>
    <row r="755">
      <c r="A755" s="212" t="s">
        <v>2507</v>
      </c>
      <c r="B755" s="212" t="s">
        <v>2476</v>
      </c>
      <c r="C755" s="212" t="s">
        <v>2477</v>
      </c>
      <c r="D755" s="213">
        <v>45439.65025462963</v>
      </c>
      <c r="E755" s="213">
        <v>45439.4653587963</v>
      </c>
      <c r="F755" s="214" t="s">
        <v>2508</v>
      </c>
      <c r="G755" s="215" t="s">
        <v>2509</v>
      </c>
      <c r="H755" s="212" t="s">
        <v>259</v>
      </c>
      <c r="I755" s="212" t="s">
        <v>2478</v>
      </c>
    </row>
    <row r="756">
      <c r="A756" s="216" t="s">
        <v>2510</v>
      </c>
      <c r="B756" s="216" t="s">
        <v>2476</v>
      </c>
      <c r="C756" s="216" t="s">
        <v>2480</v>
      </c>
      <c r="D756" s="217">
        <v>45702.80894675926</v>
      </c>
      <c r="E756" s="217">
        <v>45702.81957175926</v>
      </c>
      <c r="F756" s="218" t="s">
        <v>715</v>
      </c>
      <c r="G756" s="219" t="s">
        <v>2511</v>
      </c>
      <c r="H756" s="216" t="s">
        <v>265</v>
      </c>
      <c r="I756" s="216" t="s">
        <v>2478</v>
      </c>
    </row>
    <row r="757">
      <c r="A757" s="212" t="s">
        <v>2512</v>
      </c>
      <c r="B757" s="212" t="s">
        <v>2513</v>
      </c>
      <c r="C757" s="212" t="s">
        <v>2514</v>
      </c>
      <c r="D757" s="213">
        <v>45522.521527777775</v>
      </c>
      <c r="E757" s="213"/>
      <c r="F757" s="214" t="s">
        <v>269</v>
      </c>
      <c r="G757" s="215" t="s">
        <v>2515</v>
      </c>
      <c r="H757" s="212" t="s">
        <v>535</v>
      </c>
      <c r="I757" s="212" t="s">
        <v>685</v>
      </c>
    </row>
    <row r="758">
      <c r="A758" s="216" t="s">
        <v>2516</v>
      </c>
      <c r="B758" s="216" t="s">
        <v>2513</v>
      </c>
      <c r="C758" s="216" t="s">
        <v>2517</v>
      </c>
      <c r="D758" s="217">
        <v>45522.52048611111</v>
      </c>
      <c r="E758" s="217"/>
      <c r="F758" s="218" t="s">
        <v>317</v>
      </c>
      <c r="G758" s="219" t="s">
        <v>2518</v>
      </c>
      <c r="H758" s="216" t="s">
        <v>259</v>
      </c>
      <c r="I758" s="216" t="s">
        <v>781</v>
      </c>
    </row>
    <row r="759">
      <c r="A759" s="216" t="s">
        <v>2519</v>
      </c>
      <c r="B759" s="216" t="s">
        <v>2520</v>
      </c>
      <c r="C759" s="216" t="s">
        <v>2521</v>
      </c>
      <c r="D759" s="217">
        <v>45513.426724537036</v>
      </c>
      <c r="E759" s="217"/>
      <c r="F759" s="218" t="s">
        <v>2522</v>
      </c>
      <c r="G759" s="219" t="s">
        <v>2523</v>
      </c>
      <c r="H759" s="216" t="s">
        <v>259</v>
      </c>
      <c r="I759" s="216" t="s">
        <v>260</v>
      </c>
    </row>
    <row r="760">
      <c r="A760" s="216" t="s">
        <v>2524</v>
      </c>
      <c r="B760" s="216" t="s">
        <v>2520</v>
      </c>
      <c r="C760" s="216" t="s">
        <v>2521</v>
      </c>
      <c r="D760" s="217">
        <v>45504.70333333333</v>
      </c>
      <c r="E760" s="217"/>
      <c r="F760" s="218" t="s">
        <v>2525</v>
      </c>
      <c r="G760" s="219" t="s">
        <v>2526</v>
      </c>
      <c r="H760" s="216" t="s">
        <v>259</v>
      </c>
      <c r="I760" s="216" t="s">
        <v>260</v>
      </c>
    </row>
    <row r="761">
      <c r="A761" s="216" t="s">
        <v>2527</v>
      </c>
      <c r="B761" s="216" t="s">
        <v>2520</v>
      </c>
      <c r="C761" s="216" t="s">
        <v>2521</v>
      </c>
      <c r="D761" s="217">
        <v>45477.63045138889</v>
      </c>
      <c r="E761" s="217"/>
      <c r="F761" s="218" t="s">
        <v>2180</v>
      </c>
      <c r="G761" s="219" t="s">
        <v>2528</v>
      </c>
      <c r="H761" s="216" t="s">
        <v>259</v>
      </c>
      <c r="I761" s="216" t="s">
        <v>260</v>
      </c>
    </row>
    <row r="762">
      <c r="A762" s="212" t="s">
        <v>2529</v>
      </c>
      <c r="B762" s="212" t="s">
        <v>2520</v>
      </c>
      <c r="C762" s="212" t="s">
        <v>2530</v>
      </c>
      <c r="D762" s="213">
        <v>45711.56731481481</v>
      </c>
      <c r="E762" s="213">
        <v>45713.66679398148</v>
      </c>
      <c r="F762" s="214" t="s">
        <v>503</v>
      </c>
      <c r="G762" s="215" t="s">
        <v>1841</v>
      </c>
      <c r="H762" s="212" t="s">
        <v>259</v>
      </c>
      <c r="I762" s="212" t="s">
        <v>260</v>
      </c>
    </row>
    <row r="763">
      <c r="A763" s="216" t="s">
        <v>2531</v>
      </c>
      <c r="B763" s="216" t="s">
        <v>2520</v>
      </c>
      <c r="C763" s="216" t="s">
        <v>2530</v>
      </c>
      <c r="D763" s="217">
        <v>45704.73125</v>
      </c>
      <c r="E763" s="217">
        <v>45705.784791666665</v>
      </c>
      <c r="F763" s="218" t="s">
        <v>503</v>
      </c>
      <c r="G763" s="219" t="s">
        <v>2532</v>
      </c>
      <c r="H763" s="216" t="s">
        <v>259</v>
      </c>
      <c r="I763" s="216" t="s">
        <v>260</v>
      </c>
    </row>
    <row r="764">
      <c r="A764" s="216" t="s">
        <v>2533</v>
      </c>
      <c r="B764" s="216" t="s">
        <v>2520</v>
      </c>
      <c r="C764" s="216" t="s">
        <v>2530</v>
      </c>
      <c r="D764" s="217">
        <v>45747.70479166666</v>
      </c>
      <c r="E764" s="217">
        <v>45748.670219907406</v>
      </c>
      <c r="F764" s="218" t="s">
        <v>572</v>
      </c>
      <c r="G764" s="219" t="s">
        <v>2534</v>
      </c>
      <c r="H764" s="216" t="s">
        <v>259</v>
      </c>
      <c r="I764" s="216" t="s">
        <v>260</v>
      </c>
    </row>
    <row r="765">
      <c r="A765" s="216" t="s">
        <v>2535</v>
      </c>
      <c r="B765" s="216" t="s">
        <v>2536</v>
      </c>
      <c r="C765" s="216" t="s">
        <v>2537</v>
      </c>
      <c r="D765" s="217">
        <v>45750.69819444444</v>
      </c>
      <c r="E765" s="217">
        <v>45753.86462962963</v>
      </c>
      <c r="F765" s="218" t="s">
        <v>291</v>
      </c>
      <c r="G765" s="219" t="s">
        <v>2538</v>
      </c>
      <c r="H765" s="216" t="s">
        <v>259</v>
      </c>
      <c r="I765" s="216" t="s">
        <v>260</v>
      </c>
    </row>
    <row r="766">
      <c r="A766" s="212" t="s">
        <v>2539</v>
      </c>
      <c r="B766" s="212" t="s">
        <v>2540</v>
      </c>
      <c r="C766" s="212" t="s">
        <v>2541</v>
      </c>
      <c r="D766" s="213">
        <v>45545.85631944444</v>
      </c>
      <c r="E766" s="213"/>
      <c r="F766" s="214" t="s">
        <v>538</v>
      </c>
      <c r="G766" s="215" t="s">
        <v>2542</v>
      </c>
      <c r="H766" s="212" t="s">
        <v>377</v>
      </c>
      <c r="I766" s="212" t="s">
        <v>357</v>
      </c>
    </row>
    <row r="767">
      <c r="A767" s="216" t="s">
        <v>2543</v>
      </c>
      <c r="B767" s="216" t="s">
        <v>2540</v>
      </c>
      <c r="C767" s="216" t="s">
        <v>2541</v>
      </c>
      <c r="D767" s="217">
        <v>45494.792546296296</v>
      </c>
      <c r="E767" s="217"/>
      <c r="F767" s="218" t="s">
        <v>250</v>
      </c>
      <c r="G767" s="219" t="s">
        <v>2544</v>
      </c>
      <c r="H767" s="216" t="s">
        <v>377</v>
      </c>
      <c r="I767" s="216" t="s">
        <v>357</v>
      </c>
    </row>
    <row r="768">
      <c r="A768" s="216" t="s">
        <v>2545</v>
      </c>
      <c r="B768" s="216" t="s">
        <v>2546</v>
      </c>
      <c r="C768" s="216" t="s">
        <v>2547</v>
      </c>
      <c r="D768" s="217">
        <v>45547.90497685185</v>
      </c>
      <c r="E768" s="217"/>
      <c r="F768" s="218" t="s">
        <v>1124</v>
      </c>
      <c r="G768" s="219" t="s">
        <v>2548</v>
      </c>
      <c r="H768" s="216" t="s">
        <v>337</v>
      </c>
      <c r="I768" s="216" t="s">
        <v>2549</v>
      </c>
    </row>
    <row r="769">
      <c r="A769" s="216" t="s">
        <v>2550</v>
      </c>
      <c r="B769" s="216" t="s">
        <v>2546</v>
      </c>
      <c r="C769" s="216" t="s">
        <v>2547</v>
      </c>
      <c r="D769" s="217">
        <v>45452.57796296296</v>
      </c>
      <c r="E769" s="217">
        <v>45452.38207175926</v>
      </c>
      <c r="F769" s="218" t="s">
        <v>2551</v>
      </c>
      <c r="G769" s="219" t="s">
        <v>2552</v>
      </c>
      <c r="H769" s="216" t="s">
        <v>337</v>
      </c>
      <c r="I769" s="216" t="s">
        <v>2549</v>
      </c>
    </row>
    <row r="770">
      <c r="A770" s="216" t="s">
        <v>2553</v>
      </c>
      <c r="B770" s="216" t="s">
        <v>2546</v>
      </c>
      <c r="C770" s="216" t="s">
        <v>2547</v>
      </c>
      <c r="D770" s="217">
        <v>45438.58949074074</v>
      </c>
      <c r="E770" s="217">
        <v>45438.39246527778</v>
      </c>
      <c r="F770" s="218" t="s">
        <v>2554</v>
      </c>
      <c r="G770" s="219" t="s">
        <v>2555</v>
      </c>
      <c r="H770" s="216" t="s">
        <v>337</v>
      </c>
      <c r="I770" s="216" t="s">
        <v>2549</v>
      </c>
    </row>
    <row r="771">
      <c r="A771" s="212" t="s">
        <v>2556</v>
      </c>
      <c r="B771" s="212" t="s">
        <v>2546</v>
      </c>
      <c r="C771" s="212" t="s">
        <v>2557</v>
      </c>
      <c r="D771" s="213">
        <v>45438.57747685185</v>
      </c>
      <c r="E771" s="213">
        <v>45438.38201388889</v>
      </c>
      <c r="F771" s="214" t="s">
        <v>2558</v>
      </c>
      <c r="G771" s="215" t="s">
        <v>2559</v>
      </c>
      <c r="H771" s="212" t="s">
        <v>259</v>
      </c>
      <c r="I771" s="212" t="s">
        <v>2560</v>
      </c>
    </row>
    <row r="772">
      <c r="A772" s="212" t="s">
        <v>2561</v>
      </c>
      <c r="B772" s="212" t="s">
        <v>2562</v>
      </c>
      <c r="C772" s="212" t="s">
        <v>2563</v>
      </c>
      <c r="D772" s="213">
        <v>45512.8803587963</v>
      </c>
      <c r="E772" s="213"/>
      <c r="F772" s="214" t="s">
        <v>706</v>
      </c>
      <c r="G772" s="215" t="s">
        <v>2564</v>
      </c>
      <c r="H772" s="212" t="s">
        <v>561</v>
      </c>
      <c r="I772" s="212" t="s">
        <v>461</v>
      </c>
    </row>
    <row r="773">
      <c r="A773" s="216" t="s">
        <v>2565</v>
      </c>
      <c r="B773" s="216" t="s">
        <v>2562</v>
      </c>
      <c r="C773" s="216" t="s">
        <v>2566</v>
      </c>
      <c r="D773" s="217">
        <v>45498.90207175926</v>
      </c>
      <c r="E773" s="217"/>
      <c r="F773" s="218" t="s">
        <v>435</v>
      </c>
      <c r="G773" s="219" t="s">
        <v>2567</v>
      </c>
      <c r="H773" s="216" t="s">
        <v>561</v>
      </c>
      <c r="I773" s="216" t="s">
        <v>461</v>
      </c>
    </row>
    <row r="774">
      <c r="A774" s="216" t="s">
        <v>2568</v>
      </c>
      <c r="B774" s="216" t="s">
        <v>2562</v>
      </c>
      <c r="C774" s="216" t="s">
        <v>2566</v>
      </c>
      <c r="D774" s="217">
        <v>45497.87978009259</v>
      </c>
      <c r="E774" s="225"/>
      <c r="F774" s="218" t="s">
        <v>317</v>
      </c>
      <c r="G774" s="219" t="s">
        <v>2569</v>
      </c>
      <c r="H774" s="216" t="s">
        <v>561</v>
      </c>
      <c r="I774" s="216" t="s">
        <v>461</v>
      </c>
    </row>
    <row r="775">
      <c r="A775" s="212" t="s">
        <v>2570</v>
      </c>
      <c r="B775" s="212" t="s">
        <v>2562</v>
      </c>
      <c r="C775" s="212" t="s">
        <v>2571</v>
      </c>
      <c r="D775" s="213">
        <v>45473.8828587963</v>
      </c>
      <c r="E775" s="213"/>
      <c r="F775" s="214" t="s">
        <v>339</v>
      </c>
      <c r="G775" s="215" t="s">
        <v>2572</v>
      </c>
      <c r="H775" s="212" t="s">
        <v>561</v>
      </c>
      <c r="I775" s="212" t="s">
        <v>640</v>
      </c>
    </row>
    <row r="776">
      <c r="A776" s="212" t="s">
        <v>2573</v>
      </c>
      <c r="B776" s="212" t="s">
        <v>2562</v>
      </c>
      <c r="C776" s="212" t="s">
        <v>2563</v>
      </c>
      <c r="D776" s="213">
        <v>45466.586875</v>
      </c>
      <c r="E776" s="213"/>
      <c r="F776" s="214" t="s">
        <v>250</v>
      </c>
      <c r="G776" s="215" t="s">
        <v>2574</v>
      </c>
      <c r="H776" s="212" t="s">
        <v>561</v>
      </c>
      <c r="I776" s="212" t="s">
        <v>461</v>
      </c>
    </row>
    <row r="777">
      <c r="A777" s="216" t="s">
        <v>2575</v>
      </c>
      <c r="B777" s="216" t="s">
        <v>2562</v>
      </c>
      <c r="C777" s="216" t="s">
        <v>2563</v>
      </c>
      <c r="D777" s="217">
        <v>45452.820555555554</v>
      </c>
      <c r="E777" s="217">
        <v>45452.62511574074</v>
      </c>
      <c r="F777" s="218" t="s">
        <v>470</v>
      </c>
      <c r="G777" s="219" t="s">
        <v>2576</v>
      </c>
      <c r="H777" s="216" t="s">
        <v>561</v>
      </c>
      <c r="I777" s="216" t="s">
        <v>461</v>
      </c>
    </row>
    <row r="778">
      <c r="A778" s="212" t="s">
        <v>2577</v>
      </c>
      <c r="B778" s="212" t="s">
        <v>2578</v>
      </c>
      <c r="C778" s="212" t="s">
        <v>2579</v>
      </c>
      <c r="D778" s="213">
        <v>45732.78160879629</v>
      </c>
      <c r="E778" s="213">
        <v>45732.79175925926</v>
      </c>
      <c r="F778" s="214" t="s">
        <v>1082</v>
      </c>
      <c r="G778" s="215" t="s">
        <v>2580</v>
      </c>
      <c r="H778" s="212" t="s">
        <v>259</v>
      </c>
      <c r="I778" s="212" t="s">
        <v>567</v>
      </c>
    </row>
    <row r="779">
      <c r="A779" s="216" t="s">
        <v>2581</v>
      </c>
      <c r="B779" s="216" t="s">
        <v>2578</v>
      </c>
      <c r="C779" s="216" t="s">
        <v>2579</v>
      </c>
      <c r="D779" s="217">
        <v>45732.780590277776</v>
      </c>
      <c r="E779" s="224"/>
      <c r="F779" s="218" t="s">
        <v>391</v>
      </c>
      <c r="G779" s="219" t="s">
        <v>877</v>
      </c>
      <c r="H779" s="216" t="s">
        <v>259</v>
      </c>
      <c r="I779" s="216" t="s">
        <v>567</v>
      </c>
    </row>
    <row r="780">
      <c r="A780" s="212" t="s">
        <v>2582</v>
      </c>
      <c r="B780" s="212" t="s">
        <v>2583</v>
      </c>
      <c r="C780" s="212" t="s">
        <v>296</v>
      </c>
      <c r="D780" s="213">
        <v>45550.4455787037</v>
      </c>
      <c r="E780" s="213"/>
      <c r="F780" s="214" t="s">
        <v>730</v>
      </c>
      <c r="G780" s="215" t="s">
        <v>2584</v>
      </c>
      <c r="H780" s="212" t="s">
        <v>265</v>
      </c>
      <c r="I780" s="212" t="s">
        <v>299</v>
      </c>
    </row>
    <row r="781">
      <c r="A781" s="212" t="s">
        <v>2585</v>
      </c>
      <c r="B781" s="212" t="s">
        <v>2583</v>
      </c>
      <c r="C781" s="212" t="s">
        <v>1194</v>
      </c>
      <c r="D781" s="213">
        <v>45536.45375</v>
      </c>
      <c r="E781" s="213"/>
      <c r="F781" s="214" t="s">
        <v>431</v>
      </c>
      <c r="G781" s="215" t="s">
        <v>2586</v>
      </c>
      <c r="H781" s="212" t="s">
        <v>535</v>
      </c>
      <c r="I781" s="212" t="s">
        <v>1080</v>
      </c>
    </row>
    <row r="782">
      <c r="A782" s="216" t="s">
        <v>2587</v>
      </c>
      <c r="B782" s="216" t="s">
        <v>2583</v>
      </c>
      <c r="C782" s="216" t="s">
        <v>296</v>
      </c>
      <c r="D782" s="217">
        <v>45535.76877314815</v>
      </c>
      <c r="E782" s="217"/>
      <c r="F782" s="218" t="s">
        <v>317</v>
      </c>
      <c r="G782" s="219" t="s">
        <v>1628</v>
      </c>
      <c r="H782" s="216" t="s">
        <v>265</v>
      </c>
      <c r="I782" s="216" t="s">
        <v>299</v>
      </c>
    </row>
    <row r="783">
      <c r="A783" s="212" t="s">
        <v>2588</v>
      </c>
      <c r="B783" s="212" t="s">
        <v>2583</v>
      </c>
      <c r="C783" s="212" t="s">
        <v>2589</v>
      </c>
      <c r="D783" s="213">
        <v>45493.828668981485</v>
      </c>
      <c r="E783" s="213"/>
      <c r="F783" s="214" t="s">
        <v>730</v>
      </c>
      <c r="G783" s="215" t="s">
        <v>2590</v>
      </c>
      <c r="H783" s="212" t="s">
        <v>293</v>
      </c>
      <c r="I783" s="212" t="s">
        <v>294</v>
      </c>
    </row>
    <row r="784">
      <c r="A784" s="212" t="s">
        <v>2591</v>
      </c>
      <c r="B784" s="212" t="s">
        <v>2592</v>
      </c>
      <c r="C784" s="212" t="s">
        <v>2593</v>
      </c>
      <c r="D784" s="213">
        <v>45548.861342592594</v>
      </c>
      <c r="E784" s="213"/>
      <c r="F784" s="214" t="s">
        <v>470</v>
      </c>
      <c r="G784" s="215" t="s">
        <v>2594</v>
      </c>
      <c r="H784" s="212" t="s">
        <v>259</v>
      </c>
      <c r="I784" s="212" t="s">
        <v>1775</v>
      </c>
    </row>
    <row r="785">
      <c r="A785" s="216" t="s">
        <v>2595</v>
      </c>
      <c r="B785" s="216" t="s">
        <v>2592</v>
      </c>
      <c r="C785" s="216" t="s">
        <v>2593</v>
      </c>
      <c r="D785" s="217">
        <v>45541.8518287037</v>
      </c>
      <c r="E785" s="217"/>
      <c r="F785" s="218" t="s">
        <v>250</v>
      </c>
      <c r="G785" s="219" t="s">
        <v>2596</v>
      </c>
      <c r="H785" s="216" t="s">
        <v>259</v>
      </c>
      <c r="I785" s="216" t="s">
        <v>1775</v>
      </c>
    </row>
    <row r="786">
      <c r="A786" s="212" t="s">
        <v>2597</v>
      </c>
      <c r="B786" s="212" t="s">
        <v>2592</v>
      </c>
      <c r="C786" s="212" t="s">
        <v>2598</v>
      </c>
      <c r="D786" s="213">
        <v>45708.49451388889</v>
      </c>
      <c r="E786" s="213">
        <v>45708.65287037037</v>
      </c>
      <c r="F786" s="214" t="s">
        <v>291</v>
      </c>
      <c r="G786" s="215" t="s">
        <v>577</v>
      </c>
      <c r="H786" s="212" t="s">
        <v>265</v>
      </c>
      <c r="I786" s="212" t="s">
        <v>449</v>
      </c>
    </row>
    <row r="787">
      <c r="A787" s="212" t="s">
        <v>2599</v>
      </c>
      <c r="B787" s="212" t="s">
        <v>2600</v>
      </c>
      <c r="C787" s="212" t="s">
        <v>512</v>
      </c>
      <c r="D787" s="213">
        <v>45542.619039351855</v>
      </c>
      <c r="E787" s="213"/>
      <c r="F787" s="214" t="s">
        <v>2601</v>
      </c>
      <c r="G787" s="215" t="s">
        <v>2602</v>
      </c>
      <c r="H787" s="212" t="s">
        <v>811</v>
      </c>
      <c r="I787" s="212" t="s">
        <v>357</v>
      </c>
    </row>
    <row r="788">
      <c r="A788" s="216" t="s">
        <v>2603</v>
      </c>
      <c r="B788" s="216" t="s">
        <v>2600</v>
      </c>
      <c r="C788" s="216" t="s">
        <v>512</v>
      </c>
      <c r="D788" s="217">
        <v>45529.58736111111</v>
      </c>
      <c r="E788" s="217"/>
      <c r="F788" s="218" t="s">
        <v>317</v>
      </c>
      <c r="G788" s="219" t="s">
        <v>1902</v>
      </c>
      <c r="H788" s="216" t="s">
        <v>811</v>
      </c>
      <c r="I788" s="216" t="s">
        <v>357</v>
      </c>
    </row>
    <row r="789">
      <c r="A789" s="212" t="s">
        <v>2604</v>
      </c>
      <c r="B789" s="212" t="s">
        <v>2600</v>
      </c>
      <c r="C789" s="212" t="s">
        <v>512</v>
      </c>
      <c r="D789" s="213">
        <v>45521.87318287037</v>
      </c>
      <c r="E789" s="213"/>
      <c r="F789" s="214" t="s">
        <v>281</v>
      </c>
      <c r="G789" s="215" t="s">
        <v>2605</v>
      </c>
      <c r="H789" s="212" t="s">
        <v>811</v>
      </c>
      <c r="I789" s="212" t="s">
        <v>357</v>
      </c>
    </row>
    <row r="790">
      <c r="A790" s="212" t="s">
        <v>2606</v>
      </c>
      <c r="B790" s="212" t="s">
        <v>2600</v>
      </c>
      <c r="C790" s="212" t="s">
        <v>512</v>
      </c>
      <c r="D790" s="213">
        <v>45490.86025462963</v>
      </c>
      <c r="E790" s="213"/>
      <c r="F790" s="214" t="s">
        <v>317</v>
      </c>
      <c r="G790" s="215" t="s">
        <v>2607</v>
      </c>
      <c r="H790" s="212" t="s">
        <v>811</v>
      </c>
      <c r="I790" s="212" t="s">
        <v>357</v>
      </c>
    </row>
    <row r="791">
      <c r="A791" s="212" t="s">
        <v>2606</v>
      </c>
      <c r="B791" s="212" t="s">
        <v>2600</v>
      </c>
      <c r="C791" s="212" t="s">
        <v>512</v>
      </c>
      <c r="D791" s="213">
        <v>45490.86025462963</v>
      </c>
      <c r="E791" s="213"/>
      <c r="F791" s="214" t="s">
        <v>317</v>
      </c>
      <c r="G791" s="215" t="s">
        <v>2607</v>
      </c>
      <c r="H791" s="212" t="s">
        <v>811</v>
      </c>
      <c r="I791" s="212" t="s">
        <v>357</v>
      </c>
    </row>
    <row r="792">
      <c r="A792" s="212" t="s">
        <v>2608</v>
      </c>
      <c r="B792" s="212" t="s">
        <v>2600</v>
      </c>
      <c r="C792" s="212" t="s">
        <v>512</v>
      </c>
      <c r="D792" s="213">
        <v>45464.82289351852</v>
      </c>
      <c r="E792" s="213"/>
      <c r="F792" s="214" t="s">
        <v>291</v>
      </c>
      <c r="G792" s="215" t="s">
        <v>2609</v>
      </c>
      <c r="H792" s="212" t="s">
        <v>811</v>
      </c>
      <c r="I792" s="212" t="s">
        <v>357</v>
      </c>
    </row>
    <row r="793">
      <c r="A793" s="212" t="s">
        <v>2610</v>
      </c>
      <c r="B793" s="212" t="s">
        <v>2600</v>
      </c>
      <c r="C793" s="212" t="s">
        <v>512</v>
      </c>
      <c r="D793" s="213">
        <v>45431.78900462963</v>
      </c>
      <c r="E793" s="213">
        <v>45431.5903125</v>
      </c>
      <c r="F793" s="214" t="s">
        <v>291</v>
      </c>
      <c r="G793" s="215" t="s">
        <v>2611</v>
      </c>
      <c r="H793" s="212" t="s">
        <v>811</v>
      </c>
      <c r="I793" s="212" t="s">
        <v>357</v>
      </c>
    </row>
    <row r="794">
      <c r="A794" s="212" t="s">
        <v>2612</v>
      </c>
      <c r="B794" s="212" t="s">
        <v>2600</v>
      </c>
      <c r="C794" s="212" t="s">
        <v>512</v>
      </c>
      <c r="D794" s="213">
        <v>45710.65783564815</v>
      </c>
      <c r="E794" s="213">
        <v>45710.66679398148</v>
      </c>
      <c r="F794" s="214" t="s">
        <v>291</v>
      </c>
      <c r="G794" s="215" t="s">
        <v>2613</v>
      </c>
      <c r="H794" s="212" t="s">
        <v>811</v>
      </c>
      <c r="I794" s="212" t="s">
        <v>357</v>
      </c>
    </row>
    <row r="795">
      <c r="A795" s="212" t="s">
        <v>2614</v>
      </c>
      <c r="B795" s="212" t="s">
        <v>2600</v>
      </c>
      <c r="C795" s="212" t="s">
        <v>512</v>
      </c>
      <c r="D795" s="213">
        <v>45745.850798611114</v>
      </c>
      <c r="E795" s="213">
        <v>45745.86114583333</v>
      </c>
      <c r="F795" s="214" t="s">
        <v>317</v>
      </c>
      <c r="G795" s="215" t="s">
        <v>2615</v>
      </c>
      <c r="H795" s="212" t="s">
        <v>811</v>
      </c>
      <c r="I795" s="212" t="s">
        <v>357</v>
      </c>
    </row>
    <row r="796">
      <c r="A796" s="216" t="s">
        <v>2616</v>
      </c>
      <c r="B796" s="216" t="s">
        <v>2600</v>
      </c>
      <c r="C796" s="216" t="s">
        <v>512</v>
      </c>
      <c r="D796" s="217">
        <v>45773.553391203706</v>
      </c>
      <c r="E796" s="217">
        <v>45773.56612268519</v>
      </c>
      <c r="F796" s="218" t="s">
        <v>291</v>
      </c>
      <c r="G796" s="219" t="s">
        <v>2617</v>
      </c>
      <c r="H796" s="216" t="s">
        <v>811</v>
      </c>
      <c r="I796" s="216" t="s">
        <v>357</v>
      </c>
    </row>
    <row r="797">
      <c r="A797" s="212" t="s">
        <v>2618</v>
      </c>
      <c r="B797" s="212" t="s">
        <v>2619</v>
      </c>
      <c r="C797" s="212" t="s">
        <v>2620</v>
      </c>
      <c r="D797" s="213">
        <v>45482.47148148148</v>
      </c>
      <c r="E797" s="227"/>
      <c r="F797" s="214" t="s">
        <v>2269</v>
      </c>
      <c r="G797" s="215" t="s">
        <v>2621</v>
      </c>
      <c r="H797" s="212" t="s">
        <v>398</v>
      </c>
      <c r="I797" s="212" t="s">
        <v>260</v>
      </c>
    </row>
    <row r="798">
      <c r="A798" s="212" t="s">
        <v>2622</v>
      </c>
      <c r="B798" s="212" t="s">
        <v>2623</v>
      </c>
      <c r="C798" s="212" t="s">
        <v>2624</v>
      </c>
      <c r="D798" s="213">
        <v>45746.713483796295</v>
      </c>
      <c r="E798" s="213">
        <v>45746.77784722222</v>
      </c>
      <c r="F798" s="214" t="s">
        <v>1105</v>
      </c>
      <c r="G798" s="215" t="s">
        <v>2625</v>
      </c>
      <c r="H798" s="212" t="s">
        <v>356</v>
      </c>
      <c r="I798" s="212" t="s">
        <v>2626</v>
      </c>
    </row>
    <row r="799">
      <c r="A799" s="216" t="s">
        <v>2627</v>
      </c>
      <c r="B799" s="216" t="s">
        <v>2628</v>
      </c>
      <c r="C799" s="216" t="s">
        <v>2629</v>
      </c>
      <c r="D799" s="217">
        <v>45774.54032407407</v>
      </c>
      <c r="E799" s="217">
        <v>45775.63552083333</v>
      </c>
      <c r="F799" s="218" t="s">
        <v>645</v>
      </c>
      <c r="G799" s="219" t="s">
        <v>2630</v>
      </c>
      <c r="H799" s="216" t="s">
        <v>356</v>
      </c>
      <c r="I799" s="216" t="s">
        <v>2631</v>
      </c>
    </row>
    <row r="800">
      <c r="A800" s="212" t="s">
        <v>2632</v>
      </c>
      <c r="B800" s="212" t="s">
        <v>2628</v>
      </c>
      <c r="C800" s="212" t="s">
        <v>2629</v>
      </c>
      <c r="D800" s="213">
        <v>45773.65793981482</v>
      </c>
      <c r="E800" s="213">
        <v>45773.69107638889</v>
      </c>
      <c r="F800" s="214" t="s">
        <v>470</v>
      </c>
      <c r="G800" s="215" t="s">
        <v>2633</v>
      </c>
      <c r="H800" s="212" t="s">
        <v>356</v>
      </c>
      <c r="I800" s="212" t="s">
        <v>2631</v>
      </c>
    </row>
    <row r="801">
      <c r="A801" s="212" t="s">
        <v>2634</v>
      </c>
      <c r="B801" s="212" t="s">
        <v>2628</v>
      </c>
      <c r="C801" s="212" t="s">
        <v>2629</v>
      </c>
      <c r="D801" s="213">
        <v>45761.83988425926</v>
      </c>
      <c r="E801" s="213">
        <v>45768.44105324074</v>
      </c>
      <c r="F801" s="214" t="s">
        <v>481</v>
      </c>
      <c r="G801" s="215" t="s">
        <v>2635</v>
      </c>
      <c r="H801" s="212" t="s">
        <v>356</v>
      </c>
      <c r="I801" s="212" t="s">
        <v>2631</v>
      </c>
    </row>
    <row r="802">
      <c r="A802" s="212" t="s">
        <v>2636</v>
      </c>
      <c r="B802" s="212" t="s">
        <v>2628</v>
      </c>
      <c r="C802" s="212" t="s">
        <v>2637</v>
      </c>
      <c r="D802" s="213">
        <v>45760.76274305556</v>
      </c>
      <c r="E802" s="213">
        <v>45760.82990740741</v>
      </c>
      <c r="F802" s="214" t="s">
        <v>2638</v>
      </c>
      <c r="G802" s="215" t="s">
        <v>2639</v>
      </c>
      <c r="H802" s="212" t="s">
        <v>356</v>
      </c>
      <c r="I802" s="212" t="s">
        <v>2631</v>
      </c>
    </row>
    <row r="803">
      <c r="A803" s="212" t="s">
        <v>2640</v>
      </c>
      <c r="B803" s="212" t="s">
        <v>2641</v>
      </c>
      <c r="C803" s="212" t="s">
        <v>2642</v>
      </c>
      <c r="D803" s="213">
        <v>45521.53729166667</v>
      </c>
      <c r="E803" s="213"/>
      <c r="F803" s="214" t="s">
        <v>651</v>
      </c>
      <c r="G803" s="215" t="s">
        <v>2643</v>
      </c>
      <c r="H803" s="212" t="s">
        <v>632</v>
      </c>
      <c r="I803" s="212" t="s">
        <v>304</v>
      </c>
    </row>
    <row r="804">
      <c r="A804" s="220" t="s">
        <v>2644</v>
      </c>
      <c r="B804" s="220" t="s">
        <v>2641</v>
      </c>
      <c r="C804" s="220" t="s">
        <v>2645</v>
      </c>
      <c r="D804" s="221">
        <v>45464.72149305556</v>
      </c>
      <c r="E804" s="221"/>
      <c r="F804" s="222" t="s">
        <v>1487</v>
      </c>
      <c r="G804" s="223" t="s">
        <v>2646</v>
      </c>
      <c r="H804" s="220" t="s">
        <v>259</v>
      </c>
      <c r="I804" s="220" t="s">
        <v>2647</v>
      </c>
    </row>
    <row r="805">
      <c r="A805" s="216" t="s">
        <v>2648</v>
      </c>
      <c r="B805" s="216" t="s">
        <v>2641</v>
      </c>
      <c r="C805" s="216" t="s">
        <v>2645</v>
      </c>
      <c r="D805" s="217">
        <v>45464.49574074074</v>
      </c>
      <c r="E805" s="224"/>
      <c r="F805" s="218" t="s">
        <v>1487</v>
      </c>
      <c r="G805" s="219" t="s">
        <v>2649</v>
      </c>
      <c r="H805" s="216" t="s">
        <v>561</v>
      </c>
      <c r="I805" s="216" t="s">
        <v>2647</v>
      </c>
    </row>
    <row r="806">
      <c r="A806" s="216" t="s">
        <v>2650</v>
      </c>
      <c r="B806" s="216" t="s">
        <v>2641</v>
      </c>
      <c r="C806" s="216" t="s">
        <v>2651</v>
      </c>
      <c r="D806" s="217">
        <v>45455.707141203704</v>
      </c>
      <c r="E806" s="217">
        <v>45455.50702546296</v>
      </c>
      <c r="F806" s="218" t="s">
        <v>580</v>
      </c>
      <c r="G806" s="219" t="s">
        <v>2652</v>
      </c>
      <c r="H806" s="216" t="s">
        <v>561</v>
      </c>
      <c r="I806" s="216" t="s">
        <v>2647</v>
      </c>
    </row>
    <row r="807">
      <c r="A807" s="212" t="s">
        <v>2653</v>
      </c>
      <c r="B807" s="212" t="s">
        <v>2654</v>
      </c>
      <c r="C807" s="212" t="s">
        <v>2655</v>
      </c>
      <c r="D807" s="213">
        <v>45548.77072916667</v>
      </c>
      <c r="E807" s="213"/>
      <c r="F807" s="214" t="s">
        <v>488</v>
      </c>
      <c r="G807" s="215" t="s">
        <v>2656</v>
      </c>
      <c r="H807" s="212" t="s">
        <v>377</v>
      </c>
      <c r="I807" s="212" t="s">
        <v>911</v>
      </c>
    </row>
    <row r="808">
      <c r="A808" s="212" t="s">
        <v>2657</v>
      </c>
      <c r="B808" s="212" t="s">
        <v>2654</v>
      </c>
      <c r="C808" s="212" t="s">
        <v>2658</v>
      </c>
      <c r="D808" s="213">
        <v>45527.89113425926</v>
      </c>
      <c r="E808" s="213"/>
      <c r="F808" s="214" t="s">
        <v>257</v>
      </c>
      <c r="G808" s="215" t="s">
        <v>2659</v>
      </c>
      <c r="H808" s="212" t="s">
        <v>811</v>
      </c>
      <c r="I808" s="212" t="s">
        <v>347</v>
      </c>
    </row>
    <row r="809">
      <c r="A809" s="216" t="s">
        <v>2660</v>
      </c>
      <c r="B809" s="216" t="s">
        <v>2661</v>
      </c>
      <c r="C809" s="216" t="s">
        <v>2662</v>
      </c>
      <c r="D809" s="217">
        <v>45746.49883101852</v>
      </c>
      <c r="E809" s="217">
        <v>45746.65638888889</v>
      </c>
      <c r="F809" s="218" t="s">
        <v>281</v>
      </c>
      <c r="G809" s="219" t="s">
        <v>1285</v>
      </c>
      <c r="H809" s="216" t="s">
        <v>265</v>
      </c>
      <c r="I809" s="216" t="s">
        <v>2663</v>
      </c>
    </row>
    <row r="810">
      <c r="A810" s="212" t="s">
        <v>2664</v>
      </c>
      <c r="B810" s="212" t="s">
        <v>2665</v>
      </c>
      <c r="C810" s="212" t="s">
        <v>2666</v>
      </c>
      <c r="D810" s="213">
        <v>45465.60020833334</v>
      </c>
      <c r="E810" s="227"/>
      <c r="F810" s="214" t="s">
        <v>580</v>
      </c>
      <c r="G810" s="215" t="s">
        <v>2667</v>
      </c>
      <c r="H810" s="212" t="s">
        <v>259</v>
      </c>
      <c r="I810" s="212" t="s">
        <v>640</v>
      </c>
    </row>
    <row r="811">
      <c r="A811" s="212" t="s">
        <v>2668</v>
      </c>
      <c r="B811" s="212" t="s">
        <v>2669</v>
      </c>
      <c r="C811" s="212" t="s">
        <v>2670</v>
      </c>
      <c r="D811" s="213">
        <v>45541.87113425926</v>
      </c>
      <c r="E811" s="213"/>
      <c r="F811" s="214" t="s">
        <v>503</v>
      </c>
      <c r="G811" s="215" t="s">
        <v>504</v>
      </c>
      <c r="H811" s="212" t="s">
        <v>416</v>
      </c>
      <c r="I811" s="212" t="s">
        <v>2326</v>
      </c>
    </row>
    <row r="812">
      <c r="A812" s="212" t="s">
        <v>2671</v>
      </c>
      <c r="B812" s="212" t="s">
        <v>2669</v>
      </c>
      <c r="C812" s="212" t="s">
        <v>2670</v>
      </c>
      <c r="D812" s="213">
        <v>45465.85428240741</v>
      </c>
      <c r="E812" s="213"/>
      <c r="F812" s="214" t="s">
        <v>538</v>
      </c>
      <c r="G812" s="215" t="s">
        <v>2672</v>
      </c>
      <c r="H812" s="212" t="s">
        <v>416</v>
      </c>
      <c r="I812" s="212" t="s">
        <v>2326</v>
      </c>
    </row>
    <row r="813">
      <c r="A813" s="212" t="s">
        <v>2673</v>
      </c>
      <c r="B813" s="212" t="s">
        <v>2669</v>
      </c>
      <c r="C813" s="212" t="s">
        <v>2674</v>
      </c>
      <c r="D813" s="213">
        <v>45451.555925925924</v>
      </c>
      <c r="E813" s="213">
        <v>45451.57325231482</v>
      </c>
      <c r="F813" s="214" t="s">
        <v>269</v>
      </c>
      <c r="G813" s="215" t="s">
        <v>2675</v>
      </c>
      <c r="H813" s="212" t="s">
        <v>535</v>
      </c>
      <c r="I813" s="212" t="s">
        <v>2676</v>
      </c>
    </row>
    <row r="814">
      <c r="A814" s="216" t="s">
        <v>2677</v>
      </c>
      <c r="B814" s="216" t="s">
        <v>2669</v>
      </c>
      <c r="C814" s="216" t="s">
        <v>2670</v>
      </c>
      <c r="D814" s="217">
        <v>45444.89891203704</v>
      </c>
      <c r="E814" s="217">
        <v>45446.62861111111</v>
      </c>
      <c r="F814" s="218" t="s">
        <v>470</v>
      </c>
      <c r="G814" s="219" t="s">
        <v>2678</v>
      </c>
      <c r="H814" s="216" t="s">
        <v>416</v>
      </c>
      <c r="I814" s="216" t="s">
        <v>2326</v>
      </c>
    </row>
    <row r="815">
      <c r="A815" s="216" t="s">
        <v>2679</v>
      </c>
      <c r="B815" s="216" t="s">
        <v>2669</v>
      </c>
      <c r="C815" s="216" t="s">
        <v>2670</v>
      </c>
      <c r="D815" s="217">
        <v>45443.789189814815</v>
      </c>
      <c r="E815" s="217">
        <v>45446.62510416667</v>
      </c>
      <c r="F815" s="218" t="s">
        <v>470</v>
      </c>
      <c r="G815" s="219" t="s">
        <v>1178</v>
      </c>
      <c r="H815" s="216" t="s">
        <v>416</v>
      </c>
      <c r="I815" s="216" t="s">
        <v>2326</v>
      </c>
    </row>
    <row r="816">
      <c r="A816" s="212" t="s">
        <v>2680</v>
      </c>
      <c r="B816" s="212" t="s">
        <v>2669</v>
      </c>
      <c r="C816" s="212" t="s">
        <v>2681</v>
      </c>
      <c r="D816" s="213">
        <v>45440.77202546296</v>
      </c>
      <c r="E816" s="213">
        <v>45441.267430555556</v>
      </c>
      <c r="F816" s="214" t="s">
        <v>503</v>
      </c>
      <c r="G816" s="215" t="s">
        <v>2682</v>
      </c>
      <c r="H816" s="212" t="s">
        <v>416</v>
      </c>
      <c r="I816" s="212" t="s">
        <v>2326</v>
      </c>
    </row>
    <row r="817">
      <c r="A817" s="216" t="s">
        <v>2683</v>
      </c>
      <c r="B817" s="216" t="s">
        <v>2669</v>
      </c>
      <c r="C817" s="216" t="s">
        <v>2670</v>
      </c>
      <c r="D817" s="217">
        <v>45435.75503472222</v>
      </c>
      <c r="E817" s="217">
        <v>45436.576898148145</v>
      </c>
      <c r="F817" s="218" t="s">
        <v>317</v>
      </c>
      <c r="G817" s="219" t="s">
        <v>2684</v>
      </c>
      <c r="H817" s="216" t="s">
        <v>416</v>
      </c>
      <c r="I817" s="216" t="s">
        <v>2326</v>
      </c>
    </row>
    <row r="818">
      <c r="A818" s="216" t="s">
        <v>2685</v>
      </c>
      <c r="B818" s="216" t="s">
        <v>2669</v>
      </c>
      <c r="C818" s="216" t="s">
        <v>2686</v>
      </c>
      <c r="D818" s="217">
        <v>45435.730625</v>
      </c>
      <c r="E818" s="217">
        <v>45435.555613425924</v>
      </c>
      <c r="F818" s="218" t="s">
        <v>503</v>
      </c>
      <c r="G818" s="219" t="s">
        <v>2687</v>
      </c>
      <c r="H818" s="216" t="s">
        <v>416</v>
      </c>
      <c r="I818" s="216" t="s">
        <v>2326</v>
      </c>
    </row>
    <row r="819">
      <c r="A819" s="212" t="s">
        <v>2688</v>
      </c>
      <c r="B819" s="212" t="s">
        <v>2669</v>
      </c>
      <c r="C819" s="212" t="s">
        <v>2670</v>
      </c>
      <c r="D819" s="213">
        <v>45435.728414351855</v>
      </c>
      <c r="E819" s="227"/>
      <c r="F819" s="214" t="s">
        <v>391</v>
      </c>
      <c r="G819" s="215" t="s">
        <v>877</v>
      </c>
      <c r="H819" s="212" t="s">
        <v>416</v>
      </c>
      <c r="I819" s="212" t="s">
        <v>2326</v>
      </c>
    </row>
    <row r="820">
      <c r="A820" s="212" t="s">
        <v>2689</v>
      </c>
      <c r="B820" s="212" t="s">
        <v>2690</v>
      </c>
      <c r="C820" s="212" t="s">
        <v>2691</v>
      </c>
      <c r="D820" s="213">
        <v>45529.78792824074</v>
      </c>
      <c r="E820" s="213"/>
      <c r="F820" s="214" t="s">
        <v>2692</v>
      </c>
      <c r="G820" s="215" t="s">
        <v>2693</v>
      </c>
      <c r="H820" s="212" t="s">
        <v>265</v>
      </c>
      <c r="I820" s="212" t="s">
        <v>1080</v>
      </c>
    </row>
    <row r="821">
      <c r="A821" s="216" t="s">
        <v>2694</v>
      </c>
      <c r="B821" s="216" t="s">
        <v>2695</v>
      </c>
      <c r="C821" s="216" t="s">
        <v>2696</v>
      </c>
      <c r="D821" s="217">
        <v>45542.71949074074</v>
      </c>
      <c r="E821" s="217"/>
      <c r="F821" s="218" t="s">
        <v>339</v>
      </c>
      <c r="G821" s="219" t="s">
        <v>2697</v>
      </c>
      <c r="H821" s="216" t="s">
        <v>265</v>
      </c>
      <c r="I821" s="216" t="s">
        <v>260</v>
      </c>
    </row>
    <row r="822">
      <c r="A822" s="212" t="s">
        <v>2698</v>
      </c>
      <c r="B822" s="212" t="s">
        <v>2695</v>
      </c>
      <c r="C822" s="212" t="s">
        <v>2696</v>
      </c>
      <c r="D822" s="213">
        <v>45702.79645833333</v>
      </c>
      <c r="E822" s="213">
        <v>45702.80569444445</v>
      </c>
      <c r="F822" s="214" t="s">
        <v>470</v>
      </c>
      <c r="G822" s="215" t="s">
        <v>790</v>
      </c>
      <c r="H822" s="212" t="s">
        <v>265</v>
      </c>
      <c r="I822" s="212" t="s">
        <v>260</v>
      </c>
    </row>
    <row r="823">
      <c r="A823" s="212" t="s">
        <v>2699</v>
      </c>
      <c r="B823" s="212" t="s">
        <v>2700</v>
      </c>
      <c r="C823" s="212" t="s">
        <v>2701</v>
      </c>
      <c r="D823" s="213">
        <v>45507.66538194445</v>
      </c>
      <c r="E823" s="213"/>
      <c r="F823" s="214" t="s">
        <v>297</v>
      </c>
      <c r="G823" s="215" t="s">
        <v>1470</v>
      </c>
      <c r="H823" s="212" t="s">
        <v>632</v>
      </c>
      <c r="I823" s="212" t="s">
        <v>2447</v>
      </c>
    </row>
    <row r="824">
      <c r="A824" s="212" t="s">
        <v>2702</v>
      </c>
      <c r="B824" s="212" t="s">
        <v>2703</v>
      </c>
      <c r="C824" s="212" t="s">
        <v>2704</v>
      </c>
      <c r="D824" s="213">
        <v>45544.87923611111</v>
      </c>
      <c r="E824" s="213"/>
      <c r="F824" s="214" t="s">
        <v>580</v>
      </c>
      <c r="G824" s="215" t="s">
        <v>2705</v>
      </c>
      <c r="H824" s="212" t="s">
        <v>265</v>
      </c>
      <c r="I824" s="212" t="s">
        <v>640</v>
      </c>
    </row>
    <row r="825">
      <c r="A825" s="216" t="s">
        <v>2706</v>
      </c>
      <c r="B825" s="216" t="s">
        <v>2703</v>
      </c>
      <c r="C825" s="216" t="s">
        <v>2707</v>
      </c>
      <c r="D825" s="217">
        <v>45517.883368055554</v>
      </c>
      <c r="E825" s="217"/>
      <c r="F825" s="218" t="s">
        <v>580</v>
      </c>
      <c r="G825" s="219" t="s">
        <v>2708</v>
      </c>
      <c r="H825" s="216" t="s">
        <v>265</v>
      </c>
      <c r="I825" s="216" t="s">
        <v>640</v>
      </c>
    </row>
    <row r="826">
      <c r="A826" s="216" t="s">
        <v>2709</v>
      </c>
      <c r="B826" s="216" t="s">
        <v>2710</v>
      </c>
      <c r="C826" s="216" t="s">
        <v>2711</v>
      </c>
      <c r="D826" s="217">
        <v>45492.87023148148</v>
      </c>
      <c r="E826" s="217"/>
      <c r="F826" s="218" t="s">
        <v>580</v>
      </c>
      <c r="G826" s="219" t="s">
        <v>2712</v>
      </c>
      <c r="H826" s="216" t="s">
        <v>265</v>
      </c>
      <c r="I826" s="216" t="s">
        <v>2424</v>
      </c>
    </row>
    <row r="827">
      <c r="A827" s="212" t="s">
        <v>2709</v>
      </c>
      <c r="B827" s="212" t="s">
        <v>2710</v>
      </c>
      <c r="C827" s="212" t="s">
        <v>2711</v>
      </c>
      <c r="D827" s="213">
        <v>45492.87023148148</v>
      </c>
      <c r="E827" s="213"/>
      <c r="F827" s="214" t="s">
        <v>580</v>
      </c>
      <c r="G827" s="215" t="s">
        <v>2712</v>
      </c>
      <c r="H827" s="212" t="s">
        <v>265</v>
      </c>
      <c r="I827" s="212" t="s">
        <v>2424</v>
      </c>
    </row>
    <row r="828">
      <c r="A828" s="212" t="s">
        <v>2709</v>
      </c>
      <c r="B828" s="212" t="s">
        <v>2710</v>
      </c>
      <c r="C828" s="212" t="s">
        <v>2711</v>
      </c>
      <c r="D828" s="213">
        <v>45492.87023148148</v>
      </c>
      <c r="E828" s="213"/>
      <c r="F828" s="214" t="s">
        <v>580</v>
      </c>
      <c r="G828" s="215" t="s">
        <v>2712</v>
      </c>
      <c r="H828" s="212" t="s">
        <v>265</v>
      </c>
      <c r="I828" s="212" t="s">
        <v>2424</v>
      </c>
    </row>
    <row r="829">
      <c r="A829" s="212" t="s">
        <v>2713</v>
      </c>
      <c r="B829" s="212" t="s">
        <v>2710</v>
      </c>
      <c r="C829" s="212" t="s">
        <v>2714</v>
      </c>
      <c r="D829" s="213">
        <v>45713.774872685186</v>
      </c>
      <c r="E829" s="227"/>
      <c r="F829" s="214" t="s">
        <v>317</v>
      </c>
      <c r="G829" s="215" t="s">
        <v>317</v>
      </c>
      <c r="H829" s="212" t="s">
        <v>2715</v>
      </c>
      <c r="I829" s="212" t="s">
        <v>2716</v>
      </c>
    </row>
    <row r="830">
      <c r="A830" s="212" t="s">
        <v>2717</v>
      </c>
      <c r="B830" s="212" t="s">
        <v>2718</v>
      </c>
      <c r="C830" s="212" t="s">
        <v>2719</v>
      </c>
      <c r="D830" s="213">
        <v>45734.78298611111</v>
      </c>
      <c r="E830" s="213">
        <v>45734.8021875</v>
      </c>
      <c r="F830" s="214" t="s">
        <v>431</v>
      </c>
      <c r="G830" s="215" t="s">
        <v>431</v>
      </c>
      <c r="H830" s="212" t="s">
        <v>2001</v>
      </c>
      <c r="I830" s="212" t="s">
        <v>2720</v>
      </c>
    </row>
    <row r="831">
      <c r="A831" s="216" t="s">
        <v>2721</v>
      </c>
      <c r="B831" s="216" t="s">
        <v>2718</v>
      </c>
      <c r="C831" s="216" t="s">
        <v>2722</v>
      </c>
      <c r="D831" s="217">
        <v>45775.862488425926</v>
      </c>
      <c r="E831" s="217">
        <v>45776.66680555556</v>
      </c>
      <c r="F831" s="218" t="s">
        <v>396</v>
      </c>
      <c r="G831" s="219" t="s">
        <v>396</v>
      </c>
      <c r="H831" s="216" t="s">
        <v>2001</v>
      </c>
      <c r="I831" s="216" t="s">
        <v>2723</v>
      </c>
    </row>
    <row r="832">
      <c r="A832" s="212" t="s">
        <v>2724</v>
      </c>
      <c r="B832" s="212" t="s">
        <v>2725</v>
      </c>
      <c r="C832" s="212" t="s">
        <v>2726</v>
      </c>
      <c r="D832" s="213">
        <v>45747.805081018516</v>
      </c>
      <c r="E832" s="213">
        <v>45747.836875</v>
      </c>
      <c r="F832" s="214" t="s">
        <v>291</v>
      </c>
      <c r="G832" s="215" t="s">
        <v>2727</v>
      </c>
      <c r="H832" s="212" t="s">
        <v>259</v>
      </c>
      <c r="I832" s="212" t="s">
        <v>326</v>
      </c>
    </row>
    <row r="833">
      <c r="A833" s="212" t="s">
        <v>2728</v>
      </c>
      <c r="B833" s="212" t="s">
        <v>2729</v>
      </c>
      <c r="C833" s="212" t="s">
        <v>2730</v>
      </c>
      <c r="D833" s="213">
        <v>45520.79059027778</v>
      </c>
      <c r="E833" s="213"/>
      <c r="F833" s="214" t="s">
        <v>765</v>
      </c>
      <c r="G833" s="215" t="s">
        <v>2731</v>
      </c>
      <c r="H833" s="212" t="s">
        <v>265</v>
      </c>
      <c r="I833" s="212" t="s">
        <v>578</v>
      </c>
    </row>
    <row r="834">
      <c r="A834" s="212" t="s">
        <v>2732</v>
      </c>
      <c r="B834" s="212" t="s">
        <v>2729</v>
      </c>
      <c r="C834" s="212" t="s">
        <v>2730</v>
      </c>
      <c r="D834" s="213">
        <v>45507.85420138889</v>
      </c>
      <c r="E834" s="213"/>
      <c r="F834" s="214" t="s">
        <v>281</v>
      </c>
      <c r="G834" s="215" t="s">
        <v>2733</v>
      </c>
      <c r="H834" s="212" t="s">
        <v>265</v>
      </c>
      <c r="I834" s="212" t="s">
        <v>578</v>
      </c>
    </row>
    <row r="835">
      <c r="A835" s="216" t="s">
        <v>2734</v>
      </c>
      <c r="B835" s="216" t="s">
        <v>2729</v>
      </c>
      <c r="C835" s="216" t="s">
        <v>2730</v>
      </c>
      <c r="D835" s="217">
        <v>45500.74431712963</v>
      </c>
      <c r="E835" s="217"/>
      <c r="F835" s="218" t="s">
        <v>765</v>
      </c>
      <c r="G835" s="219" t="s">
        <v>2735</v>
      </c>
      <c r="H835" s="216" t="s">
        <v>265</v>
      </c>
      <c r="I835" s="216" t="s">
        <v>578</v>
      </c>
    </row>
    <row r="836">
      <c r="A836" s="216" t="s">
        <v>2736</v>
      </c>
      <c r="B836" s="216" t="s">
        <v>2729</v>
      </c>
      <c r="C836" s="216" t="s">
        <v>2730</v>
      </c>
      <c r="D836" s="217">
        <v>45493.82369212963</v>
      </c>
      <c r="E836" s="217"/>
      <c r="F836" s="218" t="s">
        <v>317</v>
      </c>
      <c r="G836" s="219" t="s">
        <v>2737</v>
      </c>
      <c r="H836" s="216" t="s">
        <v>265</v>
      </c>
      <c r="I836" s="216" t="s">
        <v>578</v>
      </c>
    </row>
    <row r="837">
      <c r="A837" s="216" t="s">
        <v>2738</v>
      </c>
      <c r="B837" s="216" t="s">
        <v>2729</v>
      </c>
      <c r="C837" s="216" t="s">
        <v>2730</v>
      </c>
      <c r="D837" s="217">
        <v>45486.80081018519</v>
      </c>
      <c r="E837" s="217"/>
      <c r="F837" s="218" t="s">
        <v>470</v>
      </c>
      <c r="G837" s="219" t="s">
        <v>1675</v>
      </c>
      <c r="H837" s="216" t="s">
        <v>265</v>
      </c>
      <c r="I837" s="216" t="s">
        <v>578</v>
      </c>
    </row>
    <row r="838">
      <c r="A838" s="216" t="s">
        <v>2738</v>
      </c>
      <c r="B838" s="216" t="s">
        <v>2729</v>
      </c>
      <c r="C838" s="216" t="s">
        <v>2730</v>
      </c>
      <c r="D838" s="217">
        <v>45486.80081018519</v>
      </c>
      <c r="E838" s="217"/>
      <c r="F838" s="218" t="s">
        <v>470</v>
      </c>
      <c r="G838" s="219" t="s">
        <v>1675</v>
      </c>
      <c r="H838" s="216" t="s">
        <v>265</v>
      </c>
      <c r="I838" s="216" t="s">
        <v>578</v>
      </c>
    </row>
    <row r="839">
      <c r="A839" s="216" t="s">
        <v>2739</v>
      </c>
      <c r="B839" s="216" t="s">
        <v>2729</v>
      </c>
      <c r="C839" s="216" t="s">
        <v>2730</v>
      </c>
      <c r="D839" s="217">
        <v>45458.7290625</v>
      </c>
      <c r="E839" s="217">
        <v>45458.590416666666</v>
      </c>
      <c r="F839" s="218" t="s">
        <v>281</v>
      </c>
      <c r="G839" s="219" t="s">
        <v>1758</v>
      </c>
      <c r="H839" s="216" t="s">
        <v>265</v>
      </c>
      <c r="I839" s="216" t="s">
        <v>578</v>
      </c>
    </row>
    <row r="840">
      <c r="A840" s="216" t="s">
        <v>2740</v>
      </c>
      <c r="B840" s="216" t="s">
        <v>2729</v>
      </c>
      <c r="C840" s="216" t="s">
        <v>2730</v>
      </c>
      <c r="D840" s="217">
        <v>45451.81146990741</v>
      </c>
      <c r="E840" s="217">
        <v>45451.663252314815</v>
      </c>
      <c r="F840" s="218" t="s">
        <v>281</v>
      </c>
      <c r="G840" s="219" t="s">
        <v>476</v>
      </c>
      <c r="H840" s="216" t="s">
        <v>265</v>
      </c>
      <c r="I840" s="216" t="s">
        <v>578</v>
      </c>
    </row>
    <row r="841">
      <c r="A841" s="216" t="s">
        <v>2741</v>
      </c>
      <c r="B841" s="216" t="s">
        <v>2729</v>
      </c>
      <c r="C841" s="216" t="s">
        <v>2730</v>
      </c>
      <c r="D841" s="217">
        <v>45444.85962962963</v>
      </c>
      <c r="E841" s="217">
        <v>45444.7118287037</v>
      </c>
      <c r="F841" s="218" t="s">
        <v>380</v>
      </c>
      <c r="G841" s="219" t="s">
        <v>2742</v>
      </c>
      <c r="H841" s="216" t="s">
        <v>265</v>
      </c>
      <c r="I841" s="216" t="s">
        <v>578</v>
      </c>
    </row>
    <row r="842">
      <c r="A842" s="212" t="s">
        <v>2743</v>
      </c>
      <c r="B842" s="212" t="s">
        <v>2729</v>
      </c>
      <c r="C842" s="212" t="s">
        <v>2744</v>
      </c>
      <c r="D842" s="213">
        <v>45437.81018518518</v>
      </c>
      <c r="E842" s="213">
        <v>45437.6112037037</v>
      </c>
      <c r="F842" s="214" t="s">
        <v>465</v>
      </c>
      <c r="G842" s="215" t="s">
        <v>2745</v>
      </c>
      <c r="H842" s="212" t="s">
        <v>259</v>
      </c>
      <c r="I842" s="212" t="s">
        <v>2746</v>
      </c>
    </row>
    <row r="843">
      <c r="A843" s="216" t="s">
        <v>2747</v>
      </c>
      <c r="B843" s="216" t="s">
        <v>2729</v>
      </c>
      <c r="C843" s="216" t="s">
        <v>2730</v>
      </c>
      <c r="D843" s="217">
        <v>45437.80684027778</v>
      </c>
      <c r="E843" s="217">
        <v>45437.68059027778</v>
      </c>
      <c r="F843" s="218" t="s">
        <v>339</v>
      </c>
      <c r="G843" s="219" t="s">
        <v>2748</v>
      </c>
      <c r="H843" s="216" t="s">
        <v>265</v>
      </c>
      <c r="I843" s="216" t="s">
        <v>578</v>
      </c>
    </row>
    <row r="844">
      <c r="A844" s="212" t="s">
        <v>2749</v>
      </c>
      <c r="B844" s="212" t="s">
        <v>2750</v>
      </c>
      <c r="C844" s="212" t="s">
        <v>2751</v>
      </c>
      <c r="D844" s="213">
        <v>45538.57864583333</v>
      </c>
      <c r="E844" s="213"/>
      <c r="F844" s="214" t="s">
        <v>470</v>
      </c>
      <c r="G844" s="215" t="s">
        <v>2752</v>
      </c>
      <c r="H844" s="212" t="s">
        <v>337</v>
      </c>
      <c r="I844" s="212" t="s">
        <v>1452</v>
      </c>
    </row>
    <row r="845">
      <c r="A845" s="216" t="s">
        <v>2753</v>
      </c>
      <c r="B845" s="216" t="s">
        <v>2754</v>
      </c>
      <c r="C845" s="216" t="s">
        <v>2755</v>
      </c>
      <c r="D845" s="217">
        <v>45486.77607638889</v>
      </c>
      <c r="E845" s="217"/>
      <c r="F845" s="218" t="s">
        <v>2756</v>
      </c>
      <c r="G845" s="219" t="s">
        <v>2757</v>
      </c>
      <c r="H845" s="216" t="s">
        <v>1345</v>
      </c>
      <c r="I845" s="216" t="s">
        <v>260</v>
      </c>
    </row>
    <row r="846">
      <c r="A846" s="216" t="s">
        <v>2753</v>
      </c>
      <c r="B846" s="216" t="s">
        <v>2754</v>
      </c>
      <c r="C846" s="216" t="s">
        <v>2755</v>
      </c>
      <c r="D846" s="217">
        <v>45486.77607638889</v>
      </c>
      <c r="E846" s="217"/>
      <c r="F846" s="218" t="s">
        <v>2756</v>
      </c>
      <c r="G846" s="219" t="s">
        <v>2757</v>
      </c>
      <c r="H846" s="216" t="s">
        <v>1345</v>
      </c>
      <c r="I846" s="216" t="s">
        <v>260</v>
      </c>
    </row>
    <row r="847">
      <c r="A847" s="212" t="s">
        <v>2758</v>
      </c>
      <c r="B847" s="212" t="s">
        <v>2759</v>
      </c>
      <c r="C847" s="212" t="s">
        <v>932</v>
      </c>
      <c r="D847" s="213">
        <v>45712.56319444445</v>
      </c>
      <c r="E847" s="213">
        <v>45712.639027777775</v>
      </c>
      <c r="F847" s="214" t="s">
        <v>470</v>
      </c>
      <c r="G847" s="215" t="s">
        <v>790</v>
      </c>
      <c r="H847" s="212" t="s">
        <v>259</v>
      </c>
      <c r="I847" s="212" t="s">
        <v>467</v>
      </c>
    </row>
    <row r="848">
      <c r="A848" s="212" t="s">
        <v>2760</v>
      </c>
      <c r="B848" s="212" t="s">
        <v>2759</v>
      </c>
      <c r="C848" s="212" t="s">
        <v>932</v>
      </c>
      <c r="D848" s="213">
        <v>45747.89854166667</v>
      </c>
      <c r="E848" s="213">
        <v>45748.517476851855</v>
      </c>
      <c r="F848" s="214" t="s">
        <v>2491</v>
      </c>
      <c r="G848" s="215" t="s">
        <v>2761</v>
      </c>
      <c r="H848" s="212" t="s">
        <v>259</v>
      </c>
      <c r="I848" s="212" t="s">
        <v>467</v>
      </c>
    </row>
    <row r="849">
      <c r="A849" s="216" t="s">
        <v>2762</v>
      </c>
      <c r="B849" s="216" t="s">
        <v>2759</v>
      </c>
      <c r="C849" s="216" t="s">
        <v>932</v>
      </c>
      <c r="D849" s="217">
        <v>45738.59164351852</v>
      </c>
      <c r="E849" s="217">
        <v>45738.78833333333</v>
      </c>
      <c r="F849" s="218" t="s">
        <v>465</v>
      </c>
      <c r="G849" s="219" t="s">
        <v>2763</v>
      </c>
      <c r="H849" s="216" t="s">
        <v>259</v>
      </c>
      <c r="I849" s="216" t="s">
        <v>467</v>
      </c>
    </row>
    <row r="850">
      <c r="A850" s="212" t="s">
        <v>2764</v>
      </c>
      <c r="B850" s="212" t="s">
        <v>2759</v>
      </c>
      <c r="C850" s="212" t="s">
        <v>932</v>
      </c>
      <c r="D850" s="213">
        <v>45737.58184027778</v>
      </c>
      <c r="E850" s="213">
        <v>45737.64938657408</v>
      </c>
      <c r="F850" s="214" t="s">
        <v>706</v>
      </c>
      <c r="G850" s="215" t="s">
        <v>1975</v>
      </c>
      <c r="H850" s="212" t="s">
        <v>259</v>
      </c>
      <c r="I850" s="212" t="s">
        <v>467</v>
      </c>
    </row>
    <row r="851">
      <c r="A851" s="212" t="s">
        <v>2765</v>
      </c>
      <c r="B851" s="212" t="s">
        <v>2766</v>
      </c>
      <c r="C851" s="212" t="s">
        <v>2767</v>
      </c>
      <c r="D851" s="213">
        <v>45714.72277777778</v>
      </c>
      <c r="E851" s="213">
        <v>45714.80559027778</v>
      </c>
      <c r="F851" s="214" t="s">
        <v>1333</v>
      </c>
      <c r="G851" s="215" t="s">
        <v>2768</v>
      </c>
      <c r="H851" s="212" t="s">
        <v>259</v>
      </c>
      <c r="I851" s="212" t="s">
        <v>578</v>
      </c>
    </row>
    <row r="852">
      <c r="A852" s="216" t="s">
        <v>2769</v>
      </c>
      <c r="B852" s="216" t="s">
        <v>2770</v>
      </c>
      <c r="C852" s="216" t="s">
        <v>2771</v>
      </c>
      <c r="D852" s="217">
        <v>45703.435578703706</v>
      </c>
      <c r="E852" s="217">
        <v>45703.444548611114</v>
      </c>
      <c r="F852" s="218" t="s">
        <v>281</v>
      </c>
      <c r="G852" s="219" t="s">
        <v>2772</v>
      </c>
      <c r="H852" s="216" t="s">
        <v>265</v>
      </c>
      <c r="I852" s="216" t="s">
        <v>461</v>
      </c>
    </row>
    <row r="853">
      <c r="A853" s="212" t="s">
        <v>2773</v>
      </c>
      <c r="B853" s="212" t="s">
        <v>2770</v>
      </c>
      <c r="C853" s="212" t="s">
        <v>2771</v>
      </c>
      <c r="D853" s="213">
        <v>45745.73577546296</v>
      </c>
      <c r="E853" s="213">
        <v>45745.74662037037</v>
      </c>
      <c r="F853" s="214" t="s">
        <v>2774</v>
      </c>
      <c r="G853" s="215" t="s">
        <v>2775</v>
      </c>
      <c r="H853" s="212" t="s">
        <v>265</v>
      </c>
      <c r="I853" s="212" t="s">
        <v>461</v>
      </c>
    </row>
    <row r="854">
      <c r="A854" s="212" t="s">
        <v>2776</v>
      </c>
      <c r="B854" s="212" t="s">
        <v>2770</v>
      </c>
      <c r="C854" s="212" t="s">
        <v>2771</v>
      </c>
      <c r="D854" s="213">
        <v>45737.890069444446</v>
      </c>
      <c r="E854" s="213">
        <v>45737.899363425924</v>
      </c>
      <c r="F854" s="214" t="s">
        <v>435</v>
      </c>
      <c r="G854" s="215" t="s">
        <v>2777</v>
      </c>
      <c r="H854" s="212" t="s">
        <v>265</v>
      </c>
      <c r="I854" s="212" t="s">
        <v>461</v>
      </c>
    </row>
    <row r="855">
      <c r="A855" s="216" t="s">
        <v>2778</v>
      </c>
      <c r="B855" s="216" t="s">
        <v>2779</v>
      </c>
      <c r="C855" s="216" t="s">
        <v>2780</v>
      </c>
      <c r="D855" s="217">
        <v>45465.911157407405</v>
      </c>
      <c r="E855" s="217"/>
      <c r="F855" s="218" t="s">
        <v>1556</v>
      </c>
      <c r="G855" s="219" t="s">
        <v>2781</v>
      </c>
      <c r="H855" s="216" t="s">
        <v>265</v>
      </c>
      <c r="I855" s="216" t="s">
        <v>1211</v>
      </c>
    </row>
    <row r="856">
      <c r="A856" s="212" t="s">
        <v>2782</v>
      </c>
      <c r="B856" s="212" t="s">
        <v>2779</v>
      </c>
      <c r="C856" s="212" t="s">
        <v>2780</v>
      </c>
      <c r="D856" s="213">
        <v>45465.908634259256</v>
      </c>
      <c r="E856" s="227"/>
      <c r="F856" s="214" t="s">
        <v>391</v>
      </c>
      <c r="G856" s="215" t="s">
        <v>877</v>
      </c>
      <c r="H856" s="212" t="s">
        <v>754</v>
      </c>
      <c r="I856" s="212" t="s">
        <v>2783</v>
      </c>
    </row>
    <row r="857">
      <c r="A857" s="212" t="s">
        <v>2784</v>
      </c>
      <c r="B857" s="212" t="s">
        <v>2779</v>
      </c>
      <c r="C857" s="212" t="s">
        <v>2785</v>
      </c>
      <c r="D857" s="213">
        <v>45458.719201388885</v>
      </c>
      <c r="E857" s="213">
        <v>45458.73265046296</v>
      </c>
      <c r="F857" s="214" t="s">
        <v>2786</v>
      </c>
      <c r="G857" s="215" t="s">
        <v>2787</v>
      </c>
      <c r="H857" s="212" t="s">
        <v>535</v>
      </c>
      <c r="I857" s="212" t="s">
        <v>1080</v>
      </c>
    </row>
    <row r="858">
      <c r="A858" s="216" t="s">
        <v>2788</v>
      </c>
      <c r="B858" s="216" t="s">
        <v>2779</v>
      </c>
      <c r="C858" s="216" t="s">
        <v>2780</v>
      </c>
      <c r="D858" s="217">
        <v>45431.54555555555</v>
      </c>
      <c r="E858" s="217">
        <v>45432.35082175926</v>
      </c>
      <c r="F858" s="218" t="s">
        <v>1300</v>
      </c>
      <c r="G858" s="219" t="s">
        <v>2789</v>
      </c>
      <c r="H858" s="216" t="s">
        <v>754</v>
      </c>
      <c r="I858" s="216" t="s">
        <v>2783</v>
      </c>
    </row>
    <row r="859">
      <c r="A859" s="212" t="s">
        <v>2790</v>
      </c>
      <c r="B859" s="212" t="s">
        <v>2791</v>
      </c>
      <c r="C859" s="212" t="s">
        <v>2792</v>
      </c>
      <c r="D859" s="213">
        <v>45710.535787037035</v>
      </c>
      <c r="E859" s="213">
        <v>45710.69111111111</v>
      </c>
      <c r="F859" s="214" t="s">
        <v>2793</v>
      </c>
      <c r="G859" s="215" t="s">
        <v>2794</v>
      </c>
      <c r="H859" s="212" t="s">
        <v>346</v>
      </c>
      <c r="I859" s="212" t="s">
        <v>284</v>
      </c>
    </row>
    <row r="860">
      <c r="A860" s="216" t="s">
        <v>2795</v>
      </c>
      <c r="B860" s="216" t="s">
        <v>2791</v>
      </c>
      <c r="C860" s="216" t="s">
        <v>2796</v>
      </c>
      <c r="D860" s="217">
        <v>45710.53542824074</v>
      </c>
      <c r="E860" s="217">
        <v>45710.6112037037</v>
      </c>
      <c r="F860" s="218" t="s">
        <v>2797</v>
      </c>
      <c r="G860" s="219" t="s">
        <v>2798</v>
      </c>
      <c r="H860" s="216" t="s">
        <v>346</v>
      </c>
      <c r="I860" s="216" t="s">
        <v>284</v>
      </c>
    </row>
    <row r="861">
      <c r="A861" s="212" t="s">
        <v>2799</v>
      </c>
      <c r="B861" s="212" t="s">
        <v>2800</v>
      </c>
      <c r="C861" s="212" t="s">
        <v>2801</v>
      </c>
      <c r="D861" s="213">
        <v>45548.746712962966</v>
      </c>
      <c r="E861" s="213"/>
      <c r="F861" s="214" t="s">
        <v>503</v>
      </c>
      <c r="G861" s="215" t="s">
        <v>1576</v>
      </c>
      <c r="H861" s="212" t="s">
        <v>259</v>
      </c>
      <c r="I861" s="212" t="s">
        <v>531</v>
      </c>
    </row>
    <row r="862">
      <c r="A862" s="212" t="s">
        <v>2802</v>
      </c>
      <c r="B862" s="212" t="s">
        <v>2800</v>
      </c>
      <c r="C862" s="212" t="s">
        <v>2803</v>
      </c>
      <c r="D862" s="213">
        <v>45526.76924768519</v>
      </c>
      <c r="E862" s="213"/>
      <c r="F862" s="214" t="s">
        <v>431</v>
      </c>
      <c r="G862" s="215" t="s">
        <v>2804</v>
      </c>
      <c r="H862" s="212" t="s">
        <v>259</v>
      </c>
      <c r="I862" s="212" t="s">
        <v>531</v>
      </c>
    </row>
    <row r="863">
      <c r="A863" s="216" t="s">
        <v>2805</v>
      </c>
      <c r="B863" s="216" t="s">
        <v>2800</v>
      </c>
      <c r="C863" s="216" t="s">
        <v>2801</v>
      </c>
      <c r="D863" s="217">
        <v>45506.743425925924</v>
      </c>
      <c r="E863" s="217"/>
      <c r="F863" s="218" t="s">
        <v>281</v>
      </c>
      <c r="G863" s="219" t="s">
        <v>2806</v>
      </c>
      <c r="H863" s="216" t="s">
        <v>259</v>
      </c>
      <c r="I863" s="216" t="s">
        <v>531</v>
      </c>
    </row>
    <row r="864">
      <c r="A864" s="212" t="s">
        <v>2807</v>
      </c>
      <c r="B864" s="212" t="s">
        <v>2800</v>
      </c>
      <c r="C864" s="212" t="s">
        <v>2808</v>
      </c>
      <c r="D864" s="213">
        <v>45451.8340625</v>
      </c>
      <c r="E864" s="213">
        <v>45452.28145833333</v>
      </c>
      <c r="F864" s="214" t="s">
        <v>470</v>
      </c>
      <c r="G864" s="215" t="s">
        <v>753</v>
      </c>
      <c r="H864" s="212" t="s">
        <v>259</v>
      </c>
      <c r="I864" s="212" t="s">
        <v>531</v>
      </c>
    </row>
    <row r="865">
      <c r="A865" s="216" t="s">
        <v>2809</v>
      </c>
      <c r="B865" s="216" t="s">
        <v>2810</v>
      </c>
      <c r="C865" s="216" t="s">
        <v>2811</v>
      </c>
      <c r="D865" s="217">
        <v>45542.90476851852</v>
      </c>
      <c r="E865" s="217"/>
      <c r="F865" s="218" t="s">
        <v>330</v>
      </c>
      <c r="G865" s="219" t="s">
        <v>2812</v>
      </c>
      <c r="H865" s="216" t="s">
        <v>265</v>
      </c>
      <c r="I865" s="216" t="s">
        <v>461</v>
      </c>
    </row>
    <row r="866">
      <c r="A866" s="212" t="s">
        <v>2813</v>
      </c>
      <c r="B866" s="212" t="s">
        <v>2810</v>
      </c>
      <c r="C866" s="212" t="s">
        <v>2811</v>
      </c>
      <c r="D866" s="213">
        <v>45703.74628472222</v>
      </c>
      <c r="E866" s="213">
        <v>45703.753657407404</v>
      </c>
      <c r="F866" s="214" t="s">
        <v>431</v>
      </c>
      <c r="G866" s="215" t="s">
        <v>2814</v>
      </c>
      <c r="H866" s="212" t="s">
        <v>259</v>
      </c>
      <c r="I866" s="212" t="s">
        <v>461</v>
      </c>
    </row>
    <row r="867">
      <c r="A867" s="212" t="s">
        <v>2815</v>
      </c>
      <c r="B867" s="212" t="s">
        <v>2810</v>
      </c>
      <c r="C867" s="212" t="s">
        <v>2811</v>
      </c>
      <c r="D867" s="213">
        <v>45745.67136574074</v>
      </c>
      <c r="E867" s="213">
        <v>45745.680625</v>
      </c>
      <c r="F867" s="214" t="s">
        <v>431</v>
      </c>
      <c r="G867" s="215" t="s">
        <v>432</v>
      </c>
      <c r="H867" s="212" t="s">
        <v>259</v>
      </c>
      <c r="I867" s="212" t="s">
        <v>461</v>
      </c>
    </row>
    <row r="868">
      <c r="A868" s="212" t="s">
        <v>2816</v>
      </c>
      <c r="B868" s="212" t="s">
        <v>2810</v>
      </c>
      <c r="C868" s="212" t="s">
        <v>2811</v>
      </c>
      <c r="D868" s="213">
        <v>45774.88072916667</v>
      </c>
      <c r="E868" s="213">
        <v>45774.88891203704</v>
      </c>
      <c r="F868" s="214" t="s">
        <v>1450</v>
      </c>
      <c r="G868" s="215" t="s">
        <v>2817</v>
      </c>
      <c r="H868" s="212" t="s">
        <v>259</v>
      </c>
      <c r="I868" s="212" t="s">
        <v>461</v>
      </c>
    </row>
    <row r="869">
      <c r="A869" s="212" t="s">
        <v>2818</v>
      </c>
      <c r="B869" s="212" t="s">
        <v>2819</v>
      </c>
      <c r="C869" s="212" t="s">
        <v>2820</v>
      </c>
      <c r="D869" s="213">
        <v>45523.79893518519</v>
      </c>
      <c r="E869" s="213"/>
      <c r="F869" s="214" t="s">
        <v>509</v>
      </c>
      <c r="G869" s="215" t="s">
        <v>1936</v>
      </c>
      <c r="H869" s="212" t="s">
        <v>377</v>
      </c>
      <c r="I869" s="212" t="s">
        <v>357</v>
      </c>
    </row>
    <row r="870">
      <c r="A870" s="212" t="s">
        <v>2818</v>
      </c>
      <c r="B870" s="212" t="s">
        <v>2819</v>
      </c>
      <c r="C870" s="212" t="s">
        <v>2820</v>
      </c>
      <c r="D870" s="213">
        <v>45523.79893518519</v>
      </c>
      <c r="E870" s="213"/>
      <c r="F870" s="214" t="s">
        <v>509</v>
      </c>
      <c r="G870" s="215" t="s">
        <v>1936</v>
      </c>
      <c r="H870" s="212" t="s">
        <v>377</v>
      </c>
      <c r="I870" s="212" t="s">
        <v>357</v>
      </c>
    </row>
    <row r="871">
      <c r="A871" s="212" t="s">
        <v>2821</v>
      </c>
      <c r="B871" s="212" t="s">
        <v>2819</v>
      </c>
      <c r="C871" s="212" t="s">
        <v>2820</v>
      </c>
      <c r="D871" s="213">
        <v>45467.792291666665</v>
      </c>
      <c r="E871" s="213"/>
      <c r="F871" s="214" t="s">
        <v>317</v>
      </c>
      <c r="G871" s="215" t="s">
        <v>2822</v>
      </c>
      <c r="H871" s="212" t="s">
        <v>377</v>
      </c>
      <c r="I871" s="212" t="s">
        <v>357</v>
      </c>
    </row>
    <row r="872">
      <c r="A872" s="216" t="s">
        <v>2823</v>
      </c>
      <c r="B872" s="216" t="s">
        <v>2819</v>
      </c>
      <c r="C872" s="216" t="s">
        <v>2820</v>
      </c>
      <c r="D872" s="217">
        <v>45452.86497685185</v>
      </c>
      <c r="E872" s="217">
        <v>45453.25724537037</v>
      </c>
      <c r="F872" s="218" t="s">
        <v>250</v>
      </c>
      <c r="G872" s="219" t="s">
        <v>2824</v>
      </c>
      <c r="H872" s="216" t="s">
        <v>377</v>
      </c>
      <c r="I872" s="216" t="s">
        <v>357</v>
      </c>
    </row>
    <row r="873">
      <c r="A873" s="212" t="s">
        <v>2825</v>
      </c>
      <c r="B873" s="212" t="s">
        <v>2819</v>
      </c>
      <c r="C873" s="212" t="s">
        <v>2826</v>
      </c>
      <c r="D873" s="213">
        <v>45761.47100694444</v>
      </c>
      <c r="E873" s="213">
        <v>45761.49659722222</v>
      </c>
      <c r="F873" s="214" t="s">
        <v>2827</v>
      </c>
      <c r="G873" s="215" t="s">
        <v>2828</v>
      </c>
      <c r="H873" s="212" t="s">
        <v>377</v>
      </c>
      <c r="I873" s="212" t="s">
        <v>357</v>
      </c>
    </row>
    <row r="874">
      <c r="A874" s="216" t="s">
        <v>2829</v>
      </c>
      <c r="B874" s="216" t="s">
        <v>2819</v>
      </c>
      <c r="C874" s="216" t="s">
        <v>2830</v>
      </c>
      <c r="D874" s="217">
        <v>45750.507361111115</v>
      </c>
      <c r="E874" s="217">
        <v>45751.555613425924</v>
      </c>
      <c r="F874" s="218" t="s">
        <v>928</v>
      </c>
      <c r="G874" s="219" t="s">
        <v>2831</v>
      </c>
      <c r="H874" s="216" t="s">
        <v>377</v>
      </c>
      <c r="I874" s="216" t="s">
        <v>357</v>
      </c>
    </row>
    <row r="875">
      <c r="A875" s="212" t="s">
        <v>2832</v>
      </c>
      <c r="B875" s="212" t="s">
        <v>2833</v>
      </c>
      <c r="C875" s="212" t="s">
        <v>2834</v>
      </c>
      <c r="D875" s="213">
        <v>45550.51741898148</v>
      </c>
      <c r="E875" s="213"/>
      <c r="F875" s="214" t="s">
        <v>317</v>
      </c>
      <c r="G875" s="215" t="s">
        <v>2835</v>
      </c>
      <c r="H875" s="212" t="s">
        <v>259</v>
      </c>
      <c r="I875" s="212" t="s">
        <v>2307</v>
      </c>
    </row>
    <row r="876">
      <c r="A876" s="216" t="s">
        <v>2836</v>
      </c>
      <c r="B876" s="216" t="s">
        <v>2837</v>
      </c>
      <c r="C876" s="216" t="s">
        <v>2838</v>
      </c>
      <c r="D876" s="217">
        <v>45527.82225694445</v>
      </c>
      <c r="E876" s="217"/>
      <c r="F876" s="218" t="s">
        <v>599</v>
      </c>
      <c r="G876" s="219" t="s">
        <v>2839</v>
      </c>
      <c r="H876" s="216" t="s">
        <v>632</v>
      </c>
      <c r="I876" s="216" t="s">
        <v>2840</v>
      </c>
    </row>
    <row r="877">
      <c r="A877" s="212" t="s">
        <v>2841</v>
      </c>
      <c r="B877" s="212" t="s">
        <v>2837</v>
      </c>
      <c r="C877" s="212" t="s">
        <v>2842</v>
      </c>
      <c r="D877" s="213">
        <v>45527.821226851855</v>
      </c>
      <c r="E877" s="213"/>
      <c r="F877" s="214" t="s">
        <v>599</v>
      </c>
      <c r="G877" s="215" t="s">
        <v>2839</v>
      </c>
      <c r="H877" s="212" t="s">
        <v>632</v>
      </c>
      <c r="I877" s="212" t="s">
        <v>2840</v>
      </c>
    </row>
    <row r="878">
      <c r="A878" s="216" t="s">
        <v>2843</v>
      </c>
      <c r="B878" s="216" t="s">
        <v>2837</v>
      </c>
      <c r="C878" s="216" t="s">
        <v>2842</v>
      </c>
      <c r="D878" s="217">
        <v>45517.783159722225</v>
      </c>
      <c r="E878" s="217"/>
      <c r="F878" s="218" t="s">
        <v>1556</v>
      </c>
      <c r="G878" s="219" t="s">
        <v>2844</v>
      </c>
      <c r="H878" s="216" t="s">
        <v>265</v>
      </c>
      <c r="I878" s="216" t="s">
        <v>2840</v>
      </c>
    </row>
    <row r="879">
      <c r="A879" s="212" t="s">
        <v>2845</v>
      </c>
      <c r="B879" s="212" t="s">
        <v>2837</v>
      </c>
      <c r="C879" s="212" t="s">
        <v>2838</v>
      </c>
      <c r="D879" s="213">
        <v>45513.78414351852</v>
      </c>
      <c r="E879" s="213"/>
      <c r="F879" s="214" t="s">
        <v>2846</v>
      </c>
      <c r="G879" s="215" t="s">
        <v>2847</v>
      </c>
      <c r="H879" s="212" t="s">
        <v>632</v>
      </c>
      <c r="I879" s="212" t="s">
        <v>2840</v>
      </c>
    </row>
    <row r="880">
      <c r="A880" s="216" t="s">
        <v>2848</v>
      </c>
      <c r="B880" s="216" t="s">
        <v>2837</v>
      </c>
      <c r="C880" s="216" t="s">
        <v>2842</v>
      </c>
      <c r="D880" s="217">
        <v>45484.85560185185</v>
      </c>
      <c r="E880" s="217"/>
      <c r="F880" s="218" t="s">
        <v>872</v>
      </c>
      <c r="G880" s="219" t="s">
        <v>2849</v>
      </c>
      <c r="H880" s="216" t="s">
        <v>265</v>
      </c>
      <c r="I880" s="216" t="s">
        <v>2840</v>
      </c>
    </row>
    <row r="881">
      <c r="A881" s="216" t="s">
        <v>2848</v>
      </c>
      <c r="B881" s="216" t="s">
        <v>2837</v>
      </c>
      <c r="C881" s="216" t="s">
        <v>2842</v>
      </c>
      <c r="D881" s="217">
        <v>45484.85560185185</v>
      </c>
      <c r="E881" s="217"/>
      <c r="F881" s="218" t="s">
        <v>872</v>
      </c>
      <c r="G881" s="219" t="s">
        <v>2849</v>
      </c>
      <c r="H881" s="216" t="s">
        <v>265</v>
      </c>
      <c r="I881" s="216" t="s">
        <v>2840</v>
      </c>
    </row>
    <row r="882">
      <c r="A882" s="216" t="s">
        <v>2850</v>
      </c>
      <c r="B882" s="216" t="s">
        <v>2837</v>
      </c>
      <c r="C882" s="216" t="s">
        <v>2842</v>
      </c>
      <c r="D882" s="217">
        <v>45465.59340277778</v>
      </c>
      <c r="E882" s="217"/>
      <c r="F882" s="218" t="s">
        <v>837</v>
      </c>
      <c r="G882" s="219" t="s">
        <v>2851</v>
      </c>
      <c r="H882" s="216" t="s">
        <v>265</v>
      </c>
      <c r="I882" s="216" t="s">
        <v>2840</v>
      </c>
    </row>
    <row r="883">
      <c r="A883" s="212" t="s">
        <v>2852</v>
      </c>
      <c r="B883" s="212" t="s">
        <v>2837</v>
      </c>
      <c r="C883" s="212" t="s">
        <v>2838</v>
      </c>
      <c r="D883" s="213">
        <v>45465.5925462963</v>
      </c>
      <c r="E883" s="213"/>
      <c r="F883" s="214" t="s">
        <v>2853</v>
      </c>
      <c r="G883" s="215" t="s">
        <v>2854</v>
      </c>
      <c r="H883" s="212" t="s">
        <v>632</v>
      </c>
      <c r="I883" s="212" t="s">
        <v>2840</v>
      </c>
    </row>
    <row r="884">
      <c r="A884" s="216" t="s">
        <v>2855</v>
      </c>
      <c r="B884" s="216" t="s">
        <v>2837</v>
      </c>
      <c r="C884" s="216" t="s">
        <v>2842</v>
      </c>
      <c r="D884" s="217">
        <v>45454.79284722222</v>
      </c>
      <c r="E884" s="217">
        <v>45455.437627314815</v>
      </c>
      <c r="F884" s="218" t="s">
        <v>2856</v>
      </c>
      <c r="G884" s="219" t="s">
        <v>2857</v>
      </c>
      <c r="H884" s="216" t="s">
        <v>632</v>
      </c>
      <c r="I884" s="216" t="s">
        <v>2840</v>
      </c>
    </row>
    <row r="885">
      <c r="A885" s="216" t="s">
        <v>2858</v>
      </c>
      <c r="B885" s="216" t="s">
        <v>2837</v>
      </c>
      <c r="C885" s="216" t="s">
        <v>2842</v>
      </c>
      <c r="D885" s="217">
        <v>45450.81717592593</v>
      </c>
      <c r="E885" s="224"/>
      <c r="F885" s="218" t="s">
        <v>2856</v>
      </c>
      <c r="G885" s="219" t="s">
        <v>2857</v>
      </c>
      <c r="H885" s="216" t="s">
        <v>265</v>
      </c>
      <c r="I885" s="216" t="s">
        <v>2840</v>
      </c>
    </row>
    <row r="886">
      <c r="A886" s="212" t="s">
        <v>2859</v>
      </c>
      <c r="B886" s="212" t="s">
        <v>2837</v>
      </c>
      <c r="C886" s="212" t="s">
        <v>2842</v>
      </c>
      <c r="D886" s="213">
        <v>45443.81145833333</v>
      </c>
      <c r="E886" s="213">
        <v>45447.31605324074</v>
      </c>
      <c r="F886" s="214" t="s">
        <v>1151</v>
      </c>
      <c r="G886" s="215" t="s">
        <v>2860</v>
      </c>
      <c r="H886" s="212" t="s">
        <v>265</v>
      </c>
      <c r="I886" s="212" t="s">
        <v>2840</v>
      </c>
    </row>
    <row r="887">
      <c r="A887" s="216" t="s">
        <v>2861</v>
      </c>
      <c r="B887" s="216" t="s">
        <v>2862</v>
      </c>
      <c r="C887" s="216" t="s">
        <v>2863</v>
      </c>
      <c r="D887" s="217">
        <v>45548.81916666667</v>
      </c>
      <c r="E887" s="217"/>
      <c r="F887" s="218" t="s">
        <v>498</v>
      </c>
      <c r="G887" s="219" t="s">
        <v>2864</v>
      </c>
      <c r="H887" s="216" t="s">
        <v>252</v>
      </c>
      <c r="I887" s="216" t="s">
        <v>313</v>
      </c>
    </row>
    <row r="888">
      <c r="A888" s="212" t="s">
        <v>2865</v>
      </c>
      <c r="B888" s="212" t="s">
        <v>2862</v>
      </c>
      <c r="C888" s="212" t="s">
        <v>2866</v>
      </c>
      <c r="D888" s="213">
        <v>45548.81814814815</v>
      </c>
      <c r="E888" s="213"/>
      <c r="F888" s="214" t="s">
        <v>2867</v>
      </c>
      <c r="G888" s="215" t="s">
        <v>2868</v>
      </c>
      <c r="H888" s="212" t="s">
        <v>259</v>
      </c>
      <c r="I888" s="212" t="s">
        <v>2869</v>
      </c>
    </row>
    <row r="889">
      <c r="A889" s="212" t="s">
        <v>2870</v>
      </c>
      <c r="B889" s="212" t="s">
        <v>2862</v>
      </c>
      <c r="C889" s="212" t="s">
        <v>2863</v>
      </c>
      <c r="D889" s="213">
        <v>45500.775034722225</v>
      </c>
      <c r="E889" s="213"/>
      <c r="F889" s="214" t="s">
        <v>431</v>
      </c>
      <c r="G889" s="215" t="s">
        <v>2871</v>
      </c>
      <c r="H889" s="212" t="s">
        <v>252</v>
      </c>
      <c r="I889" s="212" t="s">
        <v>313</v>
      </c>
    </row>
    <row r="890">
      <c r="A890" s="216" t="s">
        <v>2872</v>
      </c>
      <c r="B890" s="216" t="s">
        <v>2862</v>
      </c>
      <c r="C890" s="216" t="s">
        <v>2866</v>
      </c>
      <c r="D890" s="217">
        <v>45500.77452546296</v>
      </c>
      <c r="E890" s="217"/>
      <c r="F890" s="218" t="s">
        <v>431</v>
      </c>
      <c r="G890" s="219" t="s">
        <v>2871</v>
      </c>
      <c r="H890" s="216" t="s">
        <v>259</v>
      </c>
      <c r="I890" s="216" t="s">
        <v>2869</v>
      </c>
    </row>
    <row r="891">
      <c r="A891" s="216" t="s">
        <v>2873</v>
      </c>
      <c r="B891" s="216" t="s">
        <v>2862</v>
      </c>
      <c r="C891" s="216" t="s">
        <v>2866</v>
      </c>
      <c r="D891" s="217">
        <v>45499.878657407404</v>
      </c>
      <c r="E891" s="217"/>
      <c r="F891" s="218" t="s">
        <v>2180</v>
      </c>
      <c r="G891" s="219" t="s">
        <v>2874</v>
      </c>
      <c r="H891" s="216" t="s">
        <v>259</v>
      </c>
      <c r="I891" s="216" t="s">
        <v>2869</v>
      </c>
    </row>
    <row r="892">
      <c r="A892" s="216" t="s">
        <v>2875</v>
      </c>
      <c r="B892" s="216" t="s">
        <v>2862</v>
      </c>
      <c r="C892" s="216" t="s">
        <v>2863</v>
      </c>
      <c r="D892" s="217">
        <v>45485.792662037034</v>
      </c>
      <c r="E892" s="217"/>
      <c r="F892" s="218" t="s">
        <v>431</v>
      </c>
      <c r="G892" s="219" t="s">
        <v>2876</v>
      </c>
      <c r="H892" s="216" t="s">
        <v>252</v>
      </c>
      <c r="I892" s="216" t="s">
        <v>313</v>
      </c>
    </row>
    <row r="893">
      <c r="A893" s="212" t="s">
        <v>2877</v>
      </c>
      <c r="B893" s="212" t="s">
        <v>2862</v>
      </c>
      <c r="C893" s="212" t="s">
        <v>2866</v>
      </c>
      <c r="D893" s="213">
        <v>45485.79059027778</v>
      </c>
      <c r="E893" s="213"/>
      <c r="F893" s="214" t="s">
        <v>2878</v>
      </c>
      <c r="G893" s="215" t="s">
        <v>2879</v>
      </c>
      <c r="H893" s="212" t="s">
        <v>259</v>
      </c>
      <c r="I893" s="212" t="s">
        <v>2869</v>
      </c>
    </row>
    <row r="894">
      <c r="A894" s="216" t="s">
        <v>2875</v>
      </c>
      <c r="B894" s="216" t="s">
        <v>2862</v>
      </c>
      <c r="C894" s="216" t="s">
        <v>2863</v>
      </c>
      <c r="D894" s="217">
        <v>45485.792662037034</v>
      </c>
      <c r="E894" s="217"/>
      <c r="F894" s="218" t="s">
        <v>431</v>
      </c>
      <c r="G894" s="219" t="s">
        <v>2876</v>
      </c>
      <c r="H894" s="216" t="s">
        <v>252</v>
      </c>
      <c r="I894" s="216" t="s">
        <v>313</v>
      </c>
    </row>
    <row r="895">
      <c r="A895" s="212" t="s">
        <v>2877</v>
      </c>
      <c r="B895" s="212" t="s">
        <v>2862</v>
      </c>
      <c r="C895" s="212" t="s">
        <v>2866</v>
      </c>
      <c r="D895" s="213">
        <v>45485.79059027778</v>
      </c>
      <c r="E895" s="213"/>
      <c r="F895" s="214" t="s">
        <v>2878</v>
      </c>
      <c r="G895" s="215" t="s">
        <v>2879</v>
      </c>
      <c r="H895" s="212" t="s">
        <v>259</v>
      </c>
      <c r="I895" s="212" t="s">
        <v>2869</v>
      </c>
    </row>
    <row r="896">
      <c r="A896" s="216" t="s">
        <v>2880</v>
      </c>
      <c r="B896" s="216" t="s">
        <v>2862</v>
      </c>
      <c r="C896" s="216" t="s">
        <v>2863</v>
      </c>
      <c r="D896" s="217">
        <v>45710.88516203704</v>
      </c>
      <c r="E896" s="217">
        <v>45710.89931712963</v>
      </c>
      <c r="F896" s="218" t="s">
        <v>431</v>
      </c>
      <c r="G896" s="219" t="s">
        <v>432</v>
      </c>
      <c r="H896" s="216" t="s">
        <v>561</v>
      </c>
      <c r="I896" s="216" t="s">
        <v>313</v>
      </c>
    </row>
    <row r="897">
      <c r="A897" s="212" t="s">
        <v>2881</v>
      </c>
      <c r="B897" s="212" t="s">
        <v>2862</v>
      </c>
      <c r="C897" s="212" t="s">
        <v>2863</v>
      </c>
      <c r="D897" s="213">
        <v>45737.85864583333</v>
      </c>
      <c r="E897" s="213">
        <v>45738.45841435185</v>
      </c>
      <c r="F897" s="214" t="s">
        <v>470</v>
      </c>
      <c r="G897" s="215" t="s">
        <v>587</v>
      </c>
      <c r="H897" s="212" t="s">
        <v>252</v>
      </c>
      <c r="I897" s="212" t="s">
        <v>313</v>
      </c>
    </row>
    <row r="898">
      <c r="A898" s="216" t="s">
        <v>2882</v>
      </c>
      <c r="B898" s="216" t="s">
        <v>2862</v>
      </c>
      <c r="C898" s="216" t="s">
        <v>2866</v>
      </c>
      <c r="D898" s="217">
        <v>45737.85621527778</v>
      </c>
      <c r="E898" s="217">
        <v>45737.895891203705</v>
      </c>
      <c r="F898" s="218" t="s">
        <v>503</v>
      </c>
      <c r="G898" s="219" t="s">
        <v>2883</v>
      </c>
      <c r="H898" s="216" t="s">
        <v>1345</v>
      </c>
      <c r="I898" s="216" t="s">
        <v>2869</v>
      </c>
    </row>
    <row r="899">
      <c r="A899" s="212" t="s">
        <v>2884</v>
      </c>
      <c r="B899" s="212" t="s">
        <v>2885</v>
      </c>
      <c r="C899" s="212" t="s">
        <v>2886</v>
      </c>
      <c r="D899" s="213">
        <v>45549.59394675926</v>
      </c>
      <c r="E899" s="213"/>
      <c r="F899" s="214" t="s">
        <v>1556</v>
      </c>
      <c r="G899" s="215" t="s">
        <v>2887</v>
      </c>
      <c r="H899" s="212" t="s">
        <v>356</v>
      </c>
      <c r="I899" s="212" t="s">
        <v>2888</v>
      </c>
    </row>
    <row r="900">
      <c r="A900" s="216" t="s">
        <v>2889</v>
      </c>
      <c r="B900" s="216" t="s">
        <v>2885</v>
      </c>
      <c r="C900" s="216" t="s">
        <v>2890</v>
      </c>
      <c r="D900" s="217">
        <v>45549.59342592592</v>
      </c>
      <c r="E900" s="217"/>
      <c r="F900" s="218" t="s">
        <v>1784</v>
      </c>
      <c r="G900" s="219" t="s">
        <v>2891</v>
      </c>
      <c r="H900" s="216" t="s">
        <v>356</v>
      </c>
      <c r="I900" s="216" t="s">
        <v>2888</v>
      </c>
    </row>
    <row r="901">
      <c r="A901" s="216" t="s">
        <v>2892</v>
      </c>
      <c r="B901" s="216" t="s">
        <v>2885</v>
      </c>
      <c r="C901" s="216" t="s">
        <v>2886</v>
      </c>
      <c r="D901" s="217">
        <v>45529.703877314816</v>
      </c>
      <c r="E901" s="217"/>
      <c r="F901" s="218" t="s">
        <v>2893</v>
      </c>
      <c r="G901" s="219" t="s">
        <v>2894</v>
      </c>
      <c r="H901" s="216" t="s">
        <v>356</v>
      </c>
      <c r="I901" s="216" t="s">
        <v>2888</v>
      </c>
    </row>
    <row r="902">
      <c r="A902" s="212" t="s">
        <v>2895</v>
      </c>
      <c r="B902" s="212" t="s">
        <v>2885</v>
      </c>
      <c r="C902" s="212" t="s">
        <v>2890</v>
      </c>
      <c r="D902" s="213">
        <v>45529.703252314815</v>
      </c>
      <c r="E902" s="213"/>
      <c r="F902" s="214" t="s">
        <v>465</v>
      </c>
      <c r="G902" s="215" t="s">
        <v>2896</v>
      </c>
      <c r="H902" s="212" t="s">
        <v>356</v>
      </c>
      <c r="I902" s="212" t="s">
        <v>2888</v>
      </c>
    </row>
    <row r="903">
      <c r="A903" s="212" t="s">
        <v>2897</v>
      </c>
      <c r="B903" s="212" t="s">
        <v>2885</v>
      </c>
      <c r="C903" s="212" t="s">
        <v>2890</v>
      </c>
      <c r="D903" s="213">
        <v>45521.62925925926</v>
      </c>
      <c r="E903" s="213"/>
      <c r="F903" s="214" t="s">
        <v>250</v>
      </c>
      <c r="G903" s="215" t="s">
        <v>2366</v>
      </c>
      <c r="H903" s="212" t="s">
        <v>356</v>
      </c>
      <c r="I903" s="212" t="s">
        <v>2888</v>
      </c>
    </row>
    <row r="904">
      <c r="A904" s="216" t="s">
        <v>2898</v>
      </c>
      <c r="B904" s="216" t="s">
        <v>2885</v>
      </c>
      <c r="C904" s="216" t="s">
        <v>2890</v>
      </c>
      <c r="D904" s="217">
        <v>45508.436203703706</v>
      </c>
      <c r="E904" s="217"/>
      <c r="F904" s="218" t="s">
        <v>2006</v>
      </c>
      <c r="G904" s="219" t="s">
        <v>2899</v>
      </c>
      <c r="H904" s="216" t="s">
        <v>356</v>
      </c>
      <c r="I904" s="216" t="s">
        <v>2888</v>
      </c>
    </row>
    <row r="905">
      <c r="A905" s="212" t="s">
        <v>2900</v>
      </c>
      <c r="B905" s="212" t="s">
        <v>2885</v>
      </c>
      <c r="C905" s="212" t="s">
        <v>2890</v>
      </c>
      <c r="D905" s="213">
        <v>45500.67953703704</v>
      </c>
      <c r="E905" s="213"/>
      <c r="F905" s="214" t="s">
        <v>2351</v>
      </c>
      <c r="G905" s="215" t="s">
        <v>2901</v>
      </c>
      <c r="H905" s="212" t="s">
        <v>356</v>
      </c>
      <c r="I905" s="212" t="s">
        <v>2888</v>
      </c>
    </row>
    <row r="906">
      <c r="A906" s="216" t="s">
        <v>2902</v>
      </c>
      <c r="B906" s="216" t="s">
        <v>2885</v>
      </c>
      <c r="C906" s="216" t="s">
        <v>2886</v>
      </c>
      <c r="D906" s="217">
        <v>45478.76038194444</v>
      </c>
      <c r="E906" s="217"/>
      <c r="F906" s="218" t="s">
        <v>493</v>
      </c>
      <c r="G906" s="219" t="s">
        <v>2903</v>
      </c>
      <c r="H906" s="216" t="s">
        <v>356</v>
      </c>
      <c r="I906" s="216" t="s">
        <v>2888</v>
      </c>
    </row>
    <row r="907">
      <c r="A907" s="212" t="s">
        <v>2904</v>
      </c>
      <c r="B907" s="212" t="s">
        <v>2885</v>
      </c>
      <c r="C907" s="212" t="s">
        <v>2890</v>
      </c>
      <c r="D907" s="213">
        <v>45478.760104166664</v>
      </c>
      <c r="E907" s="213"/>
      <c r="F907" s="214" t="s">
        <v>291</v>
      </c>
      <c r="G907" s="215" t="s">
        <v>2905</v>
      </c>
      <c r="H907" s="212" t="s">
        <v>356</v>
      </c>
      <c r="I907" s="212" t="s">
        <v>2888</v>
      </c>
    </row>
    <row r="908">
      <c r="A908" s="216" t="s">
        <v>2906</v>
      </c>
      <c r="B908" s="216" t="s">
        <v>2885</v>
      </c>
      <c r="C908" s="216" t="s">
        <v>2886</v>
      </c>
      <c r="D908" s="217">
        <v>45471.85974537037</v>
      </c>
      <c r="E908" s="217"/>
      <c r="F908" s="218" t="s">
        <v>1556</v>
      </c>
      <c r="G908" s="219" t="s">
        <v>2907</v>
      </c>
      <c r="H908" s="216" t="s">
        <v>356</v>
      </c>
      <c r="I908" s="216" t="s">
        <v>2888</v>
      </c>
    </row>
    <row r="909">
      <c r="A909" s="212" t="s">
        <v>2908</v>
      </c>
      <c r="B909" s="212" t="s">
        <v>2885</v>
      </c>
      <c r="C909" s="212" t="s">
        <v>2890</v>
      </c>
      <c r="D909" s="213">
        <v>45471.85875</v>
      </c>
      <c r="E909" s="213"/>
      <c r="F909" s="214" t="s">
        <v>250</v>
      </c>
      <c r="G909" s="215" t="s">
        <v>2909</v>
      </c>
      <c r="H909" s="212" t="s">
        <v>356</v>
      </c>
      <c r="I909" s="212" t="s">
        <v>2888</v>
      </c>
    </row>
    <row r="910">
      <c r="A910" s="212" t="s">
        <v>2910</v>
      </c>
      <c r="B910" s="212" t="s">
        <v>2885</v>
      </c>
      <c r="C910" s="212" t="s">
        <v>2890</v>
      </c>
      <c r="D910" s="213">
        <v>45450.91857638889</v>
      </c>
      <c r="E910" s="213">
        <v>45451.35791666667</v>
      </c>
      <c r="F910" s="214" t="s">
        <v>542</v>
      </c>
      <c r="G910" s="215" t="s">
        <v>2911</v>
      </c>
      <c r="H910" s="212" t="s">
        <v>356</v>
      </c>
      <c r="I910" s="212" t="s">
        <v>2888</v>
      </c>
    </row>
    <row r="911">
      <c r="A911" s="216" t="s">
        <v>2912</v>
      </c>
      <c r="B911" s="216" t="s">
        <v>2885</v>
      </c>
      <c r="C911" s="216" t="s">
        <v>2886</v>
      </c>
      <c r="D911" s="217">
        <v>45760.856944444444</v>
      </c>
      <c r="E911" s="217">
        <v>45761.566099537034</v>
      </c>
      <c r="F911" s="218" t="s">
        <v>488</v>
      </c>
      <c r="G911" s="219" t="s">
        <v>2913</v>
      </c>
      <c r="H911" s="216" t="s">
        <v>356</v>
      </c>
      <c r="I911" s="216" t="s">
        <v>2888</v>
      </c>
    </row>
    <row r="912">
      <c r="A912" s="212" t="s">
        <v>2914</v>
      </c>
      <c r="B912" s="212" t="s">
        <v>2915</v>
      </c>
      <c r="C912" s="212" t="s">
        <v>2916</v>
      </c>
      <c r="D912" s="213">
        <v>45710.82530092593</v>
      </c>
      <c r="E912" s="213">
        <v>45711.44457175926</v>
      </c>
      <c r="F912" s="214" t="s">
        <v>2774</v>
      </c>
      <c r="G912" s="215" t="s">
        <v>2775</v>
      </c>
      <c r="H912" s="212" t="s">
        <v>259</v>
      </c>
      <c r="I912" s="212" t="s">
        <v>2071</v>
      </c>
    </row>
    <row r="913">
      <c r="A913" s="212" t="s">
        <v>2917</v>
      </c>
      <c r="B913" s="212" t="s">
        <v>2918</v>
      </c>
      <c r="C913" s="212" t="s">
        <v>2919</v>
      </c>
      <c r="D913" s="213">
        <v>45552.59675925926</v>
      </c>
      <c r="E913" s="213"/>
      <c r="F913" s="214" t="s">
        <v>2920</v>
      </c>
      <c r="G913" s="215" t="s">
        <v>2921</v>
      </c>
      <c r="H913" s="212" t="s">
        <v>259</v>
      </c>
      <c r="I913" s="212" t="s">
        <v>449</v>
      </c>
    </row>
    <row r="914">
      <c r="A914" s="212" t="s">
        <v>2922</v>
      </c>
      <c r="B914" s="212" t="s">
        <v>2918</v>
      </c>
      <c r="C914" s="212" t="s">
        <v>2919</v>
      </c>
      <c r="D914" s="213">
        <v>45486.922685185185</v>
      </c>
      <c r="E914" s="213"/>
      <c r="F914" s="214" t="s">
        <v>658</v>
      </c>
      <c r="G914" s="215" t="s">
        <v>2923</v>
      </c>
      <c r="H914" s="212" t="s">
        <v>259</v>
      </c>
      <c r="I914" s="212" t="s">
        <v>449</v>
      </c>
    </row>
    <row r="915">
      <c r="A915" s="216" t="s">
        <v>2924</v>
      </c>
      <c r="B915" s="216" t="s">
        <v>2918</v>
      </c>
      <c r="C915" s="216" t="s">
        <v>2919</v>
      </c>
      <c r="D915" s="217">
        <v>45486.921585648146</v>
      </c>
      <c r="E915" s="224"/>
      <c r="F915" s="218" t="s">
        <v>391</v>
      </c>
      <c r="G915" s="219" t="s">
        <v>877</v>
      </c>
      <c r="H915" s="216" t="s">
        <v>259</v>
      </c>
      <c r="I915" s="216" t="s">
        <v>449</v>
      </c>
    </row>
    <row r="916">
      <c r="A916" s="212" t="s">
        <v>2922</v>
      </c>
      <c r="B916" s="212" t="s">
        <v>2918</v>
      </c>
      <c r="C916" s="212" t="s">
        <v>2919</v>
      </c>
      <c r="D916" s="213">
        <v>45486.922685185185</v>
      </c>
      <c r="E916" s="213"/>
      <c r="F916" s="214" t="s">
        <v>658</v>
      </c>
      <c r="G916" s="215" t="s">
        <v>2923</v>
      </c>
      <c r="H916" s="212" t="s">
        <v>259</v>
      </c>
      <c r="I916" s="212" t="s">
        <v>449</v>
      </c>
    </row>
    <row r="917">
      <c r="A917" s="216" t="s">
        <v>2924</v>
      </c>
      <c r="B917" s="216" t="s">
        <v>2918</v>
      </c>
      <c r="C917" s="216" t="s">
        <v>2919</v>
      </c>
      <c r="D917" s="217">
        <v>45486.921585648146</v>
      </c>
      <c r="E917" s="224"/>
      <c r="F917" s="218" t="s">
        <v>391</v>
      </c>
      <c r="G917" s="219" t="s">
        <v>877</v>
      </c>
      <c r="H917" s="216" t="s">
        <v>259</v>
      </c>
      <c r="I917" s="216" t="s">
        <v>449</v>
      </c>
    </row>
    <row r="918">
      <c r="A918" s="216" t="s">
        <v>2925</v>
      </c>
      <c r="B918" s="216" t="s">
        <v>2926</v>
      </c>
      <c r="C918" s="216" t="s">
        <v>2927</v>
      </c>
      <c r="D918" s="217">
        <v>45773.51572916667</v>
      </c>
      <c r="E918" s="217">
        <v>45773.52445601852</v>
      </c>
      <c r="F918" s="218" t="s">
        <v>1652</v>
      </c>
      <c r="G918" s="219" t="s">
        <v>2928</v>
      </c>
      <c r="H918" s="216" t="s">
        <v>259</v>
      </c>
      <c r="I918" s="216" t="s">
        <v>461</v>
      </c>
    </row>
    <row r="919">
      <c r="A919" s="212" t="s">
        <v>2929</v>
      </c>
      <c r="B919" s="212" t="s">
        <v>2930</v>
      </c>
      <c r="C919" s="212" t="s">
        <v>2931</v>
      </c>
      <c r="D919" s="213">
        <v>45550.6640162037</v>
      </c>
      <c r="E919" s="213"/>
      <c r="F919" s="214" t="s">
        <v>503</v>
      </c>
      <c r="G919" s="215" t="s">
        <v>1241</v>
      </c>
      <c r="H919" s="212" t="s">
        <v>811</v>
      </c>
      <c r="I919" s="212" t="s">
        <v>389</v>
      </c>
    </row>
    <row r="920">
      <c r="A920" s="216" t="s">
        <v>2932</v>
      </c>
      <c r="B920" s="216" t="s">
        <v>2930</v>
      </c>
      <c r="C920" s="216" t="s">
        <v>2931</v>
      </c>
      <c r="D920" s="217">
        <v>45536.75206018519</v>
      </c>
      <c r="E920" s="217"/>
      <c r="F920" s="218" t="s">
        <v>431</v>
      </c>
      <c r="G920" s="219" t="s">
        <v>1900</v>
      </c>
      <c r="H920" s="216" t="s">
        <v>811</v>
      </c>
      <c r="I920" s="216" t="s">
        <v>389</v>
      </c>
    </row>
    <row r="921">
      <c r="A921" s="212" t="s">
        <v>2933</v>
      </c>
      <c r="B921" s="212" t="s">
        <v>2930</v>
      </c>
      <c r="C921" s="212" t="s">
        <v>2934</v>
      </c>
      <c r="D921" s="213">
        <v>45536.75172453704</v>
      </c>
      <c r="E921" s="213"/>
      <c r="F921" s="214" t="s">
        <v>470</v>
      </c>
      <c r="G921" s="215" t="s">
        <v>2935</v>
      </c>
      <c r="H921" s="212" t="s">
        <v>811</v>
      </c>
      <c r="I921" s="212" t="s">
        <v>1250</v>
      </c>
    </row>
    <row r="922">
      <c r="A922" s="216" t="s">
        <v>2936</v>
      </c>
      <c r="B922" s="216" t="s">
        <v>2930</v>
      </c>
      <c r="C922" s="216" t="s">
        <v>2937</v>
      </c>
      <c r="D922" s="217">
        <v>45535.71303240741</v>
      </c>
      <c r="E922" s="217"/>
      <c r="F922" s="218" t="s">
        <v>431</v>
      </c>
      <c r="G922" s="219" t="s">
        <v>1900</v>
      </c>
      <c r="H922" s="216" t="s">
        <v>811</v>
      </c>
      <c r="I922" s="216" t="s">
        <v>1250</v>
      </c>
    </row>
    <row r="923">
      <c r="A923" s="216" t="s">
        <v>2938</v>
      </c>
      <c r="B923" s="216" t="s">
        <v>2930</v>
      </c>
      <c r="C923" s="216" t="s">
        <v>2939</v>
      </c>
      <c r="D923" s="217">
        <v>45529.45763888889</v>
      </c>
      <c r="E923" s="217"/>
      <c r="F923" s="218" t="s">
        <v>269</v>
      </c>
      <c r="G923" s="219" t="s">
        <v>269</v>
      </c>
      <c r="H923" s="216" t="s">
        <v>1632</v>
      </c>
      <c r="I923" s="216" t="s">
        <v>1633</v>
      </c>
    </row>
    <row r="924">
      <c r="A924" s="212" t="s">
        <v>2940</v>
      </c>
      <c r="B924" s="212" t="s">
        <v>2930</v>
      </c>
      <c r="C924" s="212" t="s">
        <v>2931</v>
      </c>
      <c r="D924" s="213">
        <v>45529.45625</v>
      </c>
      <c r="E924" s="213"/>
      <c r="F924" s="214" t="s">
        <v>431</v>
      </c>
      <c r="G924" s="215" t="s">
        <v>1900</v>
      </c>
      <c r="H924" s="212" t="s">
        <v>811</v>
      </c>
      <c r="I924" s="212" t="s">
        <v>1250</v>
      </c>
    </row>
    <row r="925">
      <c r="A925" s="216" t="s">
        <v>2941</v>
      </c>
      <c r="B925" s="216" t="s">
        <v>2930</v>
      </c>
      <c r="C925" s="216" t="s">
        <v>2942</v>
      </c>
      <c r="D925" s="217">
        <v>45522.558958333335</v>
      </c>
      <c r="E925" s="217"/>
      <c r="F925" s="218" t="s">
        <v>2943</v>
      </c>
      <c r="G925" s="219" t="s">
        <v>2944</v>
      </c>
      <c r="H925" s="216" t="s">
        <v>388</v>
      </c>
      <c r="I925" s="216" t="s">
        <v>1250</v>
      </c>
    </row>
    <row r="926">
      <c r="A926" s="216" t="s">
        <v>2945</v>
      </c>
      <c r="B926" s="216" t="s">
        <v>2930</v>
      </c>
      <c r="C926" s="216" t="s">
        <v>2937</v>
      </c>
      <c r="D926" s="217">
        <v>45494.523518518516</v>
      </c>
      <c r="E926" s="217"/>
      <c r="F926" s="218" t="s">
        <v>431</v>
      </c>
      <c r="G926" s="219" t="s">
        <v>2946</v>
      </c>
      <c r="H926" s="216" t="s">
        <v>811</v>
      </c>
      <c r="I926" s="216" t="s">
        <v>1250</v>
      </c>
    </row>
    <row r="927">
      <c r="A927" s="216" t="s">
        <v>2947</v>
      </c>
      <c r="B927" s="216" t="s">
        <v>2930</v>
      </c>
      <c r="C927" s="216" t="s">
        <v>2937</v>
      </c>
      <c r="D927" s="217">
        <v>45465.72864583333</v>
      </c>
      <c r="E927" s="217"/>
      <c r="F927" s="218" t="s">
        <v>503</v>
      </c>
      <c r="G927" s="219" t="s">
        <v>2948</v>
      </c>
      <c r="H927" s="216" t="s">
        <v>811</v>
      </c>
      <c r="I927" s="216" t="s">
        <v>1250</v>
      </c>
    </row>
    <row r="928">
      <c r="A928" s="216" t="s">
        <v>2949</v>
      </c>
      <c r="B928" s="216" t="s">
        <v>2930</v>
      </c>
      <c r="C928" s="216" t="s">
        <v>2950</v>
      </c>
      <c r="D928" s="217">
        <v>45451.478796296295</v>
      </c>
      <c r="E928" s="217">
        <v>45451.34743055556</v>
      </c>
      <c r="F928" s="218" t="s">
        <v>431</v>
      </c>
      <c r="G928" s="219" t="s">
        <v>521</v>
      </c>
      <c r="H928" s="216" t="s">
        <v>811</v>
      </c>
      <c r="I928" s="216" t="s">
        <v>2951</v>
      </c>
    </row>
    <row r="929">
      <c r="A929" s="216" t="s">
        <v>2952</v>
      </c>
      <c r="B929" s="216" t="s">
        <v>2930</v>
      </c>
      <c r="C929" s="216" t="s">
        <v>2934</v>
      </c>
      <c r="D929" s="217">
        <v>45774.688252314816</v>
      </c>
      <c r="E929" s="217">
        <v>45777.475798611114</v>
      </c>
      <c r="F929" s="218" t="s">
        <v>1300</v>
      </c>
      <c r="G929" s="219" t="s">
        <v>2953</v>
      </c>
      <c r="H929" s="216" t="s">
        <v>811</v>
      </c>
      <c r="I929" s="216" t="s">
        <v>1250</v>
      </c>
    </row>
    <row r="930">
      <c r="A930" s="216" t="s">
        <v>2954</v>
      </c>
      <c r="B930" s="216" t="s">
        <v>2955</v>
      </c>
      <c r="C930" s="216" t="s">
        <v>2956</v>
      </c>
      <c r="D930" s="217">
        <v>45473.637974537036</v>
      </c>
      <c r="E930" s="217"/>
      <c r="F930" s="218" t="s">
        <v>2957</v>
      </c>
      <c r="G930" s="219" t="s">
        <v>2958</v>
      </c>
      <c r="H930" s="216" t="s">
        <v>346</v>
      </c>
      <c r="I930" s="216" t="s">
        <v>2959</v>
      </c>
    </row>
    <row r="931">
      <c r="A931" s="212" t="s">
        <v>2960</v>
      </c>
      <c r="B931" s="212" t="s">
        <v>2955</v>
      </c>
      <c r="C931" s="212" t="s">
        <v>2961</v>
      </c>
      <c r="D931" s="213">
        <v>45473.63725694444</v>
      </c>
      <c r="E931" s="213"/>
      <c r="F931" s="214" t="s">
        <v>722</v>
      </c>
      <c r="G931" s="215" t="s">
        <v>2962</v>
      </c>
      <c r="H931" s="212" t="s">
        <v>388</v>
      </c>
      <c r="I931" s="212" t="s">
        <v>2959</v>
      </c>
    </row>
    <row r="932">
      <c r="A932" s="212" t="s">
        <v>2963</v>
      </c>
      <c r="B932" s="212" t="s">
        <v>2964</v>
      </c>
      <c r="C932" s="212" t="s">
        <v>2965</v>
      </c>
      <c r="D932" s="213">
        <v>45544.43042824074</v>
      </c>
      <c r="E932" s="213"/>
      <c r="F932" s="214" t="s">
        <v>2966</v>
      </c>
      <c r="G932" s="215" t="s">
        <v>2967</v>
      </c>
      <c r="H932" s="212" t="s">
        <v>259</v>
      </c>
      <c r="I932" s="212" t="s">
        <v>2968</v>
      </c>
    </row>
    <row r="933">
      <c r="A933" s="212" t="s">
        <v>2969</v>
      </c>
      <c r="B933" s="212" t="s">
        <v>2964</v>
      </c>
      <c r="C933" s="212" t="s">
        <v>2970</v>
      </c>
      <c r="D933" s="213">
        <v>45455.48173611111</v>
      </c>
      <c r="E933" s="213">
        <v>45455.392546296294</v>
      </c>
      <c r="F933" s="214" t="s">
        <v>498</v>
      </c>
      <c r="G933" s="215" t="s">
        <v>1376</v>
      </c>
      <c r="H933" s="212" t="s">
        <v>259</v>
      </c>
      <c r="I933" s="212" t="s">
        <v>2971</v>
      </c>
    </row>
    <row r="934">
      <c r="A934" s="216" t="s">
        <v>2972</v>
      </c>
      <c r="B934" s="216" t="s">
        <v>2964</v>
      </c>
      <c r="C934" s="216" t="s">
        <v>2973</v>
      </c>
      <c r="D934" s="217">
        <v>45455.480787037035</v>
      </c>
      <c r="E934" s="217">
        <v>45455.54179398148</v>
      </c>
      <c r="F934" s="218" t="s">
        <v>291</v>
      </c>
      <c r="G934" s="219" t="s">
        <v>728</v>
      </c>
      <c r="H934" s="216" t="s">
        <v>259</v>
      </c>
      <c r="I934" s="216" t="s">
        <v>2971</v>
      </c>
    </row>
    <row r="935">
      <c r="A935" s="212" t="s">
        <v>2974</v>
      </c>
      <c r="B935" s="212" t="s">
        <v>2964</v>
      </c>
      <c r="C935" s="212" t="s">
        <v>2970</v>
      </c>
      <c r="D935" s="213">
        <v>45735.4387037037</v>
      </c>
      <c r="E935" s="213">
        <v>45735.614641203705</v>
      </c>
      <c r="F935" s="214" t="s">
        <v>2975</v>
      </c>
      <c r="G935" s="215" t="s">
        <v>2976</v>
      </c>
      <c r="H935" s="212" t="s">
        <v>259</v>
      </c>
      <c r="I935" s="212" t="s">
        <v>2971</v>
      </c>
    </row>
    <row r="936">
      <c r="A936" s="212" t="s">
        <v>2977</v>
      </c>
      <c r="B936" s="212" t="s">
        <v>2978</v>
      </c>
      <c r="C936" s="212" t="s">
        <v>2979</v>
      </c>
      <c r="D936" s="213">
        <v>45486.6787962963</v>
      </c>
      <c r="E936" s="213"/>
      <c r="F936" s="214" t="s">
        <v>498</v>
      </c>
      <c r="G936" s="215" t="s">
        <v>1983</v>
      </c>
      <c r="H936" s="212" t="s">
        <v>398</v>
      </c>
      <c r="I936" s="212" t="s">
        <v>2012</v>
      </c>
    </row>
    <row r="937">
      <c r="A937" s="212" t="s">
        <v>2977</v>
      </c>
      <c r="B937" s="212" t="s">
        <v>2978</v>
      </c>
      <c r="C937" s="212" t="s">
        <v>2979</v>
      </c>
      <c r="D937" s="213">
        <v>45486.6787962963</v>
      </c>
      <c r="E937" s="213"/>
      <c r="F937" s="214" t="s">
        <v>498</v>
      </c>
      <c r="G937" s="215" t="s">
        <v>1983</v>
      </c>
      <c r="H937" s="212" t="s">
        <v>398</v>
      </c>
      <c r="I937" s="212" t="s">
        <v>2012</v>
      </c>
    </row>
    <row r="938">
      <c r="A938" s="212" t="s">
        <v>2980</v>
      </c>
      <c r="B938" s="212" t="s">
        <v>2981</v>
      </c>
      <c r="C938" s="212" t="s">
        <v>2982</v>
      </c>
      <c r="D938" s="213">
        <v>45431.464907407404</v>
      </c>
      <c r="E938" s="213">
        <v>45432.239699074074</v>
      </c>
      <c r="F938" s="214" t="s">
        <v>431</v>
      </c>
      <c r="G938" s="215" t="s">
        <v>431</v>
      </c>
      <c r="H938" s="212" t="s">
        <v>2001</v>
      </c>
      <c r="I938" s="212" t="s">
        <v>2983</v>
      </c>
    </row>
    <row r="939">
      <c r="A939" s="212" t="s">
        <v>2984</v>
      </c>
      <c r="B939" s="212" t="s">
        <v>2981</v>
      </c>
      <c r="C939" s="212" t="s">
        <v>2000</v>
      </c>
      <c r="D939" s="213">
        <v>45431.4627662037</v>
      </c>
      <c r="E939" s="213">
        <v>45431.47930555556</v>
      </c>
      <c r="F939" s="214" t="s">
        <v>431</v>
      </c>
      <c r="G939" s="215" t="s">
        <v>431</v>
      </c>
      <c r="H939" s="212" t="s">
        <v>2001</v>
      </c>
      <c r="I939" s="212" t="s">
        <v>2723</v>
      </c>
    </row>
    <row r="940">
      <c r="A940" s="216" t="s">
        <v>2985</v>
      </c>
      <c r="B940" s="216" t="s">
        <v>2981</v>
      </c>
      <c r="C940" s="216" t="s">
        <v>2986</v>
      </c>
      <c r="D940" s="217">
        <v>45431.461435185185</v>
      </c>
      <c r="E940" s="217">
        <v>45432.62851851852</v>
      </c>
      <c r="F940" s="218" t="s">
        <v>439</v>
      </c>
      <c r="G940" s="219" t="s">
        <v>439</v>
      </c>
      <c r="H940" s="216" t="s">
        <v>2001</v>
      </c>
      <c r="I940" s="216" t="s">
        <v>2002</v>
      </c>
    </row>
    <row r="941">
      <c r="A941" s="212" t="s">
        <v>2987</v>
      </c>
      <c r="B941" s="212" t="s">
        <v>2981</v>
      </c>
      <c r="C941" s="212" t="s">
        <v>2988</v>
      </c>
      <c r="D941" s="213">
        <v>45431.46011574074</v>
      </c>
      <c r="E941" s="213">
        <v>45432.22928240741</v>
      </c>
      <c r="F941" s="214" t="s">
        <v>872</v>
      </c>
      <c r="G941" s="215" t="s">
        <v>872</v>
      </c>
      <c r="H941" s="212" t="s">
        <v>2001</v>
      </c>
      <c r="I941" s="212" t="s">
        <v>2723</v>
      </c>
    </row>
    <row r="942">
      <c r="A942" s="216" t="s">
        <v>2989</v>
      </c>
      <c r="B942" s="216" t="s">
        <v>2981</v>
      </c>
      <c r="C942" s="216" t="s">
        <v>2982</v>
      </c>
      <c r="D942" s="217">
        <v>45745.76778935185</v>
      </c>
      <c r="E942" s="217">
        <v>45745.795266203706</v>
      </c>
      <c r="F942" s="218" t="s">
        <v>2990</v>
      </c>
      <c r="G942" s="219" t="s">
        <v>2990</v>
      </c>
      <c r="H942" s="216" t="s">
        <v>2001</v>
      </c>
      <c r="I942" s="216" t="s">
        <v>2002</v>
      </c>
    </row>
    <row r="943">
      <c r="A943" s="212" t="s">
        <v>2991</v>
      </c>
      <c r="B943" s="212" t="s">
        <v>2992</v>
      </c>
      <c r="C943" s="212" t="s">
        <v>2993</v>
      </c>
      <c r="D943" s="213">
        <v>45452.730046296296</v>
      </c>
      <c r="E943" s="213">
        <v>45453.30229166667</v>
      </c>
      <c r="F943" s="214" t="s">
        <v>2994</v>
      </c>
      <c r="G943" s="215" t="s">
        <v>2995</v>
      </c>
      <c r="H943" s="212" t="s">
        <v>259</v>
      </c>
      <c r="I943" s="212" t="s">
        <v>1188</v>
      </c>
    </row>
    <row r="944">
      <c r="A944" s="216" t="s">
        <v>2996</v>
      </c>
      <c r="B944" s="216" t="s">
        <v>2992</v>
      </c>
      <c r="C944" s="216" t="s">
        <v>2997</v>
      </c>
      <c r="D944" s="217">
        <v>45447.73373842592</v>
      </c>
      <c r="E944" s="224"/>
      <c r="F944" s="218" t="s">
        <v>2998</v>
      </c>
      <c r="G944" s="219" t="s">
        <v>2999</v>
      </c>
      <c r="H944" s="216" t="s">
        <v>259</v>
      </c>
      <c r="I944" s="216" t="s">
        <v>1080</v>
      </c>
    </row>
    <row r="945">
      <c r="A945" s="212" t="s">
        <v>3000</v>
      </c>
      <c r="B945" s="212" t="s">
        <v>2992</v>
      </c>
      <c r="C945" s="212" t="s">
        <v>2993</v>
      </c>
      <c r="D945" s="213">
        <v>45445.87756944444</v>
      </c>
      <c r="E945" s="213">
        <v>45446.27445601852</v>
      </c>
      <c r="F945" s="214" t="s">
        <v>722</v>
      </c>
      <c r="G945" s="215" t="s">
        <v>3001</v>
      </c>
      <c r="H945" s="212" t="s">
        <v>259</v>
      </c>
      <c r="I945" s="212" t="s">
        <v>1188</v>
      </c>
    </row>
    <row r="946">
      <c r="A946" s="216" t="s">
        <v>3002</v>
      </c>
      <c r="B946" s="216" t="s">
        <v>3003</v>
      </c>
      <c r="C946" s="216" t="s">
        <v>3004</v>
      </c>
      <c r="D946" s="217">
        <v>45542.59516203704</v>
      </c>
      <c r="E946" s="217"/>
      <c r="F946" s="218" t="s">
        <v>580</v>
      </c>
      <c r="G946" s="219" t="s">
        <v>3005</v>
      </c>
      <c r="H946" s="216" t="s">
        <v>259</v>
      </c>
      <c r="I946" s="216" t="s">
        <v>1673</v>
      </c>
    </row>
    <row r="947">
      <c r="A947" s="216" t="s">
        <v>3006</v>
      </c>
      <c r="B947" s="216" t="s">
        <v>3003</v>
      </c>
      <c r="C947" s="216" t="s">
        <v>3004</v>
      </c>
      <c r="D947" s="217">
        <v>45538.478483796294</v>
      </c>
      <c r="E947" s="217"/>
      <c r="F947" s="218" t="s">
        <v>580</v>
      </c>
      <c r="G947" s="219" t="s">
        <v>3007</v>
      </c>
      <c r="H947" s="216" t="s">
        <v>259</v>
      </c>
      <c r="I947" s="216" t="s">
        <v>1673</v>
      </c>
    </row>
    <row r="948">
      <c r="A948" s="216" t="s">
        <v>3008</v>
      </c>
      <c r="B948" s="216" t="s">
        <v>3003</v>
      </c>
      <c r="C948" s="216" t="s">
        <v>3004</v>
      </c>
      <c r="D948" s="217">
        <v>45478.73017361111</v>
      </c>
      <c r="E948" s="217"/>
      <c r="F948" s="218" t="s">
        <v>470</v>
      </c>
      <c r="G948" s="219" t="s">
        <v>3009</v>
      </c>
      <c r="H948" s="216" t="s">
        <v>259</v>
      </c>
      <c r="I948" s="216" t="s">
        <v>1673</v>
      </c>
    </row>
    <row r="949">
      <c r="A949" s="216" t="s">
        <v>3010</v>
      </c>
      <c r="B949" s="216" t="s">
        <v>3011</v>
      </c>
      <c r="C949" s="216" t="s">
        <v>3012</v>
      </c>
      <c r="D949" s="217">
        <v>45776.58938657407</v>
      </c>
      <c r="E949" s="217">
        <v>45777.4965625</v>
      </c>
      <c r="F949" s="218" t="s">
        <v>538</v>
      </c>
      <c r="G949" s="219" t="s">
        <v>2439</v>
      </c>
      <c r="H949" s="216" t="s">
        <v>259</v>
      </c>
      <c r="I949" s="216" t="s">
        <v>3013</v>
      </c>
    </row>
    <row r="950">
      <c r="A950" s="216" t="s">
        <v>3014</v>
      </c>
      <c r="B950" s="216" t="s">
        <v>2701</v>
      </c>
      <c r="C950" s="216" t="s">
        <v>3015</v>
      </c>
      <c r="D950" s="217">
        <v>45529.73599537037</v>
      </c>
      <c r="E950" s="217"/>
      <c r="F950" s="218" t="s">
        <v>730</v>
      </c>
      <c r="G950" s="219" t="s">
        <v>3016</v>
      </c>
      <c r="H950" s="216" t="s">
        <v>632</v>
      </c>
      <c r="I950" s="216" t="s">
        <v>2342</v>
      </c>
    </row>
    <row r="951">
      <c r="A951" s="212" t="s">
        <v>3017</v>
      </c>
      <c r="B951" s="212" t="s">
        <v>2701</v>
      </c>
      <c r="C951" s="212" t="s">
        <v>2701</v>
      </c>
      <c r="D951" s="213">
        <v>45515.64571759259</v>
      </c>
      <c r="E951" s="213"/>
      <c r="F951" s="214" t="s">
        <v>765</v>
      </c>
      <c r="G951" s="215" t="s">
        <v>3018</v>
      </c>
      <c r="H951" s="212" t="s">
        <v>632</v>
      </c>
      <c r="I951" s="212" t="s">
        <v>2342</v>
      </c>
    </row>
    <row r="952">
      <c r="A952" s="216" t="s">
        <v>3019</v>
      </c>
      <c r="B952" s="216" t="s">
        <v>2701</v>
      </c>
      <c r="C952" s="216" t="s">
        <v>3015</v>
      </c>
      <c r="D952" s="217">
        <v>45515.64293981482</v>
      </c>
      <c r="E952" s="217"/>
      <c r="F952" s="218" t="s">
        <v>765</v>
      </c>
      <c r="G952" s="219" t="s">
        <v>3018</v>
      </c>
      <c r="H952" s="216" t="s">
        <v>632</v>
      </c>
      <c r="I952" s="216" t="s">
        <v>2342</v>
      </c>
    </row>
    <row r="953">
      <c r="A953" s="216" t="s">
        <v>3020</v>
      </c>
      <c r="B953" s="216" t="s">
        <v>2701</v>
      </c>
      <c r="C953" s="216" t="s">
        <v>3015</v>
      </c>
      <c r="D953" s="217">
        <v>45507.66339120371</v>
      </c>
      <c r="E953" s="217"/>
      <c r="F953" s="218" t="s">
        <v>281</v>
      </c>
      <c r="G953" s="219" t="s">
        <v>3021</v>
      </c>
      <c r="H953" s="216" t="s">
        <v>632</v>
      </c>
      <c r="I953" s="216" t="s">
        <v>2342</v>
      </c>
    </row>
    <row r="954">
      <c r="A954" s="212" t="s">
        <v>3022</v>
      </c>
      <c r="B954" s="212" t="s">
        <v>2701</v>
      </c>
      <c r="C954" s="212" t="s">
        <v>3015</v>
      </c>
      <c r="D954" s="213">
        <v>45485.56863425926</v>
      </c>
      <c r="E954" s="213"/>
      <c r="F954" s="214" t="s">
        <v>291</v>
      </c>
      <c r="G954" s="215" t="s">
        <v>3023</v>
      </c>
      <c r="H954" s="212" t="s">
        <v>632</v>
      </c>
      <c r="I954" s="212" t="s">
        <v>2342</v>
      </c>
    </row>
    <row r="955">
      <c r="A955" s="212" t="s">
        <v>3022</v>
      </c>
      <c r="B955" s="212" t="s">
        <v>2701</v>
      </c>
      <c r="C955" s="212" t="s">
        <v>3015</v>
      </c>
      <c r="D955" s="213">
        <v>45485.56863425926</v>
      </c>
      <c r="E955" s="213"/>
      <c r="F955" s="214" t="s">
        <v>291</v>
      </c>
      <c r="G955" s="215" t="s">
        <v>3023</v>
      </c>
      <c r="H955" s="212" t="s">
        <v>632</v>
      </c>
      <c r="I955" s="212" t="s">
        <v>2342</v>
      </c>
    </row>
    <row r="956">
      <c r="A956" s="216" t="s">
        <v>3024</v>
      </c>
      <c r="B956" s="216" t="s">
        <v>2701</v>
      </c>
      <c r="C956" s="216" t="s">
        <v>3015</v>
      </c>
      <c r="D956" s="217">
        <v>45746.77417824074</v>
      </c>
      <c r="E956" s="217">
        <v>45746.78822916667</v>
      </c>
      <c r="F956" s="218" t="s">
        <v>281</v>
      </c>
      <c r="G956" s="219" t="s">
        <v>3025</v>
      </c>
      <c r="H956" s="216" t="s">
        <v>632</v>
      </c>
      <c r="I956" s="216" t="s">
        <v>2342</v>
      </c>
    </row>
    <row r="957">
      <c r="A957" s="212" t="s">
        <v>3026</v>
      </c>
      <c r="B957" s="212" t="s">
        <v>2701</v>
      </c>
      <c r="C957" s="212" t="s">
        <v>3015</v>
      </c>
      <c r="D957" s="213">
        <v>45737.59853009259</v>
      </c>
      <c r="E957" s="213">
        <v>45737.607719907406</v>
      </c>
      <c r="F957" s="214" t="s">
        <v>435</v>
      </c>
      <c r="G957" s="215" t="s">
        <v>2777</v>
      </c>
      <c r="H957" s="212" t="s">
        <v>632</v>
      </c>
      <c r="I957" s="212" t="s">
        <v>2342</v>
      </c>
    </row>
    <row r="958">
      <c r="A958" s="212" t="s">
        <v>3027</v>
      </c>
      <c r="B958" s="212" t="s">
        <v>2701</v>
      </c>
      <c r="C958" s="212" t="s">
        <v>3015</v>
      </c>
      <c r="D958" s="213">
        <v>45774.764444444445</v>
      </c>
      <c r="E958" s="213">
        <v>45774.77445601852</v>
      </c>
      <c r="F958" s="214" t="s">
        <v>765</v>
      </c>
      <c r="G958" s="215" t="s">
        <v>3028</v>
      </c>
      <c r="H958" s="212" t="s">
        <v>632</v>
      </c>
      <c r="I958" s="212" t="s">
        <v>2342</v>
      </c>
    </row>
    <row r="959">
      <c r="A959" s="216" t="s">
        <v>3029</v>
      </c>
      <c r="B959" s="216" t="s">
        <v>2701</v>
      </c>
      <c r="C959" s="216" t="s">
        <v>3015</v>
      </c>
      <c r="D959" s="217">
        <v>45762.56366898148</v>
      </c>
      <c r="E959" s="217">
        <v>45762.57645833334</v>
      </c>
      <c r="F959" s="218" t="s">
        <v>317</v>
      </c>
      <c r="G959" s="219" t="s">
        <v>3030</v>
      </c>
      <c r="H959" s="216" t="s">
        <v>632</v>
      </c>
      <c r="I959" s="216" t="s">
        <v>2342</v>
      </c>
    </row>
    <row r="960">
      <c r="A960" s="212" t="s">
        <v>3031</v>
      </c>
      <c r="B960" s="212" t="s">
        <v>2701</v>
      </c>
      <c r="C960" s="212" t="s">
        <v>3015</v>
      </c>
      <c r="D960" s="213">
        <v>45762.56321759259</v>
      </c>
      <c r="E960" s="227"/>
      <c r="F960" s="214" t="s">
        <v>391</v>
      </c>
      <c r="G960" s="215" t="s">
        <v>877</v>
      </c>
      <c r="H960" s="212" t="s">
        <v>632</v>
      </c>
      <c r="I960" s="212" t="s">
        <v>2342</v>
      </c>
    </row>
    <row r="961">
      <c r="A961" s="212" t="s">
        <v>3032</v>
      </c>
      <c r="B961" s="212" t="s">
        <v>3033</v>
      </c>
      <c r="C961" s="212" t="s">
        <v>3034</v>
      </c>
      <c r="D961" s="213">
        <v>45551.84328703704</v>
      </c>
      <c r="E961" s="226"/>
      <c r="F961" s="214" t="s">
        <v>269</v>
      </c>
      <c r="G961" s="215" t="s">
        <v>3035</v>
      </c>
      <c r="H961" s="212" t="s">
        <v>535</v>
      </c>
      <c r="I961" s="212" t="s">
        <v>260</v>
      </c>
    </row>
    <row r="962">
      <c r="A962" s="212" t="s">
        <v>3036</v>
      </c>
      <c r="B962" s="212" t="s">
        <v>3033</v>
      </c>
      <c r="C962" s="212" t="s">
        <v>3034</v>
      </c>
      <c r="D962" s="213">
        <v>45711.59087962963</v>
      </c>
      <c r="E962" s="213">
        <v>45712.521006944444</v>
      </c>
      <c r="F962" s="214" t="s">
        <v>498</v>
      </c>
      <c r="G962" s="215" t="s">
        <v>1692</v>
      </c>
      <c r="H962" s="212" t="s">
        <v>535</v>
      </c>
      <c r="I962" s="212" t="s">
        <v>260</v>
      </c>
    </row>
    <row r="963">
      <c r="A963" s="216" t="s">
        <v>3037</v>
      </c>
      <c r="B963" s="216" t="s">
        <v>3033</v>
      </c>
      <c r="C963" s="216" t="s">
        <v>3034</v>
      </c>
      <c r="D963" s="217">
        <v>45745.823287037034</v>
      </c>
      <c r="E963" s="217">
        <v>45747.52446759259</v>
      </c>
      <c r="F963" s="218" t="s">
        <v>250</v>
      </c>
      <c r="G963" s="219" t="s">
        <v>3038</v>
      </c>
      <c r="H963" s="216" t="s">
        <v>416</v>
      </c>
      <c r="I963" s="216" t="s">
        <v>3039</v>
      </c>
    </row>
    <row r="964">
      <c r="A964" s="216" t="s">
        <v>3040</v>
      </c>
      <c r="B964" s="216" t="s">
        <v>3033</v>
      </c>
      <c r="C964" s="216" t="s">
        <v>3034</v>
      </c>
      <c r="D964" s="217">
        <v>45774.752905092595</v>
      </c>
      <c r="E964" s="217">
        <v>45775.53826388889</v>
      </c>
      <c r="F964" s="218" t="s">
        <v>470</v>
      </c>
      <c r="G964" s="219" t="s">
        <v>3041</v>
      </c>
      <c r="H964" s="216" t="s">
        <v>416</v>
      </c>
      <c r="I964" s="216" t="s">
        <v>3039</v>
      </c>
    </row>
    <row r="965">
      <c r="A965" s="212" t="s">
        <v>3042</v>
      </c>
      <c r="B965" s="212" t="s">
        <v>3043</v>
      </c>
      <c r="C965" s="212" t="s">
        <v>3044</v>
      </c>
      <c r="D965" s="213">
        <v>45482.71585648148</v>
      </c>
      <c r="E965" s="213"/>
      <c r="F965" s="214" t="s">
        <v>281</v>
      </c>
      <c r="G965" s="215" t="s">
        <v>476</v>
      </c>
      <c r="H965" s="212" t="s">
        <v>259</v>
      </c>
      <c r="I965" s="212" t="s">
        <v>3045</v>
      </c>
    </row>
    <row r="966">
      <c r="A966" s="212" t="s">
        <v>3046</v>
      </c>
      <c r="B966" s="212" t="s">
        <v>3047</v>
      </c>
      <c r="C966" s="212" t="s">
        <v>3048</v>
      </c>
      <c r="D966" s="213">
        <v>45529.66744212963</v>
      </c>
      <c r="E966" s="213"/>
      <c r="F966" s="214" t="s">
        <v>503</v>
      </c>
      <c r="G966" s="215" t="s">
        <v>3049</v>
      </c>
      <c r="H966" s="212" t="s">
        <v>356</v>
      </c>
      <c r="I966" s="212" t="s">
        <v>3050</v>
      </c>
    </row>
    <row r="967">
      <c r="A967" s="216" t="s">
        <v>3051</v>
      </c>
      <c r="B967" s="216" t="s">
        <v>3047</v>
      </c>
      <c r="C967" s="216" t="s">
        <v>3048</v>
      </c>
      <c r="D967" s="217">
        <v>45473.83420138889</v>
      </c>
      <c r="E967" s="217"/>
      <c r="F967" s="218" t="s">
        <v>503</v>
      </c>
      <c r="G967" s="219" t="s">
        <v>3052</v>
      </c>
      <c r="H967" s="216" t="s">
        <v>356</v>
      </c>
      <c r="I967" s="216" t="s">
        <v>3050</v>
      </c>
    </row>
    <row r="968">
      <c r="A968" s="216" t="s">
        <v>3053</v>
      </c>
      <c r="B968" s="216" t="s">
        <v>3047</v>
      </c>
      <c r="C968" s="216" t="s">
        <v>3048</v>
      </c>
      <c r="D968" s="217">
        <v>45711.626493055555</v>
      </c>
      <c r="E968" s="217">
        <v>45712.704930555556</v>
      </c>
      <c r="F968" s="218" t="s">
        <v>3054</v>
      </c>
      <c r="G968" s="219" t="s">
        <v>3055</v>
      </c>
      <c r="H968" s="216" t="s">
        <v>356</v>
      </c>
      <c r="I968" s="216" t="s">
        <v>3050</v>
      </c>
    </row>
    <row r="969">
      <c r="A969" s="216" t="s">
        <v>3056</v>
      </c>
      <c r="B969" s="216" t="s">
        <v>3047</v>
      </c>
      <c r="C969" s="216" t="s">
        <v>3048</v>
      </c>
      <c r="D969" s="217">
        <v>45760.42633101852</v>
      </c>
      <c r="E969" s="217">
        <v>45761.753587962965</v>
      </c>
      <c r="F969" s="218" t="s">
        <v>3057</v>
      </c>
      <c r="G969" s="219" t="s">
        <v>3058</v>
      </c>
      <c r="H969" s="216" t="s">
        <v>356</v>
      </c>
      <c r="I969" s="216" t="s">
        <v>3050</v>
      </c>
    </row>
    <row r="970">
      <c r="A970" s="216" t="s">
        <v>3059</v>
      </c>
      <c r="B970" s="216" t="s">
        <v>3060</v>
      </c>
      <c r="C970" s="216" t="s">
        <v>3061</v>
      </c>
      <c r="D970" s="217">
        <v>45759.82832175926</v>
      </c>
      <c r="E970" s="217">
        <v>45759.97570601852</v>
      </c>
      <c r="F970" s="218" t="s">
        <v>1367</v>
      </c>
      <c r="G970" s="219" t="s">
        <v>3062</v>
      </c>
      <c r="H970" s="216" t="s">
        <v>356</v>
      </c>
      <c r="I970" s="216" t="s">
        <v>946</v>
      </c>
    </row>
    <row r="971">
      <c r="A971" s="216" t="s">
        <v>3063</v>
      </c>
      <c r="B971" s="216" t="s">
        <v>3064</v>
      </c>
      <c r="C971" s="216" t="s">
        <v>3065</v>
      </c>
      <c r="D971" s="217">
        <v>45494.662673611114</v>
      </c>
      <c r="E971" s="217"/>
      <c r="F971" s="218" t="s">
        <v>435</v>
      </c>
      <c r="G971" s="219" t="s">
        <v>3066</v>
      </c>
      <c r="H971" s="216" t="s">
        <v>265</v>
      </c>
      <c r="I971" s="216" t="s">
        <v>260</v>
      </c>
    </row>
    <row r="972">
      <c r="A972" s="216" t="s">
        <v>3067</v>
      </c>
      <c r="B972" s="216" t="s">
        <v>3064</v>
      </c>
      <c r="C972" s="216" t="s">
        <v>3065</v>
      </c>
      <c r="D972" s="217">
        <v>45466.54106481482</v>
      </c>
      <c r="E972" s="217"/>
      <c r="F972" s="218" t="s">
        <v>281</v>
      </c>
      <c r="G972" s="219" t="s">
        <v>3068</v>
      </c>
      <c r="H972" s="216" t="s">
        <v>265</v>
      </c>
      <c r="I972" s="216" t="s">
        <v>260</v>
      </c>
    </row>
    <row r="973">
      <c r="A973" s="212" t="s">
        <v>3069</v>
      </c>
      <c r="B973" s="212" t="s">
        <v>3064</v>
      </c>
      <c r="C973" s="212" t="s">
        <v>3065</v>
      </c>
      <c r="D973" s="213">
        <v>45738.520520833335</v>
      </c>
      <c r="E973" s="227"/>
      <c r="F973" s="214" t="s">
        <v>651</v>
      </c>
      <c r="G973" s="215" t="s">
        <v>3070</v>
      </c>
      <c r="H973" s="212" t="s">
        <v>265</v>
      </c>
      <c r="I973" s="212" t="s">
        <v>260</v>
      </c>
    </row>
    <row r="974">
      <c r="A974" s="216" t="s">
        <v>3071</v>
      </c>
      <c r="B974" s="216" t="s">
        <v>3072</v>
      </c>
      <c r="C974" s="216" t="s">
        <v>3073</v>
      </c>
      <c r="D974" s="217">
        <v>45493.903402777774</v>
      </c>
      <c r="E974" s="217"/>
      <c r="F974" s="218" t="s">
        <v>1124</v>
      </c>
      <c r="G974" s="219" t="s">
        <v>3074</v>
      </c>
      <c r="H974" s="216" t="s">
        <v>398</v>
      </c>
      <c r="I974" s="216" t="s">
        <v>1673</v>
      </c>
    </row>
    <row r="975">
      <c r="A975" s="220" t="s">
        <v>3075</v>
      </c>
      <c r="B975" s="220" t="s">
        <v>3072</v>
      </c>
      <c r="C975" s="220" t="s">
        <v>3073</v>
      </c>
      <c r="D975" s="221">
        <v>45473.634039351855</v>
      </c>
      <c r="E975" s="221"/>
      <c r="F975" s="222" t="s">
        <v>1652</v>
      </c>
      <c r="G975" s="223" t="s">
        <v>3076</v>
      </c>
      <c r="H975" s="220" t="s">
        <v>398</v>
      </c>
      <c r="I975" s="220" t="s">
        <v>1673</v>
      </c>
    </row>
    <row r="976">
      <c r="A976" s="216" t="s">
        <v>3077</v>
      </c>
      <c r="B976" s="216" t="s">
        <v>3078</v>
      </c>
      <c r="C976" s="216" t="s">
        <v>3079</v>
      </c>
      <c r="D976" s="217">
        <v>45550.59688657407</v>
      </c>
      <c r="E976" s="217"/>
      <c r="F976" s="218" t="s">
        <v>3080</v>
      </c>
      <c r="G976" s="219" t="s">
        <v>3081</v>
      </c>
      <c r="H976" s="216" t="s">
        <v>259</v>
      </c>
      <c r="I976" s="216" t="s">
        <v>531</v>
      </c>
    </row>
    <row r="977">
      <c r="A977" s="212" t="s">
        <v>3082</v>
      </c>
      <c r="B977" s="212" t="s">
        <v>3078</v>
      </c>
      <c r="C977" s="212" t="s">
        <v>3083</v>
      </c>
      <c r="D977" s="213">
        <v>45550.595034722224</v>
      </c>
      <c r="E977" s="213"/>
      <c r="F977" s="214" t="s">
        <v>250</v>
      </c>
      <c r="G977" s="215" t="s">
        <v>3084</v>
      </c>
      <c r="H977" s="212" t="s">
        <v>259</v>
      </c>
      <c r="I977" s="212" t="s">
        <v>531</v>
      </c>
    </row>
    <row r="978">
      <c r="A978" s="216" t="s">
        <v>3085</v>
      </c>
      <c r="B978" s="216" t="s">
        <v>3078</v>
      </c>
      <c r="C978" s="216" t="s">
        <v>3083</v>
      </c>
      <c r="D978" s="217">
        <v>45536.52788194444</v>
      </c>
      <c r="E978" s="217"/>
      <c r="F978" s="218" t="s">
        <v>503</v>
      </c>
      <c r="G978" s="219" t="s">
        <v>3086</v>
      </c>
      <c r="H978" s="216" t="s">
        <v>259</v>
      </c>
      <c r="I978" s="216" t="s">
        <v>531</v>
      </c>
    </row>
    <row r="979">
      <c r="A979" s="216" t="s">
        <v>3087</v>
      </c>
      <c r="B979" s="216" t="s">
        <v>3078</v>
      </c>
      <c r="C979" s="216" t="s">
        <v>3083</v>
      </c>
      <c r="D979" s="217">
        <v>45516.83210648148</v>
      </c>
      <c r="E979" s="217"/>
      <c r="F979" s="218" t="s">
        <v>291</v>
      </c>
      <c r="G979" s="219" t="s">
        <v>3088</v>
      </c>
      <c r="H979" s="216" t="s">
        <v>259</v>
      </c>
      <c r="I979" s="216" t="s">
        <v>531</v>
      </c>
    </row>
    <row r="980">
      <c r="A980" s="216" t="s">
        <v>3089</v>
      </c>
      <c r="B980" s="216" t="s">
        <v>3078</v>
      </c>
      <c r="C980" s="216" t="s">
        <v>3083</v>
      </c>
      <c r="D980" s="217">
        <v>45501.511400462965</v>
      </c>
      <c r="E980" s="217"/>
      <c r="F980" s="218" t="s">
        <v>250</v>
      </c>
      <c r="G980" s="219" t="s">
        <v>3090</v>
      </c>
      <c r="H980" s="216" t="s">
        <v>259</v>
      </c>
      <c r="I980" s="216" t="s">
        <v>531</v>
      </c>
    </row>
    <row r="981">
      <c r="A981" s="216" t="s">
        <v>3091</v>
      </c>
      <c r="B981" s="216" t="s">
        <v>3078</v>
      </c>
      <c r="C981" s="216" t="s">
        <v>3083</v>
      </c>
      <c r="D981" s="217">
        <v>45494.727858796294</v>
      </c>
      <c r="E981" s="217"/>
      <c r="F981" s="218" t="s">
        <v>470</v>
      </c>
      <c r="G981" s="219" t="s">
        <v>1675</v>
      </c>
      <c r="H981" s="216" t="s">
        <v>259</v>
      </c>
      <c r="I981" s="216" t="s">
        <v>531</v>
      </c>
    </row>
    <row r="982">
      <c r="A982" s="216" t="s">
        <v>3092</v>
      </c>
      <c r="B982" s="216" t="s">
        <v>3078</v>
      </c>
      <c r="C982" s="216" t="s">
        <v>3093</v>
      </c>
      <c r="D982" s="217">
        <v>45474.85402777778</v>
      </c>
      <c r="E982" s="217"/>
      <c r="F982" s="218" t="s">
        <v>465</v>
      </c>
      <c r="G982" s="219" t="s">
        <v>3094</v>
      </c>
      <c r="H982" s="216" t="s">
        <v>259</v>
      </c>
      <c r="I982" s="216" t="s">
        <v>531</v>
      </c>
    </row>
    <row r="983">
      <c r="A983" s="216" t="s">
        <v>3095</v>
      </c>
      <c r="B983" s="216" t="s">
        <v>3078</v>
      </c>
      <c r="C983" s="216" t="s">
        <v>3083</v>
      </c>
      <c r="D983" s="217">
        <v>45473.62550925926</v>
      </c>
      <c r="E983" s="217"/>
      <c r="F983" s="218" t="s">
        <v>380</v>
      </c>
      <c r="G983" s="219" t="s">
        <v>3096</v>
      </c>
      <c r="H983" s="216" t="s">
        <v>259</v>
      </c>
      <c r="I983" s="216" t="s">
        <v>531</v>
      </c>
    </row>
    <row r="984">
      <c r="A984" s="216" t="s">
        <v>3097</v>
      </c>
      <c r="B984" s="216" t="s">
        <v>3078</v>
      </c>
      <c r="C984" s="216" t="s">
        <v>3093</v>
      </c>
      <c r="D984" s="217">
        <v>45466.74431712963</v>
      </c>
      <c r="E984" s="217"/>
      <c r="F984" s="218" t="s">
        <v>1124</v>
      </c>
      <c r="G984" s="219" t="s">
        <v>569</v>
      </c>
      <c r="H984" s="216" t="s">
        <v>259</v>
      </c>
      <c r="I984" s="216" t="s">
        <v>531</v>
      </c>
    </row>
    <row r="985">
      <c r="A985" s="212" t="s">
        <v>3098</v>
      </c>
      <c r="B985" s="212" t="s">
        <v>3078</v>
      </c>
      <c r="C985" s="212" t="s">
        <v>3083</v>
      </c>
      <c r="D985" s="213">
        <v>45466.74252314815</v>
      </c>
      <c r="E985" s="213"/>
      <c r="F985" s="214" t="s">
        <v>250</v>
      </c>
      <c r="G985" s="215" t="s">
        <v>2574</v>
      </c>
      <c r="H985" s="212" t="s">
        <v>259</v>
      </c>
      <c r="I985" s="212" t="s">
        <v>531</v>
      </c>
    </row>
    <row r="986">
      <c r="A986" s="212" t="s">
        <v>3099</v>
      </c>
      <c r="B986" s="212" t="s">
        <v>3078</v>
      </c>
      <c r="C986" s="212" t="s">
        <v>3083</v>
      </c>
      <c r="D986" s="213">
        <v>45452.861238425925</v>
      </c>
      <c r="E986" s="213">
        <v>45453.46202546296</v>
      </c>
      <c r="F986" s="214" t="s">
        <v>503</v>
      </c>
      <c r="G986" s="215" t="s">
        <v>3100</v>
      </c>
      <c r="H986" s="212" t="s">
        <v>259</v>
      </c>
      <c r="I986" s="212" t="s">
        <v>531</v>
      </c>
    </row>
    <row r="987">
      <c r="A987" s="216" t="s">
        <v>3101</v>
      </c>
      <c r="B987" s="216" t="s">
        <v>3102</v>
      </c>
      <c r="C987" s="216" t="s">
        <v>3103</v>
      </c>
      <c r="D987" s="217">
        <v>45535.61684027778</v>
      </c>
      <c r="E987" s="217"/>
      <c r="F987" s="218" t="s">
        <v>465</v>
      </c>
      <c r="G987" s="219" t="s">
        <v>3104</v>
      </c>
      <c r="H987" s="216" t="s">
        <v>1345</v>
      </c>
      <c r="I987" s="216" t="s">
        <v>1137</v>
      </c>
    </row>
    <row r="988">
      <c r="A988" s="220" t="s">
        <v>3105</v>
      </c>
      <c r="B988" s="220" t="s">
        <v>3106</v>
      </c>
      <c r="C988" s="220" t="s">
        <v>3107</v>
      </c>
      <c r="D988" s="221">
        <v>45505.88555555556</v>
      </c>
      <c r="E988" s="221"/>
      <c r="F988" s="222" t="s">
        <v>281</v>
      </c>
      <c r="G988" s="223" t="s">
        <v>3108</v>
      </c>
      <c r="H988" s="220" t="s">
        <v>561</v>
      </c>
      <c r="I988" s="220" t="s">
        <v>399</v>
      </c>
    </row>
    <row r="989">
      <c r="A989" s="216" t="s">
        <v>3109</v>
      </c>
      <c r="B989" s="216" t="s">
        <v>3106</v>
      </c>
      <c r="C989" s="216" t="s">
        <v>3107</v>
      </c>
      <c r="D989" s="217">
        <v>45490.77712962963</v>
      </c>
      <c r="E989" s="217"/>
      <c r="F989" s="218" t="s">
        <v>291</v>
      </c>
      <c r="G989" s="219" t="s">
        <v>3110</v>
      </c>
      <c r="H989" s="216" t="s">
        <v>561</v>
      </c>
      <c r="I989" s="216" t="s">
        <v>399</v>
      </c>
    </row>
    <row r="990">
      <c r="A990" s="216" t="s">
        <v>3109</v>
      </c>
      <c r="B990" s="216" t="s">
        <v>3106</v>
      </c>
      <c r="C990" s="216" t="s">
        <v>3107</v>
      </c>
      <c r="D990" s="217">
        <v>45490.77712962963</v>
      </c>
      <c r="E990" s="217"/>
      <c r="F990" s="218" t="s">
        <v>291</v>
      </c>
      <c r="G990" s="219" t="s">
        <v>3110</v>
      </c>
      <c r="H990" s="216" t="s">
        <v>561</v>
      </c>
      <c r="I990" s="216" t="s">
        <v>399</v>
      </c>
    </row>
    <row r="991">
      <c r="A991" s="212" t="s">
        <v>3111</v>
      </c>
      <c r="B991" s="212" t="s">
        <v>3106</v>
      </c>
      <c r="C991" s="212" t="s">
        <v>3107</v>
      </c>
      <c r="D991" s="213">
        <v>45703.66950231481</v>
      </c>
      <c r="E991" s="213">
        <v>45703.68068287037</v>
      </c>
      <c r="F991" s="214" t="s">
        <v>250</v>
      </c>
      <c r="G991" s="215" t="s">
        <v>3112</v>
      </c>
      <c r="H991" s="212" t="s">
        <v>561</v>
      </c>
      <c r="I991" s="212" t="s">
        <v>399</v>
      </c>
    </row>
    <row r="992">
      <c r="A992" s="216" t="s">
        <v>3113</v>
      </c>
      <c r="B992" s="216" t="s">
        <v>3114</v>
      </c>
      <c r="C992" s="216" t="s">
        <v>3073</v>
      </c>
      <c r="D992" s="217">
        <v>45746.48284722222</v>
      </c>
      <c r="E992" s="217">
        <v>45746.836851851855</v>
      </c>
      <c r="F992" s="218" t="s">
        <v>470</v>
      </c>
      <c r="G992" s="219" t="s">
        <v>1832</v>
      </c>
      <c r="H992" s="216" t="s">
        <v>398</v>
      </c>
      <c r="I992" s="216" t="s">
        <v>1673</v>
      </c>
    </row>
    <row r="993">
      <c r="A993" s="212" t="s">
        <v>3115</v>
      </c>
      <c r="B993" s="212" t="s">
        <v>3114</v>
      </c>
      <c r="C993" s="212" t="s">
        <v>3073</v>
      </c>
      <c r="D993" s="213">
        <v>45774.499247685184</v>
      </c>
      <c r="E993" s="213">
        <v>45774.65295138889</v>
      </c>
      <c r="F993" s="214" t="s">
        <v>1092</v>
      </c>
      <c r="G993" s="215" t="s">
        <v>3116</v>
      </c>
      <c r="H993" s="212" t="s">
        <v>398</v>
      </c>
      <c r="I993" s="212" t="s">
        <v>1673</v>
      </c>
    </row>
    <row r="994">
      <c r="A994" s="216" t="s">
        <v>3117</v>
      </c>
      <c r="B994" s="216" t="s">
        <v>3114</v>
      </c>
      <c r="C994" s="216" t="s">
        <v>3073</v>
      </c>
      <c r="D994" s="217">
        <v>45760.58002314815</v>
      </c>
      <c r="E994" s="217">
        <v>45761.71189814815</v>
      </c>
      <c r="F994" s="218" t="s">
        <v>988</v>
      </c>
      <c r="G994" s="219" t="s">
        <v>3118</v>
      </c>
      <c r="H994" s="216" t="s">
        <v>398</v>
      </c>
      <c r="I994" s="216" t="s">
        <v>1673</v>
      </c>
    </row>
    <row r="995">
      <c r="A995" s="212" t="s">
        <v>3119</v>
      </c>
      <c r="B995" s="212" t="s">
        <v>3114</v>
      </c>
      <c r="C995" s="212" t="s">
        <v>3073</v>
      </c>
      <c r="D995" s="213">
        <v>45759.830300925925</v>
      </c>
      <c r="E995" s="227"/>
      <c r="F995" s="214" t="s">
        <v>1749</v>
      </c>
      <c r="G995" s="215" t="s">
        <v>3120</v>
      </c>
      <c r="H995" s="212" t="s">
        <v>398</v>
      </c>
      <c r="I995" s="212" t="s">
        <v>1673</v>
      </c>
    </row>
    <row r="996">
      <c r="A996" s="212" t="s">
        <v>3121</v>
      </c>
      <c r="B996" s="212" t="s">
        <v>3122</v>
      </c>
      <c r="C996" s="212" t="s">
        <v>3123</v>
      </c>
      <c r="D996" s="213">
        <v>45550.51520833333</v>
      </c>
      <c r="E996" s="213"/>
      <c r="F996" s="214" t="s">
        <v>3124</v>
      </c>
      <c r="G996" s="215" t="s">
        <v>3125</v>
      </c>
      <c r="H996" s="212" t="s">
        <v>259</v>
      </c>
      <c r="I996" s="212" t="s">
        <v>3126</v>
      </c>
    </row>
    <row r="997">
      <c r="A997" s="216" t="s">
        <v>3127</v>
      </c>
      <c r="B997" s="216" t="s">
        <v>3122</v>
      </c>
      <c r="C997" s="216" t="s">
        <v>3128</v>
      </c>
      <c r="D997" s="217">
        <v>45760.69142361111</v>
      </c>
      <c r="E997" s="217">
        <v>45760.885462962964</v>
      </c>
      <c r="F997" s="218" t="s">
        <v>503</v>
      </c>
      <c r="G997" s="219" t="s">
        <v>1841</v>
      </c>
      <c r="H997" s="216" t="s">
        <v>259</v>
      </c>
      <c r="I997" s="216" t="s">
        <v>1137</v>
      </c>
    </row>
    <row r="998">
      <c r="A998" s="212" t="s">
        <v>3129</v>
      </c>
      <c r="B998" s="212" t="s">
        <v>3130</v>
      </c>
      <c r="C998" s="212" t="s">
        <v>3131</v>
      </c>
      <c r="D998" s="213">
        <v>45551.84700231482</v>
      </c>
      <c r="E998" s="213"/>
      <c r="F998" s="214" t="s">
        <v>599</v>
      </c>
      <c r="G998" s="215" t="s">
        <v>3132</v>
      </c>
      <c r="H998" s="212" t="s">
        <v>561</v>
      </c>
      <c r="I998" s="212" t="s">
        <v>1424</v>
      </c>
    </row>
    <row r="999">
      <c r="A999" s="216" t="s">
        <v>3133</v>
      </c>
      <c r="B999" s="216" t="s">
        <v>3130</v>
      </c>
      <c r="C999" s="216" t="s">
        <v>3134</v>
      </c>
      <c r="D999" s="217">
        <v>45538.65725694445</v>
      </c>
      <c r="E999" s="217"/>
      <c r="F999" s="218" t="s">
        <v>2473</v>
      </c>
      <c r="G999" s="219" t="s">
        <v>3135</v>
      </c>
      <c r="H999" s="216" t="s">
        <v>337</v>
      </c>
      <c r="I999" s="216" t="s">
        <v>399</v>
      </c>
    </row>
    <row r="1000">
      <c r="A1000" s="212" t="s">
        <v>3136</v>
      </c>
      <c r="B1000" s="212" t="s">
        <v>3130</v>
      </c>
      <c r="C1000" s="212" t="s">
        <v>3131</v>
      </c>
      <c r="D1000" s="213">
        <v>45506.62091435185</v>
      </c>
      <c r="E1000" s="213"/>
      <c r="F1000" s="214" t="s">
        <v>339</v>
      </c>
      <c r="G1000" s="215" t="s">
        <v>3137</v>
      </c>
      <c r="H1000" s="212" t="s">
        <v>252</v>
      </c>
      <c r="I1000" s="212" t="s">
        <v>1424</v>
      </c>
    </row>
    <row r="1001">
      <c r="A1001" s="216" t="s">
        <v>3138</v>
      </c>
      <c r="B1001" s="216" t="s">
        <v>3130</v>
      </c>
      <c r="C1001" s="216" t="s">
        <v>3131</v>
      </c>
      <c r="D1001" s="217">
        <v>45497.78376157407</v>
      </c>
      <c r="E1001" s="217"/>
      <c r="F1001" s="218" t="s">
        <v>1142</v>
      </c>
      <c r="G1001" s="219" t="s">
        <v>3139</v>
      </c>
      <c r="H1001" s="216" t="s">
        <v>561</v>
      </c>
      <c r="I1001" s="216" t="s">
        <v>1424</v>
      </c>
    </row>
    <row r="1002">
      <c r="A1002" s="216" t="s">
        <v>3140</v>
      </c>
      <c r="B1002" s="216" t="s">
        <v>3130</v>
      </c>
      <c r="C1002" s="216" t="s">
        <v>3141</v>
      </c>
      <c r="D1002" s="217">
        <v>45482.50824074074</v>
      </c>
      <c r="E1002" s="217"/>
      <c r="F1002" s="218" t="s">
        <v>317</v>
      </c>
      <c r="G1002" s="219" t="s">
        <v>3142</v>
      </c>
      <c r="H1002" s="216" t="s">
        <v>561</v>
      </c>
      <c r="I1002" s="216" t="s">
        <v>399</v>
      </c>
    </row>
    <row r="1003">
      <c r="A1003" s="212" t="s">
        <v>3143</v>
      </c>
      <c r="B1003" s="212" t="s">
        <v>3130</v>
      </c>
      <c r="C1003" s="212" t="s">
        <v>3131</v>
      </c>
      <c r="D1003" s="213">
        <v>45481.80782407407</v>
      </c>
      <c r="E1003" s="213"/>
      <c r="F1003" s="214" t="s">
        <v>3144</v>
      </c>
      <c r="G1003" s="215" t="s">
        <v>3145</v>
      </c>
      <c r="H1003" s="212" t="s">
        <v>252</v>
      </c>
      <c r="I1003" s="212" t="s">
        <v>1424</v>
      </c>
    </row>
    <row r="1004">
      <c r="A1004" s="212" t="s">
        <v>3146</v>
      </c>
      <c r="B1004" s="212" t="s">
        <v>3130</v>
      </c>
      <c r="C1004" s="212" t="s">
        <v>3131</v>
      </c>
      <c r="D1004" s="213">
        <v>45460.80568287037</v>
      </c>
      <c r="E1004" s="213">
        <v>45460.608310185184</v>
      </c>
      <c r="F1004" s="214" t="s">
        <v>1092</v>
      </c>
      <c r="G1004" s="215" t="s">
        <v>3147</v>
      </c>
      <c r="H1004" s="212" t="s">
        <v>561</v>
      </c>
      <c r="I1004" s="212" t="s">
        <v>1424</v>
      </c>
    </row>
    <row r="1005">
      <c r="A1005" s="216" t="s">
        <v>3148</v>
      </c>
      <c r="B1005" s="216" t="s">
        <v>3130</v>
      </c>
      <c r="C1005" s="216" t="s">
        <v>3134</v>
      </c>
      <c r="D1005" s="217">
        <v>45453.60592592593</v>
      </c>
      <c r="E1005" s="217">
        <v>45453.409953703704</v>
      </c>
      <c r="F1005" s="218" t="s">
        <v>1124</v>
      </c>
      <c r="G1005" s="219" t="s">
        <v>3149</v>
      </c>
      <c r="H1005" s="216" t="s">
        <v>337</v>
      </c>
      <c r="I1005" s="216" t="s">
        <v>399</v>
      </c>
    </row>
    <row r="1006">
      <c r="A1006" s="216" t="s">
        <v>3150</v>
      </c>
      <c r="B1006" s="216" t="s">
        <v>3130</v>
      </c>
      <c r="C1006" s="216" t="s">
        <v>3131</v>
      </c>
      <c r="D1006" s="217">
        <v>45450.83924768519</v>
      </c>
      <c r="E1006" s="217">
        <v>45450.64265046296</v>
      </c>
      <c r="F1006" s="218" t="s">
        <v>1124</v>
      </c>
      <c r="G1006" s="219" t="s">
        <v>569</v>
      </c>
      <c r="H1006" s="216" t="s">
        <v>561</v>
      </c>
      <c r="I1006" s="216" t="s">
        <v>1424</v>
      </c>
    </row>
    <row r="1007">
      <c r="A1007" s="212" t="s">
        <v>3151</v>
      </c>
      <c r="B1007" s="212" t="s">
        <v>3152</v>
      </c>
      <c r="C1007" s="212" t="s">
        <v>3153</v>
      </c>
      <c r="D1007" s="213">
        <v>45550.56658564815</v>
      </c>
      <c r="E1007" s="213"/>
      <c r="F1007" s="214" t="s">
        <v>967</v>
      </c>
      <c r="G1007" s="215" t="s">
        <v>3154</v>
      </c>
      <c r="H1007" s="212" t="s">
        <v>319</v>
      </c>
      <c r="I1007" s="212" t="s">
        <v>3155</v>
      </c>
    </row>
    <row r="1008">
      <c r="A1008" s="216" t="s">
        <v>3156</v>
      </c>
      <c r="B1008" s="216" t="s">
        <v>3157</v>
      </c>
      <c r="C1008" s="216" t="s">
        <v>3158</v>
      </c>
      <c r="D1008" s="217">
        <v>45529.80641203704</v>
      </c>
      <c r="E1008" s="217"/>
      <c r="F1008" s="218" t="s">
        <v>645</v>
      </c>
      <c r="G1008" s="219" t="s">
        <v>3159</v>
      </c>
      <c r="H1008" s="216" t="s">
        <v>259</v>
      </c>
      <c r="I1008" s="216" t="s">
        <v>969</v>
      </c>
    </row>
    <row r="1009">
      <c r="A1009" s="212" t="s">
        <v>3160</v>
      </c>
      <c r="B1009" s="212" t="s">
        <v>3157</v>
      </c>
      <c r="C1009" s="212" t="s">
        <v>3158</v>
      </c>
      <c r="D1009" s="213">
        <v>45494.831655092596</v>
      </c>
      <c r="E1009" s="213"/>
      <c r="F1009" s="214" t="s">
        <v>470</v>
      </c>
      <c r="G1009" s="215" t="s">
        <v>1675</v>
      </c>
      <c r="H1009" s="212" t="s">
        <v>259</v>
      </c>
      <c r="I1009" s="212" t="s">
        <v>969</v>
      </c>
    </row>
    <row r="1010">
      <c r="A1010" s="212" t="s">
        <v>3161</v>
      </c>
      <c r="B1010" s="212" t="s">
        <v>3157</v>
      </c>
      <c r="C1010" s="212" t="s">
        <v>3158</v>
      </c>
      <c r="D1010" s="213">
        <v>45487.85953703704</v>
      </c>
      <c r="E1010" s="213"/>
      <c r="F1010" s="214" t="s">
        <v>2998</v>
      </c>
      <c r="G1010" s="215" t="s">
        <v>3162</v>
      </c>
      <c r="H1010" s="212" t="s">
        <v>259</v>
      </c>
      <c r="I1010" s="212" t="s">
        <v>969</v>
      </c>
    </row>
    <row r="1011">
      <c r="A1011" s="212" t="s">
        <v>3161</v>
      </c>
      <c r="B1011" s="212" t="s">
        <v>3157</v>
      </c>
      <c r="C1011" s="212" t="s">
        <v>3158</v>
      </c>
      <c r="D1011" s="213">
        <v>45487.85953703704</v>
      </c>
      <c r="E1011" s="213"/>
      <c r="F1011" s="214" t="s">
        <v>2998</v>
      </c>
      <c r="G1011" s="215" t="s">
        <v>3162</v>
      </c>
      <c r="H1011" s="212" t="s">
        <v>259</v>
      </c>
      <c r="I1011" s="212" t="s">
        <v>969</v>
      </c>
    </row>
    <row r="1012">
      <c r="A1012" s="212" t="s">
        <v>3163</v>
      </c>
      <c r="B1012" s="212" t="s">
        <v>3157</v>
      </c>
      <c r="C1012" s="212" t="s">
        <v>3158</v>
      </c>
      <c r="D1012" s="213">
        <v>45482.85670138889</v>
      </c>
      <c r="E1012" s="213"/>
      <c r="F1012" s="214" t="s">
        <v>431</v>
      </c>
      <c r="G1012" s="215" t="s">
        <v>3164</v>
      </c>
      <c r="H1012" s="212" t="s">
        <v>265</v>
      </c>
      <c r="I1012" s="212" t="s">
        <v>969</v>
      </c>
    </row>
    <row r="1013">
      <c r="A1013" s="216" t="s">
        <v>3165</v>
      </c>
      <c r="B1013" s="216" t="s">
        <v>3166</v>
      </c>
      <c r="C1013" s="216" t="s">
        <v>3167</v>
      </c>
      <c r="D1013" s="217">
        <v>45523.65431712963</v>
      </c>
      <c r="E1013" s="217"/>
      <c r="F1013" s="218" t="s">
        <v>250</v>
      </c>
      <c r="G1013" s="219" t="s">
        <v>3168</v>
      </c>
      <c r="H1013" s="216" t="s">
        <v>416</v>
      </c>
      <c r="I1013" s="216" t="s">
        <v>3169</v>
      </c>
    </row>
    <row r="1014">
      <c r="A1014" s="212" t="s">
        <v>3170</v>
      </c>
      <c r="B1014" s="212" t="s">
        <v>3166</v>
      </c>
      <c r="C1014" s="212" t="s">
        <v>3171</v>
      </c>
      <c r="D1014" s="213">
        <v>45523.65375</v>
      </c>
      <c r="E1014" s="213"/>
      <c r="F1014" s="214" t="s">
        <v>291</v>
      </c>
      <c r="G1014" s="215" t="s">
        <v>3172</v>
      </c>
      <c r="H1014" s="212" t="s">
        <v>416</v>
      </c>
      <c r="I1014" s="212" t="s">
        <v>3169</v>
      </c>
    </row>
    <row r="1015">
      <c r="A1015" s="216" t="s">
        <v>3165</v>
      </c>
      <c r="B1015" s="216" t="s">
        <v>3166</v>
      </c>
      <c r="C1015" s="216" t="s">
        <v>3167</v>
      </c>
      <c r="D1015" s="217">
        <v>45523.65431712963</v>
      </c>
      <c r="E1015" s="217"/>
      <c r="F1015" s="218" t="s">
        <v>250</v>
      </c>
      <c r="G1015" s="219" t="s">
        <v>3168</v>
      </c>
      <c r="H1015" s="216" t="s">
        <v>416</v>
      </c>
      <c r="I1015" s="216" t="s">
        <v>3169</v>
      </c>
    </row>
    <row r="1016">
      <c r="A1016" s="212" t="s">
        <v>3170</v>
      </c>
      <c r="B1016" s="212" t="s">
        <v>3166</v>
      </c>
      <c r="C1016" s="212" t="s">
        <v>3171</v>
      </c>
      <c r="D1016" s="213">
        <v>45523.65375</v>
      </c>
      <c r="E1016" s="213"/>
      <c r="F1016" s="214" t="s">
        <v>291</v>
      </c>
      <c r="G1016" s="215" t="s">
        <v>3172</v>
      </c>
      <c r="H1016" s="212" t="s">
        <v>416</v>
      </c>
      <c r="I1016" s="212" t="s">
        <v>3169</v>
      </c>
    </row>
    <row r="1017">
      <c r="A1017" s="212" t="s">
        <v>3173</v>
      </c>
      <c r="B1017" s="212" t="s">
        <v>3174</v>
      </c>
      <c r="C1017" s="212" t="s">
        <v>3175</v>
      </c>
      <c r="D1017" s="213">
        <v>45537.472766203704</v>
      </c>
      <c r="E1017" s="213"/>
      <c r="F1017" s="214" t="s">
        <v>503</v>
      </c>
      <c r="G1017" s="215" t="s">
        <v>3176</v>
      </c>
      <c r="H1017" s="212" t="s">
        <v>535</v>
      </c>
      <c r="I1017" s="212" t="s">
        <v>1493</v>
      </c>
    </row>
    <row r="1018">
      <c r="A1018" s="212" t="s">
        <v>3177</v>
      </c>
      <c r="B1018" s="212" t="s">
        <v>3178</v>
      </c>
      <c r="C1018" s="212" t="s">
        <v>3179</v>
      </c>
      <c r="D1018" s="213">
        <v>45748.83865740741</v>
      </c>
      <c r="E1018" s="213">
        <v>45748.847291666665</v>
      </c>
      <c r="F1018" s="214" t="s">
        <v>281</v>
      </c>
      <c r="G1018" s="215" t="s">
        <v>1285</v>
      </c>
      <c r="H1018" s="212" t="s">
        <v>265</v>
      </c>
      <c r="I1018" s="212" t="s">
        <v>2262</v>
      </c>
    </row>
    <row r="1019">
      <c r="A1019" s="212" t="s">
        <v>3180</v>
      </c>
      <c r="B1019" s="212" t="s">
        <v>3181</v>
      </c>
      <c r="C1019" s="212" t="s">
        <v>3182</v>
      </c>
      <c r="D1019" s="213">
        <v>45506.809594907405</v>
      </c>
      <c r="E1019" s="213"/>
      <c r="F1019" s="214" t="s">
        <v>1105</v>
      </c>
      <c r="G1019" s="215" t="s">
        <v>2344</v>
      </c>
      <c r="H1019" s="212" t="s">
        <v>259</v>
      </c>
      <c r="I1019" s="212" t="s">
        <v>1188</v>
      </c>
    </row>
    <row r="1020">
      <c r="A1020" s="216" t="s">
        <v>3183</v>
      </c>
      <c r="B1020" s="216" t="s">
        <v>3181</v>
      </c>
      <c r="C1020" s="216" t="s">
        <v>3182</v>
      </c>
      <c r="D1020" s="217">
        <v>45481.74523148148</v>
      </c>
      <c r="E1020" s="217"/>
      <c r="F1020" s="218" t="s">
        <v>722</v>
      </c>
      <c r="G1020" s="219" t="s">
        <v>3184</v>
      </c>
      <c r="H1020" s="216" t="s">
        <v>259</v>
      </c>
      <c r="I1020" s="216" t="s">
        <v>1188</v>
      </c>
    </row>
    <row r="1021">
      <c r="A1021" s="212" t="s">
        <v>3185</v>
      </c>
      <c r="B1021" s="212" t="s">
        <v>3186</v>
      </c>
      <c r="C1021" s="212" t="s">
        <v>3187</v>
      </c>
      <c r="D1021" s="213">
        <v>45541.579421296294</v>
      </c>
      <c r="E1021" s="213"/>
      <c r="F1021" s="214" t="s">
        <v>435</v>
      </c>
      <c r="G1021" s="215" t="s">
        <v>3188</v>
      </c>
      <c r="H1021" s="212" t="s">
        <v>265</v>
      </c>
      <c r="I1021" s="212" t="s">
        <v>626</v>
      </c>
    </row>
    <row r="1022">
      <c r="A1022" s="216" t="s">
        <v>3189</v>
      </c>
      <c r="B1022" s="216" t="s">
        <v>3186</v>
      </c>
      <c r="C1022" s="216" t="s">
        <v>3187</v>
      </c>
      <c r="D1022" s="217">
        <v>45527.62100694444</v>
      </c>
      <c r="E1022" s="217"/>
      <c r="F1022" s="218" t="s">
        <v>730</v>
      </c>
      <c r="G1022" s="219" t="s">
        <v>3190</v>
      </c>
      <c r="H1022" s="216" t="s">
        <v>265</v>
      </c>
      <c r="I1022" s="216" t="s">
        <v>626</v>
      </c>
    </row>
    <row r="1023">
      <c r="A1023" s="216" t="s">
        <v>3191</v>
      </c>
      <c r="B1023" s="216" t="s">
        <v>3186</v>
      </c>
      <c r="C1023" s="216" t="s">
        <v>3187</v>
      </c>
      <c r="D1023" s="217">
        <v>45499.820555555554</v>
      </c>
      <c r="E1023" s="217"/>
      <c r="F1023" s="218" t="s">
        <v>317</v>
      </c>
      <c r="G1023" s="219" t="s">
        <v>3192</v>
      </c>
      <c r="H1023" s="216" t="s">
        <v>265</v>
      </c>
      <c r="I1023" s="216" t="s">
        <v>626</v>
      </c>
    </row>
    <row r="1024">
      <c r="A1024" s="216" t="s">
        <v>3193</v>
      </c>
      <c r="B1024" s="216" t="s">
        <v>3186</v>
      </c>
      <c r="C1024" s="216" t="s">
        <v>3187</v>
      </c>
      <c r="D1024" s="217">
        <v>45494.47416666667</v>
      </c>
      <c r="E1024" s="217"/>
      <c r="F1024" s="218" t="s">
        <v>281</v>
      </c>
      <c r="G1024" s="219" t="s">
        <v>1603</v>
      </c>
      <c r="H1024" s="216" t="s">
        <v>265</v>
      </c>
      <c r="I1024" s="216" t="s">
        <v>626</v>
      </c>
    </row>
    <row r="1025">
      <c r="A1025" s="212" t="s">
        <v>3194</v>
      </c>
      <c r="B1025" s="212" t="s">
        <v>3186</v>
      </c>
      <c r="C1025" s="212" t="s">
        <v>3187</v>
      </c>
      <c r="D1025" s="213">
        <v>45478.669270833336</v>
      </c>
      <c r="E1025" s="213"/>
      <c r="F1025" s="214" t="s">
        <v>291</v>
      </c>
      <c r="G1025" s="215" t="s">
        <v>1040</v>
      </c>
      <c r="H1025" s="212" t="s">
        <v>265</v>
      </c>
      <c r="I1025" s="212" t="s">
        <v>626</v>
      </c>
    </row>
    <row r="1026">
      <c r="A1026" s="216" t="s">
        <v>3195</v>
      </c>
      <c r="B1026" s="216" t="s">
        <v>3186</v>
      </c>
      <c r="C1026" s="216" t="s">
        <v>3187</v>
      </c>
      <c r="D1026" s="217">
        <v>45452.53230324074</v>
      </c>
      <c r="E1026" s="217">
        <v>45452.36508101852</v>
      </c>
      <c r="F1026" s="218" t="s">
        <v>250</v>
      </c>
      <c r="G1026" s="219" t="s">
        <v>3196</v>
      </c>
      <c r="H1026" s="216" t="s">
        <v>265</v>
      </c>
      <c r="I1026" s="216" t="s">
        <v>626</v>
      </c>
    </row>
    <row r="1027">
      <c r="A1027" s="216" t="s">
        <v>3197</v>
      </c>
      <c r="B1027" s="216" t="s">
        <v>3186</v>
      </c>
      <c r="C1027" s="216" t="s">
        <v>3187</v>
      </c>
      <c r="D1027" s="217">
        <v>45438.75864583333</v>
      </c>
      <c r="E1027" s="217">
        <v>45439.26050925926</v>
      </c>
      <c r="F1027" s="218" t="s">
        <v>250</v>
      </c>
      <c r="G1027" s="219" t="s">
        <v>3198</v>
      </c>
      <c r="H1027" s="216" t="s">
        <v>265</v>
      </c>
      <c r="I1027" s="216" t="s">
        <v>626</v>
      </c>
    </row>
    <row r="1028">
      <c r="A1028" s="216" t="s">
        <v>3199</v>
      </c>
      <c r="B1028" s="216" t="s">
        <v>3186</v>
      </c>
      <c r="C1028" s="216" t="s">
        <v>3187</v>
      </c>
      <c r="D1028" s="217">
        <v>45702.815983796296</v>
      </c>
      <c r="E1028" s="217">
        <v>45704.47945601852</v>
      </c>
      <c r="F1028" s="218" t="s">
        <v>317</v>
      </c>
      <c r="G1028" s="219" t="s">
        <v>680</v>
      </c>
      <c r="H1028" s="216" t="s">
        <v>265</v>
      </c>
      <c r="I1028" s="216" t="s">
        <v>626</v>
      </c>
    </row>
    <row r="1029">
      <c r="A1029" s="212" t="s">
        <v>3200</v>
      </c>
      <c r="B1029" s="212" t="s">
        <v>3186</v>
      </c>
      <c r="C1029" s="212" t="s">
        <v>3187</v>
      </c>
      <c r="D1029" s="213">
        <v>45737.6312962963</v>
      </c>
      <c r="E1029" s="213">
        <v>45739.520949074074</v>
      </c>
      <c r="F1029" s="214" t="s">
        <v>317</v>
      </c>
      <c r="G1029" s="215" t="s">
        <v>1478</v>
      </c>
      <c r="H1029" s="212" t="s">
        <v>265</v>
      </c>
      <c r="I1029" s="212" t="s">
        <v>626</v>
      </c>
    </row>
    <row r="1030">
      <c r="A1030" s="212" t="s">
        <v>3201</v>
      </c>
      <c r="B1030" s="212" t="s">
        <v>3186</v>
      </c>
      <c r="C1030" s="212" t="s">
        <v>3202</v>
      </c>
      <c r="D1030" s="213">
        <v>45749.473495370374</v>
      </c>
      <c r="E1030" s="213">
        <v>45749.64938657408</v>
      </c>
      <c r="F1030" s="214" t="s">
        <v>1259</v>
      </c>
      <c r="G1030" s="215" t="s">
        <v>3203</v>
      </c>
      <c r="H1030" s="212" t="s">
        <v>259</v>
      </c>
      <c r="I1030" s="212" t="s">
        <v>626</v>
      </c>
    </row>
    <row r="1031">
      <c r="A1031" s="212" t="s">
        <v>3204</v>
      </c>
      <c r="B1031" s="212" t="s">
        <v>3205</v>
      </c>
      <c r="C1031" s="212" t="s">
        <v>3206</v>
      </c>
      <c r="D1031" s="213">
        <v>45474.44488425926</v>
      </c>
      <c r="E1031" s="213"/>
      <c r="F1031" s="214" t="s">
        <v>257</v>
      </c>
      <c r="G1031" s="215" t="s">
        <v>3207</v>
      </c>
      <c r="H1031" s="212" t="s">
        <v>632</v>
      </c>
      <c r="I1031" s="212" t="s">
        <v>260</v>
      </c>
    </row>
    <row r="1032">
      <c r="A1032" s="216" t="s">
        <v>3208</v>
      </c>
      <c r="B1032" s="216" t="s">
        <v>3209</v>
      </c>
      <c r="C1032" s="216" t="s">
        <v>1410</v>
      </c>
      <c r="D1032" s="217">
        <v>45466.69950231481</v>
      </c>
      <c r="E1032" s="217"/>
      <c r="F1032" s="218" t="s">
        <v>317</v>
      </c>
      <c r="G1032" s="219" t="s">
        <v>3210</v>
      </c>
      <c r="H1032" s="216" t="s">
        <v>811</v>
      </c>
      <c r="I1032" s="216" t="s">
        <v>357</v>
      </c>
    </row>
    <row r="1033">
      <c r="A1033" s="212" t="s">
        <v>3211</v>
      </c>
      <c r="B1033" s="212" t="s">
        <v>3212</v>
      </c>
      <c r="C1033" s="212" t="s">
        <v>3213</v>
      </c>
      <c r="D1033" s="213">
        <v>45703.495729166665</v>
      </c>
      <c r="E1033" s="213">
        <v>45703.73616898148</v>
      </c>
      <c r="F1033" s="214" t="s">
        <v>3214</v>
      </c>
      <c r="G1033" s="215" t="s">
        <v>3215</v>
      </c>
      <c r="H1033" s="212" t="s">
        <v>259</v>
      </c>
      <c r="I1033" s="212" t="s">
        <v>3216</v>
      </c>
    </row>
    <row r="1034">
      <c r="A1034" s="216" t="s">
        <v>3217</v>
      </c>
      <c r="B1034" s="216" t="s">
        <v>3218</v>
      </c>
      <c r="C1034" s="216" t="s">
        <v>3219</v>
      </c>
      <c r="D1034" s="217">
        <v>45702.79765046296</v>
      </c>
      <c r="E1034" s="217">
        <v>45703.43765046296</v>
      </c>
      <c r="F1034" s="218" t="s">
        <v>380</v>
      </c>
      <c r="G1034" s="219" t="s">
        <v>1178</v>
      </c>
      <c r="H1034" s="216" t="s">
        <v>265</v>
      </c>
      <c r="I1034" s="216" t="s">
        <v>3220</v>
      </c>
    </row>
    <row r="1035">
      <c r="A1035" s="212" t="s">
        <v>3221</v>
      </c>
      <c r="B1035" s="212" t="s">
        <v>3222</v>
      </c>
      <c r="C1035" s="212" t="s">
        <v>2290</v>
      </c>
      <c r="D1035" s="213">
        <v>45549.83814814815</v>
      </c>
      <c r="E1035" s="213"/>
      <c r="F1035" s="214" t="s">
        <v>488</v>
      </c>
      <c r="G1035" s="215" t="s">
        <v>3223</v>
      </c>
      <c r="H1035" s="212" t="s">
        <v>356</v>
      </c>
      <c r="I1035" s="212" t="s">
        <v>2292</v>
      </c>
    </row>
    <row r="1036">
      <c r="A1036" s="212" t="s">
        <v>3224</v>
      </c>
      <c r="B1036" s="212" t="s">
        <v>3222</v>
      </c>
      <c r="C1036" s="212" t="s">
        <v>2290</v>
      </c>
      <c r="D1036" s="213">
        <v>45462.89503472222</v>
      </c>
      <c r="E1036" s="213"/>
      <c r="F1036" s="214" t="s">
        <v>465</v>
      </c>
      <c r="G1036" s="215" t="s">
        <v>3225</v>
      </c>
      <c r="H1036" s="212" t="s">
        <v>356</v>
      </c>
      <c r="I1036" s="212" t="s">
        <v>2292</v>
      </c>
    </row>
    <row r="1037">
      <c r="A1037" s="212" t="s">
        <v>3224</v>
      </c>
      <c r="B1037" s="212" t="s">
        <v>3222</v>
      </c>
      <c r="C1037" s="212" t="s">
        <v>2290</v>
      </c>
      <c r="D1037" s="213">
        <v>45462.89503472222</v>
      </c>
      <c r="E1037" s="213">
        <v>45464.274351851855</v>
      </c>
      <c r="F1037" s="214" t="s">
        <v>465</v>
      </c>
      <c r="G1037" s="215" t="s">
        <v>3225</v>
      </c>
      <c r="H1037" s="212" t="s">
        <v>356</v>
      </c>
      <c r="I1037" s="212" t="s">
        <v>2292</v>
      </c>
    </row>
    <row r="1038">
      <c r="A1038" s="216" t="s">
        <v>3226</v>
      </c>
      <c r="B1038" s="216" t="s">
        <v>3222</v>
      </c>
      <c r="C1038" s="216" t="s">
        <v>2290</v>
      </c>
      <c r="D1038" s="217">
        <v>45432.87956018518</v>
      </c>
      <c r="E1038" s="217">
        <v>45433.350752314815</v>
      </c>
      <c r="F1038" s="218" t="s">
        <v>465</v>
      </c>
      <c r="G1038" s="219" t="s">
        <v>3227</v>
      </c>
      <c r="H1038" s="216" t="s">
        <v>356</v>
      </c>
      <c r="I1038" s="216" t="s">
        <v>2292</v>
      </c>
    </row>
    <row r="1039">
      <c r="A1039" s="216" t="s">
        <v>3228</v>
      </c>
      <c r="B1039" s="216" t="s">
        <v>3229</v>
      </c>
      <c r="C1039" s="216" t="s">
        <v>3230</v>
      </c>
      <c r="D1039" s="217">
        <v>45451.57130787037</v>
      </c>
      <c r="E1039" s="217">
        <v>45453.493159722224</v>
      </c>
      <c r="F1039" s="218" t="s">
        <v>431</v>
      </c>
      <c r="G1039" s="219" t="s">
        <v>431</v>
      </c>
      <c r="H1039" s="216" t="s">
        <v>3231</v>
      </c>
      <c r="I1039" s="216" t="s">
        <v>1633</v>
      </c>
    </row>
    <row r="1040">
      <c r="A1040" s="216" t="s">
        <v>3232</v>
      </c>
      <c r="B1040" s="216" t="s">
        <v>3233</v>
      </c>
      <c r="C1040" s="216" t="s">
        <v>3234</v>
      </c>
      <c r="D1040" s="217">
        <v>45495.853680555556</v>
      </c>
      <c r="E1040" s="217"/>
      <c r="F1040" s="218" t="s">
        <v>470</v>
      </c>
      <c r="G1040" s="219" t="s">
        <v>3235</v>
      </c>
      <c r="H1040" s="216" t="s">
        <v>283</v>
      </c>
      <c r="I1040" s="216" t="s">
        <v>3236</v>
      </c>
    </row>
    <row r="1041">
      <c r="A1041" s="216" t="s">
        <v>3237</v>
      </c>
      <c r="B1041" s="216" t="s">
        <v>3238</v>
      </c>
      <c r="C1041" s="216" t="s">
        <v>3239</v>
      </c>
      <c r="D1041" s="217">
        <v>45542.474594907406</v>
      </c>
      <c r="E1041" s="217"/>
      <c r="F1041" s="218" t="s">
        <v>3240</v>
      </c>
      <c r="G1041" s="219" t="s">
        <v>3241</v>
      </c>
      <c r="H1041" s="216" t="s">
        <v>377</v>
      </c>
      <c r="I1041" s="216" t="s">
        <v>357</v>
      </c>
    </row>
    <row r="1042">
      <c r="A1042" s="216" t="s">
        <v>3242</v>
      </c>
      <c r="B1042" s="216" t="s">
        <v>3238</v>
      </c>
      <c r="C1042" s="216" t="s">
        <v>3239</v>
      </c>
      <c r="D1042" s="217">
        <v>45537.4459375</v>
      </c>
      <c r="E1042" s="217"/>
      <c r="F1042" s="218" t="s">
        <v>470</v>
      </c>
      <c r="G1042" s="219" t="s">
        <v>3243</v>
      </c>
      <c r="H1042" s="216" t="s">
        <v>811</v>
      </c>
      <c r="I1042" s="216" t="s">
        <v>357</v>
      </c>
    </row>
    <row r="1043">
      <c r="A1043" s="212" t="s">
        <v>3244</v>
      </c>
      <c r="B1043" s="212" t="s">
        <v>3238</v>
      </c>
      <c r="C1043" s="212" t="s">
        <v>3245</v>
      </c>
      <c r="D1043" s="213">
        <v>45444.47944444444</v>
      </c>
      <c r="E1043" s="213">
        <v>45444.28488425926</v>
      </c>
      <c r="F1043" s="214" t="s">
        <v>2351</v>
      </c>
      <c r="G1043" s="215" t="s">
        <v>3246</v>
      </c>
      <c r="H1043" s="212" t="s">
        <v>377</v>
      </c>
      <c r="I1043" s="212" t="s">
        <v>357</v>
      </c>
    </row>
    <row r="1044">
      <c r="A1044" s="212" t="s">
        <v>3247</v>
      </c>
      <c r="B1044" s="212" t="s">
        <v>3238</v>
      </c>
      <c r="C1044" s="212" t="s">
        <v>3248</v>
      </c>
      <c r="D1044" s="213">
        <v>45746.808796296296</v>
      </c>
      <c r="E1044" s="213">
        <v>45747.7918287037</v>
      </c>
      <c r="F1044" s="214" t="s">
        <v>538</v>
      </c>
      <c r="G1044" s="215" t="s">
        <v>2382</v>
      </c>
      <c r="H1044" s="212" t="s">
        <v>377</v>
      </c>
      <c r="I1044" s="212" t="s">
        <v>357</v>
      </c>
    </row>
    <row r="1045">
      <c r="A1045" s="216" t="s">
        <v>3249</v>
      </c>
      <c r="B1045" s="216" t="s">
        <v>3238</v>
      </c>
      <c r="C1045" s="216" t="s">
        <v>3250</v>
      </c>
      <c r="D1045" s="217">
        <v>45774.4425462963</v>
      </c>
      <c r="E1045" s="217">
        <v>45774.569548611114</v>
      </c>
      <c r="F1045" s="218" t="s">
        <v>2180</v>
      </c>
      <c r="G1045" s="219" t="s">
        <v>3251</v>
      </c>
      <c r="H1045" s="216" t="s">
        <v>377</v>
      </c>
      <c r="I1045" s="216" t="s">
        <v>357</v>
      </c>
    </row>
    <row r="1046">
      <c r="A1046" s="212" t="s">
        <v>3252</v>
      </c>
      <c r="B1046" s="212" t="s">
        <v>3253</v>
      </c>
      <c r="C1046" s="212" t="s">
        <v>3254</v>
      </c>
      <c r="D1046" s="213">
        <v>45473.63130787037</v>
      </c>
      <c r="E1046" s="213"/>
      <c r="F1046" s="214" t="s">
        <v>658</v>
      </c>
      <c r="G1046" s="215" t="s">
        <v>3255</v>
      </c>
      <c r="H1046" s="212" t="s">
        <v>561</v>
      </c>
      <c r="I1046" s="212" t="s">
        <v>1493</v>
      </c>
    </row>
    <row r="1047">
      <c r="A1047" s="212" t="s">
        <v>3256</v>
      </c>
      <c r="B1047" s="212" t="s">
        <v>3257</v>
      </c>
      <c r="C1047" s="212" t="s">
        <v>3258</v>
      </c>
      <c r="D1047" s="213">
        <v>45549.86829861111</v>
      </c>
      <c r="E1047" s="213"/>
      <c r="F1047" s="214" t="s">
        <v>3259</v>
      </c>
      <c r="G1047" s="215" t="s">
        <v>3260</v>
      </c>
      <c r="H1047" s="212" t="s">
        <v>259</v>
      </c>
      <c r="I1047" s="212" t="s">
        <v>3261</v>
      </c>
    </row>
    <row r="1048">
      <c r="A1048" s="216" t="s">
        <v>3262</v>
      </c>
      <c r="B1048" s="216" t="s">
        <v>3263</v>
      </c>
      <c r="C1048" s="216" t="s">
        <v>3264</v>
      </c>
      <c r="D1048" s="217">
        <v>45549.70386574074</v>
      </c>
      <c r="E1048" s="217"/>
      <c r="F1048" s="218" t="s">
        <v>431</v>
      </c>
      <c r="G1048" s="219" t="s">
        <v>3265</v>
      </c>
      <c r="H1048" s="216" t="s">
        <v>319</v>
      </c>
      <c r="I1048" s="216" t="s">
        <v>1162</v>
      </c>
    </row>
    <row r="1049">
      <c r="A1049" s="212" t="s">
        <v>3266</v>
      </c>
      <c r="B1049" s="212" t="s">
        <v>3263</v>
      </c>
      <c r="C1049" s="212" t="s">
        <v>3264</v>
      </c>
      <c r="D1049" s="213">
        <v>45545.8503587963</v>
      </c>
      <c r="E1049" s="213"/>
      <c r="F1049" s="214" t="s">
        <v>431</v>
      </c>
      <c r="G1049" s="215" t="s">
        <v>3267</v>
      </c>
      <c r="H1049" s="212" t="s">
        <v>319</v>
      </c>
      <c r="I1049" s="212" t="s">
        <v>1162</v>
      </c>
    </row>
    <row r="1050">
      <c r="A1050" s="212" t="s">
        <v>3268</v>
      </c>
      <c r="B1050" s="212" t="s">
        <v>3263</v>
      </c>
      <c r="C1050" s="212" t="s">
        <v>3269</v>
      </c>
      <c r="D1050" s="213">
        <v>45542.63145833334</v>
      </c>
      <c r="E1050" s="213"/>
      <c r="F1050" s="214" t="s">
        <v>470</v>
      </c>
      <c r="G1050" s="215" t="s">
        <v>2633</v>
      </c>
      <c r="H1050" s="212" t="s">
        <v>356</v>
      </c>
      <c r="I1050" s="212" t="s">
        <v>3270</v>
      </c>
    </row>
    <row r="1051">
      <c r="A1051" s="216" t="s">
        <v>3271</v>
      </c>
      <c r="B1051" s="216" t="s">
        <v>3263</v>
      </c>
      <c r="C1051" s="216" t="s">
        <v>3264</v>
      </c>
      <c r="D1051" s="217">
        <v>45541.776412037034</v>
      </c>
      <c r="E1051" s="217"/>
      <c r="F1051" s="218" t="s">
        <v>431</v>
      </c>
      <c r="G1051" s="219" t="s">
        <v>3272</v>
      </c>
      <c r="H1051" s="216" t="s">
        <v>319</v>
      </c>
      <c r="I1051" s="216" t="s">
        <v>1162</v>
      </c>
    </row>
    <row r="1052">
      <c r="A1052" s="212" t="s">
        <v>3273</v>
      </c>
      <c r="B1052" s="212" t="s">
        <v>3263</v>
      </c>
      <c r="C1052" s="212" t="s">
        <v>3264</v>
      </c>
      <c r="D1052" s="213">
        <v>45529.64329861111</v>
      </c>
      <c r="E1052" s="213"/>
      <c r="F1052" s="214" t="s">
        <v>3274</v>
      </c>
      <c r="G1052" s="215" t="s">
        <v>3275</v>
      </c>
      <c r="H1052" s="212" t="s">
        <v>319</v>
      </c>
      <c r="I1052" s="212" t="s">
        <v>1162</v>
      </c>
    </row>
    <row r="1053">
      <c r="A1053" s="212" t="s">
        <v>3276</v>
      </c>
      <c r="B1053" s="212" t="s">
        <v>3263</v>
      </c>
      <c r="C1053" s="212" t="s">
        <v>3264</v>
      </c>
      <c r="D1053" s="213">
        <v>45497.75466435185</v>
      </c>
      <c r="E1053" s="213"/>
      <c r="F1053" s="214" t="s">
        <v>1047</v>
      </c>
      <c r="G1053" s="215" t="s">
        <v>1814</v>
      </c>
      <c r="H1053" s="212" t="s">
        <v>319</v>
      </c>
      <c r="I1053" s="212" t="s">
        <v>1162</v>
      </c>
    </row>
    <row r="1054">
      <c r="A1054" s="216" t="s">
        <v>3277</v>
      </c>
      <c r="B1054" s="216" t="s">
        <v>3263</v>
      </c>
      <c r="C1054" s="216" t="s">
        <v>3278</v>
      </c>
      <c r="D1054" s="217">
        <v>45480.89508101852</v>
      </c>
      <c r="E1054" s="217"/>
      <c r="F1054" s="218" t="s">
        <v>3279</v>
      </c>
      <c r="G1054" s="219" t="s">
        <v>3280</v>
      </c>
      <c r="H1054" s="216" t="s">
        <v>416</v>
      </c>
      <c r="I1054" s="216" t="s">
        <v>1162</v>
      </c>
    </row>
    <row r="1055">
      <c r="A1055" s="212" t="s">
        <v>3281</v>
      </c>
      <c r="B1055" s="212" t="s">
        <v>3263</v>
      </c>
      <c r="C1055" s="212" t="s">
        <v>3264</v>
      </c>
      <c r="D1055" s="213">
        <v>45473.656863425924</v>
      </c>
      <c r="E1055" s="213"/>
      <c r="F1055" s="214" t="s">
        <v>439</v>
      </c>
      <c r="G1055" s="215" t="s">
        <v>3282</v>
      </c>
      <c r="H1055" s="212" t="s">
        <v>319</v>
      </c>
      <c r="I1055" s="212" t="s">
        <v>1162</v>
      </c>
    </row>
    <row r="1056">
      <c r="A1056" s="216" t="s">
        <v>3283</v>
      </c>
      <c r="B1056" s="216" t="s">
        <v>3263</v>
      </c>
      <c r="C1056" s="216" t="s">
        <v>3284</v>
      </c>
      <c r="D1056" s="217">
        <v>45453.577048611114</v>
      </c>
      <c r="E1056" s="217"/>
      <c r="F1056" s="218" t="s">
        <v>651</v>
      </c>
      <c r="G1056" s="219" t="s">
        <v>3285</v>
      </c>
      <c r="H1056" s="216" t="s">
        <v>259</v>
      </c>
      <c r="I1056" s="216" t="s">
        <v>2307</v>
      </c>
    </row>
    <row r="1057">
      <c r="A1057" s="212" t="s">
        <v>3286</v>
      </c>
      <c r="B1057" s="212" t="s">
        <v>3263</v>
      </c>
      <c r="C1057" s="212" t="s">
        <v>3284</v>
      </c>
      <c r="D1057" s="213">
        <v>45711.5033912037</v>
      </c>
      <c r="E1057" s="213">
        <v>45711.6112037037</v>
      </c>
      <c r="F1057" s="214" t="s">
        <v>722</v>
      </c>
      <c r="G1057" s="215" t="s">
        <v>3287</v>
      </c>
      <c r="H1057" s="212" t="s">
        <v>416</v>
      </c>
      <c r="I1057" s="212" t="s">
        <v>1162</v>
      </c>
    </row>
    <row r="1058">
      <c r="A1058" s="212" t="s">
        <v>3288</v>
      </c>
      <c r="B1058" s="212" t="s">
        <v>3263</v>
      </c>
      <c r="C1058" s="212" t="s">
        <v>3278</v>
      </c>
      <c r="D1058" s="213">
        <v>45709.86636574074</v>
      </c>
      <c r="E1058" s="213">
        <v>45711.67716435185</v>
      </c>
      <c r="F1058" s="214" t="s">
        <v>967</v>
      </c>
      <c r="G1058" s="215" t="s">
        <v>3289</v>
      </c>
      <c r="H1058" s="212" t="s">
        <v>416</v>
      </c>
      <c r="I1058" s="212" t="s">
        <v>1162</v>
      </c>
    </row>
    <row r="1059">
      <c r="A1059" s="216" t="s">
        <v>3290</v>
      </c>
      <c r="B1059" s="216" t="s">
        <v>3263</v>
      </c>
      <c r="C1059" s="216" t="s">
        <v>3291</v>
      </c>
      <c r="D1059" s="217">
        <v>45706.606469907405</v>
      </c>
      <c r="E1059" s="217">
        <v>45706.614699074074</v>
      </c>
      <c r="F1059" s="218" t="s">
        <v>722</v>
      </c>
      <c r="G1059" s="219" t="s">
        <v>3287</v>
      </c>
      <c r="H1059" s="216" t="s">
        <v>259</v>
      </c>
      <c r="I1059" s="216" t="s">
        <v>3292</v>
      </c>
    </row>
    <row r="1060">
      <c r="A1060" s="216" t="s">
        <v>3293</v>
      </c>
      <c r="B1060" s="216" t="s">
        <v>3263</v>
      </c>
      <c r="C1060" s="216" t="s">
        <v>3278</v>
      </c>
      <c r="D1060" s="217">
        <v>45703.870520833334</v>
      </c>
      <c r="E1060" s="217">
        <v>45704.576736111114</v>
      </c>
      <c r="F1060" s="218" t="s">
        <v>538</v>
      </c>
      <c r="G1060" s="219" t="s">
        <v>3294</v>
      </c>
      <c r="H1060" s="216" t="s">
        <v>416</v>
      </c>
      <c r="I1060" s="216" t="s">
        <v>1162</v>
      </c>
    </row>
    <row r="1061">
      <c r="A1061" s="212" t="s">
        <v>3295</v>
      </c>
      <c r="B1061" s="212" t="s">
        <v>3263</v>
      </c>
      <c r="C1061" s="212" t="s">
        <v>3278</v>
      </c>
      <c r="D1061" s="213">
        <v>45747.83908564815</v>
      </c>
      <c r="E1061" s="213">
        <v>45747.864756944444</v>
      </c>
      <c r="F1061" s="214" t="s">
        <v>291</v>
      </c>
      <c r="G1061" s="215" t="s">
        <v>2727</v>
      </c>
      <c r="H1061" s="212" t="s">
        <v>416</v>
      </c>
      <c r="I1061" s="212" t="s">
        <v>1162</v>
      </c>
    </row>
    <row r="1062">
      <c r="A1062" s="212" t="s">
        <v>3296</v>
      </c>
      <c r="B1062" s="212" t="s">
        <v>3263</v>
      </c>
      <c r="C1062" s="212" t="s">
        <v>3278</v>
      </c>
      <c r="D1062" s="213">
        <v>45734.75013888889</v>
      </c>
      <c r="E1062" s="213">
        <v>45735.6528125</v>
      </c>
      <c r="F1062" s="214" t="s">
        <v>498</v>
      </c>
      <c r="G1062" s="215" t="s">
        <v>3297</v>
      </c>
      <c r="H1062" s="212" t="s">
        <v>416</v>
      </c>
      <c r="I1062" s="212" t="s">
        <v>1162</v>
      </c>
    </row>
    <row r="1063">
      <c r="A1063" s="212" t="s">
        <v>3298</v>
      </c>
      <c r="B1063" s="212" t="s">
        <v>3263</v>
      </c>
      <c r="C1063" s="212" t="s">
        <v>3278</v>
      </c>
      <c r="D1063" s="213">
        <v>45773.666030092594</v>
      </c>
      <c r="E1063" s="213">
        <v>45774.604409722226</v>
      </c>
      <c r="F1063" s="214" t="s">
        <v>624</v>
      </c>
      <c r="G1063" s="215" t="s">
        <v>3299</v>
      </c>
      <c r="H1063" s="212" t="s">
        <v>416</v>
      </c>
      <c r="I1063" s="212" t="s">
        <v>1162</v>
      </c>
    </row>
    <row r="1064">
      <c r="A1064" s="216" t="s">
        <v>3300</v>
      </c>
      <c r="B1064" s="216" t="s">
        <v>3263</v>
      </c>
      <c r="C1064" s="216" t="s">
        <v>3278</v>
      </c>
      <c r="D1064" s="217">
        <v>45760.68912037037</v>
      </c>
      <c r="E1064" s="217">
        <v>45761.6216087963</v>
      </c>
      <c r="F1064" s="218" t="s">
        <v>509</v>
      </c>
      <c r="G1064" s="219" t="s">
        <v>3301</v>
      </c>
      <c r="H1064" s="216" t="s">
        <v>416</v>
      </c>
      <c r="I1064" s="216" t="s">
        <v>1162</v>
      </c>
    </row>
    <row r="1065">
      <c r="A1065" s="212" t="s">
        <v>3302</v>
      </c>
      <c r="B1065" s="212" t="s">
        <v>3303</v>
      </c>
      <c r="C1065" s="212" t="s">
        <v>3304</v>
      </c>
      <c r="D1065" s="213">
        <v>45549.625763888886</v>
      </c>
      <c r="E1065" s="213"/>
      <c r="F1065" s="214" t="s">
        <v>580</v>
      </c>
      <c r="G1065" s="215" t="s">
        <v>2708</v>
      </c>
      <c r="H1065" s="212" t="s">
        <v>259</v>
      </c>
      <c r="I1065" s="212" t="s">
        <v>3305</v>
      </c>
    </row>
    <row r="1066">
      <c r="A1066" s="216" t="s">
        <v>3306</v>
      </c>
      <c r="B1066" s="216" t="s">
        <v>3303</v>
      </c>
      <c r="C1066" s="216" t="s">
        <v>3307</v>
      </c>
      <c r="D1066" s="217">
        <v>45527.47047453704</v>
      </c>
      <c r="E1066" s="217"/>
      <c r="F1066" s="218" t="s">
        <v>250</v>
      </c>
      <c r="G1066" s="219" t="s">
        <v>548</v>
      </c>
      <c r="H1066" s="216" t="s">
        <v>416</v>
      </c>
      <c r="I1066" s="216" t="s">
        <v>3308</v>
      </c>
    </row>
    <row r="1067">
      <c r="A1067" s="216" t="s">
        <v>3309</v>
      </c>
      <c r="B1067" s="216" t="s">
        <v>3303</v>
      </c>
      <c r="C1067" s="216" t="s">
        <v>3310</v>
      </c>
      <c r="D1067" s="217">
        <v>45522.77140046296</v>
      </c>
      <c r="E1067" s="217"/>
      <c r="F1067" s="218" t="s">
        <v>2601</v>
      </c>
      <c r="G1067" s="219" t="s">
        <v>3311</v>
      </c>
      <c r="H1067" s="216" t="s">
        <v>259</v>
      </c>
      <c r="I1067" s="216" t="s">
        <v>666</v>
      </c>
    </row>
    <row r="1068">
      <c r="A1068" s="216" t="s">
        <v>3312</v>
      </c>
      <c r="B1068" s="216" t="s">
        <v>3303</v>
      </c>
      <c r="C1068" s="216" t="s">
        <v>3307</v>
      </c>
      <c r="D1068" s="217">
        <v>45737.455092592594</v>
      </c>
      <c r="E1068" s="217">
        <v>45737.62856481481</v>
      </c>
      <c r="F1068" s="218" t="s">
        <v>715</v>
      </c>
      <c r="G1068" s="219" t="s">
        <v>3313</v>
      </c>
      <c r="H1068" s="216" t="s">
        <v>259</v>
      </c>
      <c r="I1068" s="216" t="s">
        <v>2647</v>
      </c>
    </row>
    <row r="1069">
      <c r="A1069" s="212" t="s">
        <v>3314</v>
      </c>
      <c r="B1069" s="212" t="s">
        <v>3315</v>
      </c>
      <c r="C1069" s="212" t="s">
        <v>1305</v>
      </c>
      <c r="D1069" s="213">
        <v>45528.719375</v>
      </c>
      <c r="E1069" s="213"/>
      <c r="F1069" s="214" t="s">
        <v>339</v>
      </c>
      <c r="G1069" s="215" t="s">
        <v>3316</v>
      </c>
      <c r="H1069" s="212" t="s">
        <v>265</v>
      </c>
      <c r="I1069" s="212" t="s">
        <v>260</v>
      </c>
    </row>
    <row r="1070">
      <c r="A1070" s="212" t="s">
        <v>3317</v>
      </c>
      <c r="B1070" s="212" t="s">
        <v>3315</v>
      </c>
      <c r="C1070" s="212" t="s">
        <v>1305</v>
      </c>
      <c r="D1070" s="213">
        <v>45528.53939814815</v>
      </c>
      <c r="E1070" s="226"/>
      <c r="F1070" s="214" t="s">
        <v>339</v>
      </c>
      <c r="G1070" s="215" t="s">
        <v>3318</v>
      </c>
      <c r="H1070" s="212" t="s">
        <v>632</v>
      </c>
      <c r="I1070" s="212" t="s">
        <v>260</v>
      </c>
    </row>
    <row r="1071">
      <c r="A1071" s="216" t="s">
        <v>3319</v>
      </c>
      <c r="B1071" s="216" t="s">
        <v>3320</v>
      </c>
      <c r="C1071" s="216" t="s">
        <v>3321</v>
      </c>
      <c r="D1071" s="217">
        <v>45738.608136574076</v>
      </c>
      <c r="E1071" s="217">
        <v>45739.88545138889</v>
      </c>
      <c r="F1071" s="218" t="s">
        <v>503</v>
      </c>
      <c r="G1071" s="219" t="s">
        <v>2883</v>
      </c>
      <c r="H1071" s="216" t="s">
        <v>265</v>
      </c>
      <c r="I1071" s="216" t="s">
        <v>2342</v>
      </c>
    </row>
    <row r="1072">
      <c r="A1072" s="216" t="s">
        <v>3322</v>
      </c>
      <c r="B1072" s="216" t="s">
        <v>3323</v>
      </c>
      <c r="C1072" s="216" t="s">
        <v>3324</v>
      </c>
      <c r="D1072" s="217">
        <v>45521.701053240744</v>
      </c>
      <c r="E1072" s="217"/>
      <c r="F1072" s="218" t="s">
        <v>3325</v>
      </c>
      <c r="G1072" s="219" t="s">
        <v>3326</v>
      </c>
      <c r="H1072" s="216" t="s">
        <v>632</v>
      </c>
      <c r="I1072" s="216" t="s">
        <v>531</v>
      </c>
    </row>
    <row r="1073">
      <c r="A1073" s="216" t="s">
        <v>3327</v>
      </c>
      <c r="B1073" s="216" t="s">
        <v>3323</v>
      </c>
      <c r="C1073" s="216" t="s">
        <v>3324</v>
      </c>
      <c r="D1073" s="217">
        <v>45519.802777777775</v>
      </c>
      <c r="E1073" s="217"/>
      <c r="F1073" s="218" t="s">
        <v>3328</v>
      </c>
      <c r="G1073" s="219" t="s">
        <v>3329</v>
      </c>
      <c r="H1073" s="216" t="s">
        <v>632</v>
      </c>
      <c r="I1073" s="216" t="s">
        <v>531</v>
      </c>
    </row>
    <row r="1074">
      <c r="A1074" s="216" t="s">
        <v>3330</v>
      </c>
      <c r="B1074" s="216" t="s">
        <v>3323</v>
      </c>
      <c r="C1074" s="216" t="s">
        <v>1619</v>
      </c>
      <c r="D1074" s="217">
        <v>45476.89744212963</v>
      </c>
      <c r="E1074" s="217"/>
      <c r="F1074" s="218" t="s">
        <v>706</v>
      </c>
      <c r="G1074" s="219" t="s">
        <v>1388</v>
      </c>
      <c r="H1074" s="216" t="s">
        <v>265</v>
      </c>
      <c r="I1074" s="216" t="s">
        <v>2342</v>
      </c>
    </row>
    <row r="1075">
      <c r="A1075" s="212" t="s">
        <v>3331</v>
      </c>
      <c r="B1075" s="212" t="s">
        <v>3323</v>
      </c>
      <c r="C1075" s="212" t="s">
        <v>3324</v>
      </c>
      <c r="D1075" s="213">
        <v>45452.67712962963</v>
      </c>
      <c r="E1075" s="213">
        <v>45452.482719907406</v>
      </c>
      <c r="F1075" s="214" t="s">
        <v>317</v>
      </c>
      <c r="G1075" s="215" t="s">
        <v>3332</v>
      </c>
      <c r="H1075" s="212" t="s">
        <v>632</v>
      </c>
      <c r="I1075" s="212" t="s">
        <v>531</v>
      </c>
    </row>
    <row r="1076">
      <c r="A1076" s="216" t="s">
        <v>3333</v>
      </c>
      <c r="B1076" s="216" t="s">
        <v>3323</v>
      </c>
      <c r="C1076" s="216" t="s">
        <v>3334</v>
      </c>
      <c r="D1076" s="217">
        <v>45450.873020833336</v>
      </c>
      <c r="E1076" s="217">
        <v>45450.691030092596</v>
      </c>
      <c r="F1076" s="218" t="s">
        <v>431</v>
      </c>
      <c r="G1076" s="219" t="s">
        <v>2191</v>
      </c>
      <c r="H1076" s="216" t="s">
        <v>265</v>
      </c>
      <c r="I1076" s="216" t="s">
        <v>3169</v>
      </c>
    </row>
    <row r="1077">
      <c r="A1077" s="216" t="s">
        <v>3335</v>
      </c>
      <c r="B1077" s="216" t="s">
        <v>3323</v>
      </c>
      <c r="C1077" s="216" t="s">
        <v>3324</v>
      </c>
      <c r="D1077" s="217">
        <v>45714.74228009259</v>
      </c>
      <c r="E1077" s="217">
        <v>45716.73269675926</v>
      </c>
      <c r="F1077" s="218" t="s">
        <v>291</v>
      </c>
      <c r="G1077" s="219" t="s">
        <v>3336</v>
      </c>
      <c r="H1077" s="216" t="s">
        <v>259</v>
      </c>
      <c r="I1077" s="216" t="s">
        <v>531</v>
      </c>
    </row>
    <row r="1078">
      <c r="A1078" s="212" t="s">
        <v>3337</v>
      </c>
      <c r="B1078" s="212" t="s">
        <v>3338</v>
      </c>
      <c r="C1078" s="212" t="s">
        <v>3339</v>
      </c>
      <c r="D1078" s="213">
        <v>45536.55023148148</v>
      </c>
      <c r="E1078" s="213"/>
      <c r="F1078" s="214" t="s">
        <v>2990</v>
      </c>
      <c r="G1078" s="215" t="s">
        <v>3340</v>
      </c>
      <c r="H1078" s="212" t="s">
        <v>265</v>
      </c>
      <c r="I1078" s="212" t="s">
        <v>449</v>
      </c>
    </row>
    <row r="1079">
      <c r="A1079" s="212" t="s">
        <v>3341</v>
      </c>
      <c r="B1079" s="212" t="s">
        <v>3338</v>
      </c>
      <c r="C1079" s="212" t="s">
        <v>3339</v>
      </c>
      <c r="D1079" s="213">
        <v>45521.66341435185</v>
      </c>
      <c r="E1079" s="213"/>
      <c r="F1079" s="214" t="s">
        <v>658</v>
      </c>
      <c r="G1079" s="215" t="s">
        <v>3342</v>
      </c>
      <c r="H1079" s="212" t="s">
        <v>265</v>
      </c>
      <c r="I1079" s="212" t="s">
        <v>449</v>
      </c>
    </row>
    <row r="1080">
      <c r="A1080" s="212" t="s">
        <v>3343</v>
      </c>
      <c r="B1080" s="212" t="s">
        <v>3338</v>
      </c>
      <c r="C1080" s="212" t="s">
        <v>3339</v>
      </c>
      <c r="D1080" s="213">
        <v>45515.732141203705</v>
      </c>
      <c r="E1080" s="213"/>
      <c r="F1080" s="214" t="s">
        <v>339</v>
      </c>
      <c r="G1080" s="215" t="s">
        <v>3344</v>
      </c>
      <c r="H1080" s="212" t="s">
        <v>265</v>
      </c>
      <c r="I1080" s="212" t="s">
        <v>449</v>
      </c>
    </row>
    <row r="1081">
      <c r="A1081" s="212" t="s">
        <v>3345</v>
      </c>
      <c r="B1081" s="212" t="s">
        <v>3338</v>
      </c>
      <c r="C1081" s="212" t="s">
        <v>3339</v>
      </c>
      <c r="D1081" s="213">
        <v>45485.79350694444</v>
      </c>
      <c r="E1081" s="213"/>
      <c r="F1081" s="214" t="s">
        <v>339</v>
      </c>
      <c r="G1081" s="215" t="s">
        <v>3346</v>
      </c>
      <c r="H1081" s="212" t="s">
        <v>265</v>
      </c>
      <c r="I1081" s="212" t="s">
        <v>449</v>
      </c>
    </row>
    <row r="1082">
      <c r="A1082" s="212" t="s">
        <v>3345</v>
      </c>
      <c r="B1082" s="212" t="s">
        <v>3338</v>
      </c>
      <c r="C1082" s="212" t="s">
        <v>3339</v>
      </c>
      <c r="D1082" s="213">
        <v>45485.79350694444</v>
      </c>
      <c r="E1082" s="213"/>
      <c r="F1082" s="214" t="s">
        <v>339</v>
      </c>
      <c r="G1082" s="215" t="s">
        <v>3346</v>
      </c>
      <c r="H1082" s="212" t="s">
        <v>265</v>
      </c>
      <c r="I1082" s="212" t="s">
        <v>449</v>
      </c>
    </row>
    <row r="1083">
      <c r="A1083" s="216" t="s">
        <v>3347</v>
      </c>
      <c r="B1083" s="216" t="s">
        <v>3338</v>
      </c>
      <c r="C1083" s="216" t="s">
        <v>3339</v>
      </c>
      <c r="D1083" s="217">
        <v>45439.66506944445</v>
      </c>
      <c r="E1083" s="217">
        <v>45439.4653587963</v>
      </c>
      <c r="F1083" s="218" t="s">
        <v>250</v>
      </c>
      <c r="G1083" s="219" t="s">
        <v>3318</v>
      </c>
      <c r="H1083" s="216" t="s">
        <v>265</v>
      </c>
      <c r="I1083" s="216" t="s">
        <v>449</v>
      </c>
    </row>
    <row r="1084">
      <c r="A1084" s="212" t="s">
        <v>3348</v>
      </c>
      <c r="B1084" s="212" t="s">
        <v>3349</v>
      </c>
      <c r="C1084" s="212" t="s">
        <v>3350</v>
      </c>
      <c r="D1084" s="213">
        <v>45777.84506944445</v>
      </c>
      <c r="E1084" s="213">
        <v>45778.60767361111</v>
      </c>
      <c r="F1084" s="214" t="s">
        <v>2638</v>
      </c>
      <c r="G1084" s="215" t="s">
        <v>3351</v>
      </c>
      <c r="H1084" s="212" t="s">
        <v>346</v>
      </c>
      <c r="I1084" s="212" t="s">
        <v>284</v>
      </c>
    </row>
    <row r="1085">
      <c r="A1085" s="212" t="s">
        <v>3352</v>
      </c>
      <c r="B1085" s="212" t="s">
        <v>3353</v>
      </c>
      <c r="C1085" s="212" t="s">
        <v>3354</v>
      </c>
      <c r="D1085" s="213">
        <v>45453.59564814815</v>
      </c>
      <c r="E1085" s="213">
        <v>45455.36467592593</v>
      </c>
      <c r="F1085" s="214" t="s">
        <v>2756</v>
      </c>
      <c r="G1085" s="215" t="s">
        <v>3355</v>
      </c>
      <c r="H1085" s="212" t="s">
        <v>259</v>
      </c>
      <c r="I1085" s="212" t="s">
        <v>3356</v>
      </c>
    </row>
    <row r="1086">
      <c r="A1086" s="212" t="s">
        <v>3357</v>
      </c>
      <c r="B1086" s="212" t="s">
        <v>3353</v>
      </c>
      <c r="C1086" s="212" t="s">
        <v>3358</v>
      </c>
      <c r="D1086" s="213">
        <v>45443.57971064815</v>
      </c>
      <c r="E1086" s="213">
        <v>45444.36472222222</v>
      </c>
      <c r="F1086" s="214" t="s">
        <v>3359</v>
      </c>
      <c r="G1086" s="215" t="s">
        <v>3360</v>
      </c>
      <c r="H1086" s="212" t="s">
        <v>259</v>
      </c>
      <c r="I1086" s="212" t="s">
        <v>3356</v>
      </c>
    </row>
    <row r="1087">
      <c r="A1087" s="212" t="s">
        <v>3361</v>
      </c>
      <c r="B1087" s="212" t="s">
        <v>3362</v>
      </c>
      <c r="C1087" s="212" t="s">
        <v>3363</v>
      </c>
      <c r="D1087" s="213">
        <v>45513.88234953704</v>
      </c>
      <c r="E1087" s="213"/>
      <c r="F1087" s="214" t="s">
        <v>431</v>
      </c>
      <c r="G1087" s="215" t="s">
        <v>3364</v>
      </c>
      <c r="H1087" s="212" t="s">
        <v>259</v>
      </c>
      <c r="I1087" s="212" t="s">
        <v>461</v>
      </c>
    </row>
    <row r="1088">
      <c r="A1088" s="216" t="s">
        <v>3365</v>
      </c>
      <c r="B1088" s="216" t="s">
        <v>3366</v>
      </c>
      <c r="C1088" s="216" t="s">
        <v>3367</v>
      </c>
      <c r="D1088" s="217">
        <v>45714.793645833335</v>
      </c>
      <c r="E1088" s="217">
        <v>45714.805601851855</v>
      </c>
      <c r="F1088" s="218" t="s">
        <v>291</v>
      </c>
      <c r="G1088" s="219" t="s">
        <v>3336</v>
      </c>
      <c r="H1088" s="216" t="s">
        <v>561</v>
      </c>
      <c r="I1088" s="216" t="s">
        <v>260</v>
      </c>
    </row>
    <row r="1089">
      <c r="A1089" s="212" t="s">
        <v>3368</v>
      </c>
      <c r="B1089" s="212" t="s">
        <v>3366</v>
      </c>
      <c r="C1089" s="212" t="s">
        <v>3367</v>
      </c>
      <c r="D1089" s="213">
        <v>45746.747662037036</v>
      </c>
      <c r="E1089" s="213">
        <v>45746.760462962964</v>
      </c>
      <c r="F1089" s="214" t="s">
        <v>538</v>
      </c>
      <c r="G1089" s="215" t="s">
        <v>3369</v>
      </c>
      <c r="H1089" s="212" t="s">
        <v>561</v>
      </c>
      <c r="I1089" s="212" t="s">
        <v>260</v>
      </c>
    </row>
    <row r="1090">
      <c r="A1090" s="212" t="s">
        <v>3370</v>
      </c>
      <c r="B1090" s="212" t="s">
        <v>3371</v>
      </c>
      <c r="C1090" s="212" t="s">
        <v>3372</v>
      </c>
      <c r="D1090" s="213">
        <v>45747.86418981481</v>
      </c>
      <c r="E1090" s="213">
        <v>45747.87851851852</v>
      </c>
      <c r="F1090" s="214" t="s">
        <v>3373</v>
      </c>
      <c r="G1090" s="215" t="s">
        <v>3374</v>
      </c>
      <c r="H1090" s="212" t="s">
        <v>761</v>
      </c>
      <c r="I1090" s="212" t="s">
        <v>3375</v>
      </c>
    </row>
    <row r="1091">
      <c r="A1091" s="212" t="s">
        <v>3376</v>
      </c>
      <c r="B1091" s="212" t="s">
        <v>3377</v>
      </c>
      <c r="C1091" s="212" t="s">
        <v>3378</v>
      </c>
      <c r="D1091" s="213">
        <v>45747.858935185184</v>
      </c>
      <c r="E1091" s="227"/>
      <c r="F1091" s="214" t="s">
        <v>391</v>
      </c>
      <c r="G1091" s="215" t="s">
        <v>877</v>
      </c>
      <c r="H1091" s="212" t="s">
        <v>761</v>
      </c>
      <c r="I1091" s="212" t="s">
        <v>3375</v>
      </c>
    </row>
    <row r="1092">
      <c r="A1092" s="216" t="s">
        <v>3379</v>
      </c>
      <c r="B1092" s="216" t="s">
        <v>3377</v>
      </c>
      <c r="C1092" s="216" t="s">
        <v>3380</v>
      </c>
      <c r="D1092" s="217">
        <v>45747.85648148148</v>
      </c>
      <c r="E1092" s="217">
        <v>45747.86476851852</v>
      </c>
      <c r="F1092" s="218" t="s">
        <v>2920</v>
      </c>
      <c r="G1092" s="219" t="s">
        <v>3381</v>
      </c>
      <c r="H1092" s="216" t="s">
        <v>265</v>
      </c>
      <c r="I1092" s="216" t="s">
        <v>1775</v>
      </c>
    </row>
    <row r="1093">
      <c r="A1093" s="212" t="s">
        <v>3382</v>
      </c>
      <c r="B1093" s="212" t="s">
        <v>3377</v>
      </c>
      <c r="C1093" s="212" t="s">
        <v>3380</v>
      </c>
      <c r="D1093" s="213">
        <v>45774.69304398148</v>
      </c>
      <c r="E1093" s="213">
        <v>45774.7015625</v>
      </c>
      <c r="F1093" s="214" t="s">
        <v>375</v>
      </c>
      <c r="G1093" s="215" t="s">
        <v>3383</v>
      </c>
      <c r="H1093" s="212" t="s">
        <v>265</v>
      </c>
      <c r="I1093" s="212" t="s">
        <v>1775</v>
      </c>
    </row>
    <row r="1094">
      <c r="A1094" s="212" t="s">
        <v>3384</v>
      </c>
      <c r="B1094" s="212" t="s">
        <v>3385</v>
      </c>
      <c r="C1094" s="212" t="s">
        <v>3386</v>
      </c>
      <c r="D1094" s="213">
        <v>45773.86513888889</v>
      </c>
      <c r="E1094" s="213">
        <v>45774.6565625</v>
      </c>
      <c r="F1094" s="214" t="s">
        <v>3387</v>
      </c>
      <c r="G1094" s="215" t="s">
        <v>3388</v>
      </c>
      <c r="H1094" s="212" t="s">
        <v>259</v>
      </c>
      <c r="I1094" s="212" t="s">
        <v>3389</v>
      </c>
    </row>
    <row r="1095">
      <c r="A1095" s="212" t="s">
        <v>3390</v>
      </c>
      <c r="B1095" s="212" t="s">
        <v>3385</v>
      </c>
      <c r="C1095" s="212" t="s">
        <v>3386</v>
      </c>
      <c r="D1095" s="213">
        <v>45760.511979166666</v>
      </c>
      <c r="E1095" s="213">
        <v>45762.781331018516</v>
      </c>
      <c r="F1095" s="214" t="s">
        <v>291</v>
      </c>
      <c r="G1095" s="215" t="s">
        <v>577</v>
      </c>
      <c r="H1095" s="212" t="s">
        <v>259</v>
      </c>
      <c r="I1095" s="212" t="s">
        <v>3389</v>
      </c>
    </row>
    <row r="1096">
      <c r="A1096" s="212" t="s">
        <v>3391</v>
      </c>
      <c r="B1096" s="212" t="s">
        <v>3392</v>
      </c>
      <c r="C1096" s="212" t="s">
        <v>3393</v>
      </c>
      <c r="D1096" s="213">
        <v>45501.87039351852</v>
      </c>
      <c r="E1096" s="213"/>
      <c r="F1096" s="214" t="s">
        <v>380</v>
      </c>
      <c r="G1096" s="215" t="s">
        <v>380</v>
      </c>
      <c r="H1096" s="212" t="s">
        <v>2001</v>
      </c>
      <c r="I1096" s="212" t="s">
        <v>3394</v>
      </c>
    </row>
    <row r="1097">
      <c r="A1097" s="212" t="s">
        <v>3395</v>
      </c>
      <c r="B1097" s="212" t="s">
        <v>3396</v>
      </c>
      <c r="C1097" s="212" t="s">
        <v>3397</v>
      </c>
      <c r="D1097" s="213">
        <v>45747.72928240741</v>
      </c>
      <c r="E1097" s="213">
        <v>45748.50703703704</v>
      </c>
      <c r="F1097" s="214" t="s">
        <v>2638</v>
      </c>
      <c r="G1097" s="215" t="s">
        <v>2638</v>
      </c>
      <c r="H1097" s="212" t="s">
        <v>2001</v>
      </c>
      <c r="I1097" s="212" t="s">
        <v>2002</v>
      </c>
    </row>
    <row r="1098">
      <c r="A1098" s="216" t="s">
        <v>3398</v>
      </c>
      <c r="B1098" s="216" t="s">
        <v>3399</v>
      </c>
      <c r="C1098" s="216" t="s">
        <v>3400</v>
      </c>
      <c r="D1098" s="217">
        <v>45543.5937962963</v>
      </c>
      <c r="E1098" s="217"/>
      <c r="F1098" s="218" t="s">
        <v>872</v>
      </c>
      <c r="G1098" s="219" t="s">
        <v>872</v>
      </c>
      <c r="H1098" s="216" t="s">
        <v>3401</v>
      </c>
      <c r="I1098" s="216" t="s">
        <v>1633</v>
      </c>
    </row>
    <row r="1099">
      <c r="A1099" s="212" t="s">
        <v>3402</v>
      </c>
      <c r="B1099" s="212" t="s">
        <v>3399</v>
      </c>
      <c r="C1099" s="212" t="s">
        <v>3400</v>
      </c>
      <c r="D1099" s="213">
        <v>45535.47255787037</v>
      </c>
      <c r="E1099" s="213"/>
      <c r="F1099" s="214" t="s">
        <v>3403</v>
      </c>
      <c r="G1099" s="215" t="s">
        <v>3403</v>
      </c>
      <c r="H1099" s="212" t="s">
        <v>3401</v>
      </c>
      <c r="I1099" s="212" t="s">
        <v>1633</v>
      </c>
    </row>
    <row r="1100">
      <c r="A1100" s="216" t="s">
        <v>3404</v>
      </c>
      <c r="B1100" s="216" t="s">
        <v>3399</v>
      </c>
      <c r="C1100" s="216" t="s">
        <v>3400</v>
      </c>
      <c r="D1100" s="217">
        <v>45528.50885416667</v>
      </c>
      <c r="E1100" s="217"/>
      <c r="F1100" s="218" t="s">
        <v>3405</v>
      </c>
      <c r="G1100" s="219" t="s">
        <v>3405</v>
      </c>
      <c r="H1100" s="216" t="s">
        <v>3401</v>
      </c>
      <c r="I1100" s="216" t="s">
        <v>1633</v>
      </c>
    </row>
    <row r="1101">
      <c r="A1101" s="216" t="s">
        <v>3406</v>
      </c>
      <c r="B1101" s="216" t="s">
        <v>3399</v>
      </c>
      <c r="C1101" s="216" t="s">
        <v>3400</v>
      </c>
      <c r="D1101" s="217">
        <v>45515.707349537035</v>
      </c>
      <c r="E1101" s="217"/>
      <c r="F1101" s="218" t="s">
        <v>339</v>
      </c>
      <c r="G1101" s="219" t="s">
        <v>339</v>
      </c>
      <c r="H1101" s="216" t="s">
        <v>3401</v>
      </c>
      <c r="I1101" s="216" t="s">
        <v>1633</v>
      </c>
    </row>
    <row r="1102">
      <c r="A1102" s="216" t="s">
        <v>3407</v>
      </c>
      <c r="B1102" s="216" t="s">
        <v>3399</v>
      </c>
      <c r="C1102" s="216" t="s">
        <v>3400</v>
      </c>
      <c r="D1102" s="217">
        <v>45507.46706018518</v>
      </c>
      <c r="E1102" s="217"/>
      <c r="F1102" s="218" t="s">
        <v>3408</v>
      </c>
      <c r="G1102" s="219" t="s">
        <v>3408</v>
      </c>
      <c r="H1102" s="216" t="s">
        <v>3401</v>
      </c>
      <c r="I1102" s="216" t="s">
        <v>1633</v>
      </c>
    </row>
    <row r="1103">
      <c r="A1103" s="216" t="s">
        <v>3409</v>
      </c>
      <c r="B1103" s="216" t="s">
        <v>3399</v>
      </c>
      <c r="C1103" s="216" t="s">
        <v>3400</v>
      </c>
      <c r="D1103" s="217">
        <v>45500.52469907407</v>
      </c>
      <c r="E1103" s="217"/>
      <c r="F1103" s="218" t="s">
        <v>3410</v>
      </c>
      <c r="G1103" s="219" t="s">
        <v>3410</v>
      </c>
      <c r="H1103" s="216" t="s">
        <v>3401</v>
      </c>
      <c r="I1103" s="216" t="s">
        <v>1633</v>
      </c>
    </row>
    <row r="1104">
      <c r="A1104" s="212" t="s">
        <v>3411</v>
      </c>
      <c r="B1104" s="212" t="s">
        <v>3399</v>
      </c>
      <c r="C1104" s="212" t="s">
        <v>3412</v>
      </c>
      <c r="D1104" s="213">
        <v>45500.52375</v>
      </c>
      <c r="E1104" s="213"/>
      <c r="F1104" s="214" t="s">
        <v>470</v>
      </c>
      <c r="G1104" s="215" t="s">
        <v>470</v>
      </c>
      <c r="H1104" s="212" t="s">
        <v>3413</v>
      </c>
      <c r="I1104" s="212" t="s">
        <v>1356</v>
      </c>
    </row>
    <row r="1105">
      <c r="A1105" s="216" t="s">
        <v>3414</v>
      </c>
      <c r="B1105" s="216" t="s">
        <v>3399</v>
      </c>
      <c r="C1105" s="216" t="s">
        <v>3400</v>
      </c>
      <c r="D1105" s="217">
        <v>45493.59541666666</v>
      </c>
      <c r="E1105" s="217"/>
      <c r="F1105" s="218" t="s">
        <v>3415</v>
      </c>
      <c r="G1105" s="219" t="s">
        <v>3415</v>
      </c>
      <c r="H1105" s="216" t="s">
        <v>3401</v>
      </c>
      <c r="I1105" s="216" t="s">
        <v>1633</v>
      </c>
    </row>
    <row r="1106">
      <c r="A1106" s="212" t="s">
        <v>3416</v>
      </c>
      <c r="B1106" s="212" t="s">
        <v>3399</v>
      </c>
      <c r="C1106" s="212" t="s">
        <v>3412</v>
      </c>
      <c r="D1106" s="213">
        <v>45486.437939814816</v>
      </c>
      <c r="E1106" s="213"/>
      <c r="F1106" s="214" t="s">
        <v>3057</v>
      </c>
      <c r="G1106" s="215" t="s">
        <v>3057</v>
      </c>
      <c r="H1106" s="212" t="s">
        <v>3413</v>
      </c>
      <c r="I1106" s="212" t="s">
        <v>1356</v>
      </c>
    </row>
    <row r="1107">
      <c r="A1107" s="216" t="s">
        <v>3417</v>
      </c>
      <c r="B1107" s="216" t="s">
        <v>3399</v>
      </c>
      <c r="C1107" s="216" t="s">
        <v>3400</v>
      </c>
      <c r="D1107" s="217">
        <v>45486.43502314815</v>
      </c>
      <c r="E1107" s="217"/>
      <c r="F1107" s="218" t="s">
        <v>580</v>
      </c>
      <c r="G1107" s="219" t="s">
        <v>580</v>
      </c>
      <c r="H1107" s="216" t="s">
        <v>3401</v>
      </c>
      <c r="I1107" s="216" t="s">
        <v>1633</v>
      </c>
    </row>
    <row r="1108">
      <c r="A1108" s="212" t="s">
        <v>3416</v>
      </c>
      <c r="B1108" s="212" t="s">
        <v>3399</v>
      </c>
      <c r="C1108" s="212" t="s">
        <v>3412</v>
      </c>
      <c r="D1108" s="213">
        <v>45486.437939814816</v>
      </c>
      <c r="E1108" s="213"/>
      <c r="F1108" s="214" t="s">
        <v>3057</v>
      </c>
      <c r="G1108" s="215" t="s">
        <v>3057</v>
      </c>
      <c r="H1108" s="212" t="s">
        <v>3413</v>
      </c>
      <c r="I1108" s="212" t="s">
        <v>1356</v>
      </c>
    </row>
    <row r="1109">
      <c r="A1109" s="216" t="s">
        <v>3417</v>
      </c>
      <c r="B1109" s="216" t="s">
        <v>3399</v>
      </c>
      <c r="C1109" s="216" t="s">
        <v>3400</v>
      </c>
      <c r="D1109" s="217">
        <v>45486.43502314815</v>
      </c>
      <c r="E1109" s="217"/>
      <c r="F1109" s="218" t="s">
        <v>580</v>
      </c>
      <c r="G1109" s="219" t="s">
        <v>580</v>
      </c>
      <c r="H1109" s="216" t="s">
        <v>3401</v>
      </c>
      <c r="I1109" s="216" t="s">
        <v>1633</v>
      </c>
    </row>
    <row r="1110">
      <c r="A1110" s="212" t="s">
        <v>3418</v>
      </c>
      <c r="B1110" s="212" t="s">
        <v>3399</v>
      </c>
      <c r="C1110" s="212" t="s">
        <v>3419</v>
      </c>
      <c r="D1110" s="213">
        <v>45477.450891203705</v>
      </c>
      <c r="E1110" s="213"/>
      <c r="F1110" s="214" t="s">
        <v>715</v>
      </c>
      <c r="G1110" s="215" t="s">
        <v>715</v>
      </c>
      <c r="H1110" s="212" t="s">
        <v>1632</v>
      </c>
      <c r="I1110" s="212" t="s">
        <v>1356</v>
      </c>
    </row>
    <row r="1111">
      <c r="A1111" s="212" t="s">
        <v>3420</v>
      </c>
      <c r="B1111" s="212" t="s">
        <v>3399</v>
      </c>
      <c r="C1111" s="212" t="s">
        <v>3412</v>
      </c>
      <c r="D1111" s="213">
        <v>45473.67625</v>
      </c>
      <c r="E1111" s="213"/>
      <c r="F1111" s="214" t="s">
        <v>503</v>
      </c>
      <c r="G1111" s="215" t="s">
        <v>503</v>
      </c>
      <c r="H1111" s="212" t="s">
        <v>3413</v>
      </c>
      <c r="I1111" s="212" t="s">
        <v>1356</v>
      </c>
    </row>
    <row r="1112">
      <c r="A1112" s="216" t="s">
        <v>3421</v>
      </c>
      <c r="B1112" s="216" t="s">
        <v>3399</v>
      </c>
      <c r="C1112" s="216" t="s">
        <v>3419</v>
      </c>
      <c r="D1112" s="217">
        <v>45473.67556712963</v>
      </c>
      <c r="E1112" s="217"/>
      <c r="F1112" s="218" t="s">
        <v>542</v>
      </c>
      <c r="G1112" s="219" t="s">
        <v>542</v>
      </c>
      <c r="H1112" s="216" t="s">
        <v>1632</v>
      </c>
      <c r="I1112" s="216" t="s">
        <v>1356</v>
      </c>
    </row>
    <row r="1113">
      <c r="A1113" s="216" t="s">
        <v>3422</v>
      </c>
      <c r="B1113" s="216" t="s">
        <v>3399</v>
      </c>
      <c r="C1113" s="216" t="s">
        <v>3419</v>
      </c>
      <c r="D1113" s="217">
        <v>45458.7052662037</v>
      </c>
      <c r="E1113" s="217">
        <v>45458.51755787037</v>
      </c>
      <c r="F1113" s="218" t="s">
        <v>730</v>
      </c>
      <c r="G1113" s="219" t="s">
        <v>730</v>
      </c>
      <c r="H1113" s="216" t="s">
        <v>1632</v>
      </c>
      <c r="I1113" s="216" t="s">
        <v>1356</v>
      </c>
    </row>
    <row r="1114">
      <c r="A1114" s="212" t="s">
        <v>3423</v>
      </c>
      <c r="B1114" s="212" t="s">
        <v>3399</v>
      </c>
      <c r="C1114" s="212" t="s">
        <v>3412</v>
      </c>
      <c r="D1114" s="213">
        <v>45458.70428240741</v>
      </c>
      <c r="E1114" s="213">
        <v>45467.22929398148</v>
      </c>
      <c r="F1114" s="214" t="s">
        <v>538</v>
      </c>
      <c r="G1114" s="215" t="s">
        <v>538</v>
      </c>
      <c r="H1114" s="212" t="s">
        <v>3413</v>
      </c>
      <c r="I1114" s="212" t="s">
        <v>1356</v>
      </c>
    </row>
    <row r="1115">
      <c r="A1115" s="216" t="s">
        <v>3424</v>
      </c>
      <c r="B1115" s="216" t="s">
        <v>3399</v>
      </c>
      <c r="C1115" s="216" t="s">
        <v>3419</v>
      </c>
      <c r="D1115" s="217">
        <v>45451.43435185185</v>
      </c>
      <c r="E1115" s="217">
        <v>45451.250243055554</v>
      </c>
      <c r="F1115" s="218" t="s">
        <v>250</v>
      </c>
      <c r="G1115" s="219" t="s">
        <v>250</v>
      </c>
      <c r="H1115" s="216" t="s">
        <v>1632</v>
      </c>
      <c r="I1115" s="216" t="s">
        <v>1356</v>
      </c>
    </row>
    <row r="1116">
      <c r="A1116" s="216" t="s">
        <v>3425</v>
      </c>
      <c r="B1116" s="216" t="s">
        <v>3399</v>
      </c>
      <c r="C1116" s="216" t="s">
        <v>3412</v>
      </c>
      <c r="D1116" s="217">
        <v>45446.74248842592</v>
      </c>
      <c r="E1116" s="217">
        <v>45447.22928240741</v>
      </c>
      <c r="F1116" s="218" t="s">
        <v>459</v>
      </c>
      <c r="G1116" s="219" t="s">
        <v>459</v>
      </c>
      <c r="H1116" s="216" t="s">
        <v>3413</v>
      </c>
      <c r="I1116" s="216" t="s">
        <v>1356</v>
      </c>
    </row>
    <row r="1117">
      <c r="A1117" s="216" t="s">
        <v>3426</v>
      </c>
      <c r="B1117" s="216" t="s">
        <v>3399</v>
      </c>
      <c r="C1117" s="216" t="s">
        <v>3427</v>
      </c>
      <c r="D1117" s="217">
        <v>45445.44037037037</v>
      </c>
      <c r="E1117" s="217">
        <v>45445.30912037037</v>
      </c>
      <c r="F1117" s="218" t="s">
        <v>291</v>
      </c>
      <c r="G1117" s="219" t="s">
        <v>291</v>
      </c>
      <c r="H1117" s="216" t="s">
        <v>3428</v>
      </c>
      <c r="I1117" s="216" t="s">
        <v>1356</v>
      </c>
    </row>
    <row r="1118">
      <c r="A1118" s="212" t="s">
        <v>3429</v>
      </c>
      <c r="B1118" s="212" t="s">
        <v>3399</v>
      </c>
      <c r="C1118" s="212" t="s">
        <v>3419</v>
      </c>
      <c r="D1118" s="213">
        <v>45445.437743055554</v>
      </c>
      <c r="E1118" s="213">
        <v>45445.25011574074</v>
      </c>
      <c r="F1118" s="214" t="s">
        <v>1092</v>
      </c>
      <c r="G1118" s="215" t="s">
        <v>1092</v>
      </c>
      <c r="H1118" s="212" t="s">
        <v>1632</v>
      </c>
      <c r="I1118" s="212" t="s">
        <v>1356</v>
      </c>
    </row>
    <row r="1119">
      <c r="A1119" s="212" t="s">
        <v>3430</v>
      </c>
      <c r="B1119" s="212" t="s">
        <v>3399</v>
      </c>
      <c r="C1119" s="212" t="s">
        <v>3419</v>
      </c>
      <c r="D1119" s="213">
        <v>45431.615428240744</v>
      </c>
      <c r="E1119" s="213">
        <v>45431.42025462963</v>
      </c>
      <c r="F1119" s="214" t="s">
        <v>257</v>
      </c>
      <c r="G1119" s="215" t="s">
        <v>257</v>
      </c>
      <c r="H1119" s="212" t="s">
        <v>1632</v>
      </c>
      <c r="I1119" s="212" t="s">
        <v>1356</v>
      </c>
    </row>
    <row r="1120">
      <c r="A1120" s="212" t="s">
        <v>3431</v>
      </c>
      <c r="B1120" s="212" t="s">
        <v>3399</v>
      </c>
      <c r="C1120" s="212" t="s">
        <v>3432</v>
      </c>
      <c r="D1120" s="213">
        <v>45711.657013888886</v>
      </c>
      <c r="E1120" s="213">
        <v>45713.71193287037</v>
      </c>
      <c r="F1120" s="214" t="s">
        <v>286</v>
      </c>
      <c r="G1120" s="215" t="s">
        <v>286</v>
      </c>
      <c r="H1120" s="212" t="s">
        <v>3433</v>
      </c>
      <c r="I1120" s="212" t="s">
        <v>1356</v>
      </c>
    </row>
    <row r="1121">
      <c r="A1121" s="212" t="s">
        <v>3434</v>
      </c>
      <c r="B1121" s="212" t="s">
        <v>3399</v>
      </c>
      <c r="C1121" s="212" t="s">
        <v>3400</v>
      </c>
      <c r="D1121" s="213">
        <v>45710.62637731482</v>
      </c>
      <c r="E1121" s="227"/>
      <c r="F1121" s="214" t="s">
        <v>286</v>
      </c>
      <c r="G1121" s="215" t="s">
        <v>286</v>
      </c>
      <c r="H1121" s="212" t="s">
        <v>3401</v>
      </c>
      <c r="I1121" s="212" t="s">
        <v>1633</v>
      </c>
    </row>
    <row r="1122">
      <c r="A1122" s="212" t="s">
        <v>3435</v>
      </c>
      <c r="B1122" s="212" t="s">
        <v>3399</v>
      </c>
      <c r="C1122" s="212" t="s">
        <v>3400</v>
      </c>
      <c r="D1122" s="213">
        <v>45703.50454861111</v>
      </c>
      <c r="E1122" s="213">
        <v>45703.51752314815</v>
      </c>
      <c r="F1122" s="214" t="s">
        <v>3436</v>
      </c>
      <c r="G1122" s="215" t="s">
        <v>3436</v>
      </c>
      <c r="H1122" s="212" t="s">
        <v>3401</v>
      </c>
      <c r="I1122" s="212" t="s">
        <v>1633</v>
      </c>
    </row>
    <row r="1123">
      <c r="A1123" s="216" t="s">
        <v>3437</v>
      </c>
      <c r="B1123" s="216" t="s">
        <v>3399</v>
      </c>
      <c r="C1123" s="216" t="s">
        <v>3400</v>
      </c>
      <c r="D1123" s="217">
        <v>45745.54871527778</v>
      </c>
      <c r="E1123" s="217">
        <v>45745.562627314815</v>
      </c>
      <c r="F1123" s="218" t="s">
        <v>3438</v>
      </c>
      <c r="G1123" s="219" t="s">
        <v>3438</v>
      </c>
      <c r="H1123" s="216" t="s">
        <v>3401</v>
      </c>
      <c r="I1123" s="216" t="s">
        <v>1633</v>
      </c>
    </row>
    <row r="1124">
      <c r="A1124" s="216" t="s">
        <v>3439</v>
      </c>
      <c r="B1124" s="216" t="s">
        <v>3399</v>
      </c>
      <c r="C1124" s="216" t="s">
        <v>3440</v>
      </c>
      <c r="D1124" s="217">
        <v>45738.48795138889</v>
      </c>
      <c r="E1124" s="217">
        <v>45738.50010416667</v>
      </c>
      <c r="F1124" s="218" t="s">
        <v>375</v>
      </c>
      <c r="G1124" s="219" t="s">
        <v>375</v>
      </c>
      <c r="H1124" s="216" t="s">
        <v>1713</v>
      </c>
      <c r="I1124" s="216" t="s">
        <v>1356</v>
      </c>
    </row>
    <row r="1125">
      <c r="A1125" s="216" t="s">
        <v>3441</v>
      </c>
      <c r="B1125" s="216" t="s">
        <v>3399</v>
      </c>
      <c r="C1125" s="216" t="s">
        <v>3400</v>
      </c>
      <c r="D1125" s="217">
        <v>45773.79837962963</v>
      </c>
      <c r="E1125" s="217">
        <v>45773.80920138889</v>
      </c>
      <c r="F1125" s="218" t="s">
        <v>1142</v>
      </c>
      <c r="G1125" s="219" t="s">
        <v>1142</v>
      </c>
      <c r="H1125" s="216" t="s">
        <v>3401</v>
      </c>
      <c r="I1125" s="216" t="s">
        <v>1633</v>
      </c>
    </row>
    <row r="1126">
      <c r="A1126" s="216" t="s">
        <v>3442</v>
      </c>
      <c r="B1126" s="216" t="s">
        <v>3443</v>
      </c>
      <c r="C1126" s="216" t="s">
        <v>3443</v>
      </c>
      <c r="D1126" s="217">
        <v>45450.646828703706</v>
      </c>
      <c r="E1126" s="217">
        <v>45450.4480787037</v>
      </c>
      <c r="F1126" s="218" t="s">
        <v>291</v>
      </c>
      <c r="G1126" s="219" t="s">
        <v>3444</v>
      </c>
      <c r="H1126" s="216" t="s">
        <v>337</v>
      </c>
      <c r="I1126" s="216" t="s">
        <v>1080</v>
      </c>
    </row>
    <row r="1127">
      <c r="A1127" s="216" t="s">
        <v>3445</v>
      </c>
      <c r="B1127" s="216" t="s">
        <v>3446</v>
      </c>
      <c r="C1127" s="216" t="s">
        <v>3447</v>
      </c>
      <c r="D1127" s="217">
        <v>45550.79350694444</v>
      </c>
      <c r="E1127" s="217"/>
      <c r="F1127" s="218" t="s">
        <v>1236</v>
      </c>
      <c r="G1127" s="219" t="s">
        <v>3448</v>
      </c>
      <c r="H1127" s="216" t="s">
        <v>632</v>
      </c>
      <c r="I1127" s="216" t="s">
        <v>3292</v>
      </c>
    </row>
    <row r="1128">
      <c r="A1128" s="212" t="s">
        <v>3449</v>
      </c>
      <c r="B1128" s="212" t="s">
        <v>3446</v>
      </c>
      <c r="C1128" s="212" t="s">
        <v>3450</v>
      </c>
      <c r="D1128" s="213">
        <v>45761.87113425926</v>
      </c>
      <c r="E1128" s="213">
        <v>45763.67020833334</v>
      </c>
      <c r="F1128" s="214" t="s">
        <v>470</v>
      </c>
      <c r="G1128" s="215" t="s">
        <v>587</v>
      </c>
      <c r="H1128" s="212" t="s">
        <v>259</v>
      </c>
      <c r="I1128" s="212" t="s">
        <v>332</v>
      </c>
    </row>
    <row r="1129">
      <c r="A1129" s="216" t="s">
        <v>3451</v>
      </c>
      <c r="B1129" s="216" t="s">
        <v>3452</v>
      </c>
      <c r="C1129" s="216" t="s">
        <v>3453</v>
      </c>
      <c r="D1129" s="217">
        <v>45733.91631944444</v>
      </c>
      <c r="E1129" s="217">
        <v>45733.92716435185</v>
      </c>
      <c r="F1129" s="218" t="s">
        <v>281</v>
      </c>
      <c r="G1129" s="219" t="s">
        <v>3454</v>
      </c>
      <c r="H1129" s="216" t="s">
        <v>761</v>
      </c>
      <c r="I1129" s="216" t="s">
        <v>3455</v>
      </c>
    </row>
    <row r="1130">
      <c r="A1130" s="216" t="s">
        <v>3456</v>
      </c>
      <c r="B1130" s="216" t="s">
        <v>3457</v>
      </c>
      <c r="C1130" s="216" t="s">
        <v>3458</v>
      </c>
      <c r="D1130" s="217">
        <v>45529.85736111111</v>
      </c>
      <c r="E1130" s="217"/>
      <c r="F1130" s="218" t="s">
        <v>1259</v>
      </c>
      <c r="G1130" s="219" t="s">
        <v>3459</v>
      </c>
      <c r="H1130" s="216" t="s">
        <v>259</v>
      </c>
      <c r="I1130" s="216" t="s">
        <v>477</v>
      </c>
    </row>
    <row r="1131">
      <c r="A1131" s="212" t="s">
        <v>3460</v>
      </c>
      <c r="B1131" s="212" t="s">
        <v>3457</v>
      </c>
      <c r="C1131" s="212" t="s">
        <v>3458</v>
      </c>
      <c r="D1131" s="213">
        <v>45522.844189814816</v>
      </c>
      <c r="E1131" s="213"/>
      <c r="F1131" s="214" t="s">
        <v>1259</v>
      </c>
      <c r="G1131" s="215" t="s">
        <v>3461</v>
      </c>
      <c r="H1131" s="212" t="s">
        <v>259</v>
      </c>
      <c r="I1131" s="212" t="s">
        <v>477</v>
      </c>
    </row>
    <row r="1132">
      <c r="A1132" s="212" t="s">
        <v>3462</v>
      </c>
      <c r="B1132" s="212" t="s">
        <v>3457</v>
      </c>
      <c r="C1132" s="212" t="s">
        <v>3458</v>
      </c>
      <c r="D1132" s="213">
        <v>45515.82288194444</v>
      </c>
      <c r="E1132" s="213"/>
      <c r="F1132" s="214" t="s">
        <v>651</v>
      </c>
      <c r="G1132" s="215" t="s">
        <v>3463</v>
      </c>
      <c r="H1132" s="212" t="s">
        <v>259</v>
      </c>
      <c r="I1132" s="212" t="s">
        <v>477</v>
      </c>
    </row>
    <row r="1133">
      <c r="A1133" s="212" t="s">
        <v>3464</v>
      </c>
      <c r="B1133" s="212" t="s">
        <v>3457</v>
      </c>
      <c r="C1133" s="212" t="s">
        <v>3465</v>
      </c>
      <c r="D1133" s="213">
        <v>45704.47077546296</v>
      </c>
      <c r="E1133" s="213">
        <v>45705.611180555556</v>
      </c>
      <c r="F1133" s="214" t="s">
        <v>538</v>
      </c>
      <c r="G1133" s="215" t="s">
        <v>3294</v>
      </c>
      <c r="H1133" s="212" t="s">
        <v>259</v>
      </c>
      <c r="I1133" s="212" t="s">
        <v>477</v>
      </c>
    </row>
    <row r="1134">
      <c r="A1134" s="216" t="s">
        <v>3466</v>
      </c>
      <c r="B1134" s="216" t="s">
        <v>3467</v>
      </c>
      <c r="C1134" s="216" t="s">
        <v>3468</v>
      </c>
      <c r="D1134" s="217">
        <v>45703.58728009259</v>
      </c>
      <c r="E1134" s="217">
        <v>45705.503587962965</v>
      </c>
      <c r="F1134" s="218" t="s">
        <v>3469</v>
      </c>
      <c r="G1134" s="219" t="s">
        <v>3470</v>
      </c>
      <c r="H1134" s="216" t="s">
        <v>319</v>
      </c>
      <c r="I1134" s="216" t="s">
        <v>3039</v>
      </c>
    </row>
    <row r="1135">
      <c r="A1135" s="216" t="s">
        <v>3471</v>
      </c>
      <c r="B1135" s="216" t="s">
        <v>3467</v>
      </c>
      <c r="C1135" s="216" t="s">
        <v>3468</v>
      </c>
      <c r="D1135" s="217">
        <v>45746.899560185186</v>
      </c>
      <c r="E1135" s="217">
        <v>45747.583402777775</v>
      </c>
      <c r="F1135" s="218" t="s">
        <v>1124</v>
      </c>
      <c r="G1135" s="219" t="s">
        <v>3472</v>
      </c>
      <c r="H1135" s="216" t="s">
        <v>319</v>
      </c>
      <c r="I1135" s="216" t="s">
        <v>3039</v>
      </c>
    </row>
    <row r="1136">
      <c r="A1136" s="212" t="s">
        <v>3473</v>
      </c>
      <c r="B1136" s="212" t="s">
        <v>3467</v>
      </c>
      <c r="C1136" s="212" t="s">
        <v>3468</v>
      </c>
      <c r="D1136" s="213">
        <v>45760.73273148148</v>
      </c>
      <c r="E1136" s="213">
        <v>45761.60084490741</v>
      </c>
      <c r="F1136" s="214" t="s">
        <v>538</v>
      </c>
      <c r="G1136" s="215" t="s">
        <v>3294</v>
      </c>
      <c r="H1136" s="212" t="s">
        <v>319</v>
      </c>
      <c r="I1136" s="212" t="s">
        <v>3039</v>
      </c>
    </row>
    <row r="1137">
      <c r="A1137" s="216" t="s">
        <v>3474</v>
      </c>
      <c r="B1137" s="216" t="s">
        <v>3475</v>
      </c>
      <c r="C1137" s="216" t="s">
        <v>3476</v>
      </c>
      <c r="D1137" s="217">
        <v>45551.83325231481</v>
      </c>
      <c r="E1137" s="217"/>
      <c r="F1137" s="218" t="s">
        <v>3477</v>
      </c>
      <c r="G1137" s="219" t="s">
        <v>3478</v>
      </c>
      <c r="H1137" s="216" t="s">
        <v>346</v>
      </c>
      <c r="I1137" s="216" t="s">
        <v>2959</v>
      </c>
    </row>
    <row r="1138">
      <c r="A1138" s="216" t="s">
        <v>3479</v>
      </c>
      <c r="B1138" s="216" t="s">
        <v>3475</v>
      </c>
      <c r="C1138" s="216" t="s">
        <v>3476</v>
      </c>
      <c r="D1138" s="217">
        <v>45547.784525462965</v>
      </c>
      <c r="E1138" s="217"/>
      <c r="F1138" s="218" t="s">
        <v>470</v>
      </c>
      <c r="G1138" s="219" t="s">
        <v>3480</v>
      </c>
      <c r="H1138" s="216" t="s">
        <v>346</v>
      </c>
      <c r="I1138" s="216" t="s">
        <v>2959</v>
      </c>
    </row>
    <row r="1139">
      <c r="A1139" s="216" t="s">
        <v>3481</v>
      </c>
      <c r="B1139" s="216" t="s">
        <v>3475</v>
      </c>
      <c r="C1139" s="216" t="s">
        <v>3482</v>
      </c>
      <c r="D1139" s="217">
        <v>45541.770833333336</v>
      </c>
      <c r="E1139" s="217"/>
      <c r="F1139" s="218" t="s">
        <v>865</v>
      </c>
      <c r="G1139" s="219" t="s">
        <v>3483</v>
      </c>
      <c r="H1139" s="216" t="s">
        <v>356</v>
      </c>
      <c r="I1139" s="216" t="s">
        <v>3484</v>
      </c>
    </row>
    <row r="1140">
      <c r="A1140" s="212" t="s">
        <v>3485</v>
      </c>
      <c r="B1140" s="212" t="s">
        <v>3475</v>
      </c>
      <c r="C1140" s="212" t="s">
        <v>3486</v>
      </c>
      <c r="D1140" s="213">
        <v>45537.8246875</v>
      </c>
      <c r="E1140" s="213"/>
      <c r="F1140" s="214" t="s">
        <v>3487</v>
      </c>
      <c r="G1140" s="215" t="s">
        <v>3488</v>
      </c>
      <c r="H1140" s="212" t="s">
        <v>811</v>
      </c>
      <c r="I1140" s="212" t="s">
        <v>3489</v>
      </c>
    </row>
    <row r="1141">
      <c r="A1141" s="212" t="s">
        <v>3490</v>
      </c>
      <c r="B1141" s="212" t="s">
        <v>3475</v>
      </c>
      <c r="C1141" s="212" t="s">
        <v>3491</v>
      </c>
      <c r="D1141" s="213">
        <v>45537.49355324074</v>
      </c>
      <c r="E1141" s="213"/>
      <c r="F1141" s="214" t="s">
        <v>493</v>
      </c>
      <c r="G1141" s="215" t="s">
        <v>3492</v>
      </c>
      <c r="H1141" s="212" t="s">
        <v>346</v>
      </c>
      <c r="I1141" s="212" t="s">
        <v>2959</v>
      </c>
    </row>
    <row r="1142">
      <c r="A1142" s="216" t="s">
        <v>3493</v>
      </c>
      <c r="B1142" s="216" t="s">
        <v>3475</v>
      </c>
      <c r="C1142" s="216" t="s">
        <v>3491</v>
      </c>
      <c r="D1142" s="217">
        <v>45535.58804398148</v>
      </c>
      <c r="E1142" s="225"/>
      <c r="F1142" s="218" t="s">
        <v>493</v>
      </c>
      <c r="G1142" s="219" t="s">
        <v>3492</v>
      </c>
      <c r="H1142" s="216" t="s">
        <v>811</v>
      </c>
      <c r="I1142" s="216" t="s">
        <v>2959</v>
      </c>
    </row>
    <row r="1143">
      <c r="A1143" s="212" t="s">
        <v>3494</v>
      </c>
      <c r="B1143" s="212" t="s">
        <v>3475</v>
      </c>
      <c r="C1143" s="212" t="s">
        <v>3495</v>
      </c>
      <c r="D1143" s="213">
        <v>45521.74576388889</v>
      </c>
      <c r="E1143" s="213"/>
      <c r="F1143" s="214" t="s">
        <v>3496</v>
      </c>
      <c r="G1143" s="215" t="s">
        <v>3497</v>
      </c>
      <c r="H1143" s="212" t="s">
        <v>811</v>
      </c>
      <c r="I1143" s="212" t="s">
        <v>2959</v>
      </c>
    </row>
    <row r="1144">
      <c r="A1144" s="216" t="s">
        <v>3498</v>
      </c>
      <c r="B1144" s="216" t="s">
        <v>3475</v>
      </c>
      <c r="C1144" s="216" t="s">
        <v>3495</v>
      </c>
      <c r="D1144" s="217">
        <v>45506.784050925926</v>
      </c>
      <c r="E1144" s="217"/>
      <c r="F1144" s="218" t="s">
        <v>368</v>
      </c>
      <c r="G1144" s="219" t="s">
        <v>3499</v>
      </c>
      <c r="H1144" s="216" t="s">
        <v>811</v>
      </c>
      <c r="I1144" s="216" t="s">
        <v>2959</v>
      </c>
    </row>
    <row r="1145">
      <c r="A1145" s="212" t="s">
        <v>3500</v>
      </c>
      <c r="B1145" s="212" t="s">
        <v>3475</v>
      </c>
      <c r="C1145" s="212" t="s">
        <v>3486</v>
      </c>
      <c r="D1145" s="213">
        <v>45506.783113425925</v>
      </c>
      <c r="E1145" s="213"/>
      <c r="F1145" s="214" t="s">
        <v>2601</v>
      </c>
      <c r="G1145" s="215" t="s">
        <v>3501</v>
      </c>
      <c r="H1145" s="212" t="s">
        <v>811</v>
      </c>
      <c r="I1145" s="212" t="s">
        <v>3489</v>
      </c>
    </row>
    <row r="1146">
      <c r="A1146" s="216" t="s">
        <v>3502</v>
      </c>
      <c r="B1146" s="216" t="s">
        <v>3475</v>
      </c>
      <c r="C1146" s="216" t="s">
        <v>3495</v>
      </c>
      <c r="D1146" s="217">
        <v>45485.75399305556</v>
      </c>
      <c r="E1146" s="217"/>
      <c r="F1146" s="218" t="s">
        <v>3503</v>
      </c>
      <c r="G1146" s="219" t="s">
        <v>3504</v>
      </c>
      <c r="H1146" s="216" t="s">
        <v>811</v>
      </c>
      <c r="I1146" s="216" t="s">
        <v>2959</v>
      </c>
    </row>
    <row r="1147">
      <c r="A1147" s="216" t="s">
        <v>3502</v>
      </c>
      <c r="B1147" s="216" t="s">
        <v>3475</v>
      </c>
      <c r="C1147" s="216" t="s">
        <v>3495</v>
      </c>
      <c r="D1147" s="217">
        <v>45485.75399305556</v>
      </c>
      <c r="E1147" s="217"/>
      <c r="F1147" s="218" t="s">
        <v>3503</v>
      </c>
      <c r="G1147" s="219" t="s">
        <v>3504</v>
      </c>
      <c r="H1147" s="216" t="s">
        <v>811</v>
      </c>
      <c r="I1147" s="216" t="s">
        <v>2959</v>
      </c>
    </row>
    <row r="1148">
      <c r="A1148" s="216" t="s">
        <v>3505</v>
      </c>
      <c r="B1148" s="216" t="s">
        <v>3475</v>
      </c>
      <c r="C1148" s="216" t="s">
        <v>3506</v>
      </c>
      <c r="D1148" s="217">
        <v>45465.71344907407</v>
      </c>
      <c r="E1148" s="217"/>
      <c r="F1148" s="218" t="s">
        <v>909</v>
      </c>
      <c r="G1148" s="219" t="s">
        <v>3507</v>
      </c>
      <c r="H1148" s="216" t="s">
        <v>356</v>
      </c>
      <c r="I1148" s="216" t="s">
        <v>3489</v>
      </c>
    </row>
    <row r="1149">
      <c r="A1149" s="212" t="s">
        <v>3508</v>
      </c>
      <c r="B1149" s="212" t="s">
        <v>3475</v>
      </c>
      <c r="C1149" s="212" t="s">
        <v>3495</v>
      </c>
      <c r="D1149" s="213">
        <v>45465.712222222224</v>
      </c>
      <c r="E1149" s="213"/>
      <c r="F1149" s="214" t="s">
        <v>3509</v>
      </c>
      <c r="G1149" s="215" t="s">
        <v>3510</v>
      </c>
      <c r="H1149" s="212" t="s">
        <v>811</v>
      </c>
      <c r="I1149" s="212" t="s">
        <v>2959</v>
      </c>
    </row>
    <row r="1150">
      <c r="A1150" s="216" t="s">
        <v>3511</v>
      </c>
      <c r="B1150" s="216" t="s">
        <v>3475</v>
      </c>
      <c r="C1150" s="216" t="s">
        <v>3495</v>
      </c>
      <c r="D1150" s="217">
        <v>45436.78025462963</v>
      </c>
      <c r="E1150" s="217">
        <v>45437.316099537034</v>
      </c>
      <c r="F1150" s="218" t="s">
        <v>281</v>
      </c>
      <c r="G1150" s="219" t="s">
        <v>1268</v>
      </c>
      <c r="H1150" s="216" t="s">
        <v>811</v>
      </c>
      <c r="I1150" s="216" t="s">
        <v>2959</v>
      </c>
    </row>
    <row r="1151">
      <c r="A1151" s="212" t="s">
        <v>3512</v>
      </c>
      <c r="B1151" s="212" t="s">
        <v>3513</v>
      </c>
      <c r="C1151" s="212" t="s">
        <v>3514</v>
      </c>
      <c r="D1151" s="213">
        <v>45528.781701388885</v>
      </c>
      <c r="E1151" s="213"/>
      <c r="F1151" s="214" t="s">
        <v>572</v>
      </c>
      <c r="G1151" s="215" t="s">
        <v>3515</v>
      </c>
      <c r="H1151" s="212" t="s">
        <v>3516</v>
      </c>
      <c r="I1151" s="212" t="s">
        <v>3517</v>
      </c>
    </row>
    <row r="1152">
      <c r="A1152" s="216" t="s">
        <v>3518</v>
      </c>
      <c r="B1152" s="216" t="s">
        <v>3513</v>
      </c>
      <c r="C1152" s="216" t="s">
        <v>3519</v>
      </c>
      <c r="D1152" s="217">
        <v>45528.78105324074</v>
      </c>
      <c r="E1152" s="217"/>
      <c r="F1152" s="218" t="s">
        <v>498</v>
      </c>
      <c r="G1152" s="219" t="s">
        <v>3520</v>
      </c>
      <c r="H1152" s="216" t="s">
        <v>561</v>
      </c>
      <c r="I1152" s="216" t="s">
        <v>640</v>
      </c>
    </row>
    <row r="1153">
      <c r="A1153" s="212" t="s">
        <v>3521</v>
      </c>
      <c r="B1153" s="212" t="s">
        <v>3513</v>
      </c>
      <c r="C1153" s="212" t="s">
        <v>3522</v>
      </c>
      <c r="D1153" s="213">
        <v>45473.52247685185</v>
      </c>
      <c r="E1153" s="213"/>
      <c r="F1153" s="214" t="s">
        <v>431</v>
      </c>
      <c r="G1153" s="215" t="s">
        <v>3523</v>
      </c>
      <c r="H1153" s="212" t="s">
        <v>3524</v>
      </c>
      <c r="I1153" s="212" t="s">
        <v>3525</v>
      </c>
    </row>
    <row r="1154">
      <c r="A1154" s="212" t="s">
        <v>3526</v>
      </c>
      <c r="B1154" s="212" t="s">
        <v>3527</v>
      </c>
      <c r="C1154" s="212" t="s">
        <v>3528</v>
      </c>
      <c r="D1154" s="213">
        <v>45745.7527662037</v>
      </c>
      <c r="E1154" s="213">
        <v>45746.5278125</v>
      </c>
      <c r="F1154" s="214" t="s">
        <v>435</v>
      </c>
      <c r="G1154" s="215" t="s">
        <v>3529</v>
      </c>
      <c r="H1154" s="212" t="s">
        <v>265</v>
      </c>
      <c r="I1154" s="212" t="s">
        <v>626</v>
      </c>
    </row>
    <row r="1155">
      <c r="A1155" s="216" t="s">
        <v>3530</v>
      </c>
      <c r="B1155" s="216" t="s">
        <v>3531</v>
      </c>
      <c r="C1155" s="216" t="s">
        <v>3532</v>
      </c>
      <c r="D1155" s="217">
        <v>45705.647824074076</v>
      </c>
      <c r="E1155" s="217">
        <v>45705.80569444445</v>
      </c>
      <c r="F1155" s="218" t="s">
        <v>435</v>
      </c>
      <c r="G1155" s="219" t="s">
        <v>3529</v>
      </c>
      <c r="H1155" s="216" t="s">
        <v>259</v>
      </c>
      <c r="I1155" s="216" t="s">
        <v>626</v>
      </c>
    </row>
    <row r="1156">
      <c r="A1156" s="216" t="s">
        <v>3533</v>
      </c>
      <c r="B1156" s="216" t="s">
        <v>3534</v>
      </c>
      <c r="C1156" s="216" t="s">
        <v>3535</v>
      </c>
      <c r="D1156" s="217">
        <v>45706.57885416667</v>
      </c>
      <c r="E1156" s="217">
        <v>45708.82643518518</v>
      </c>
      <c r="F1156" s="218" t="s">
        <v>580</v>
      </c>
      <c r="G1156" s="219" t="s">
        <v>945</v>
      </c>
      <c r="H1156" s="216" t="s">
        <v>356</v>
      </c>
      <c r="I1156" s="216" t="s">
        <v>1302</v>
      </c>
    </row>
    <row r="1157">
      <c r="A1157" s="216" t="s">
        <v>3536</v>
      </c>
      <c r="B1157" s="216" t="s">
        <v>3537</v>
      </c>
      <c r="C1157" s="216" t="s">
        <v>3538</v>
      </c>
      <c r="D1157" s="217">
        <v>45734.83943287037</v>
      </c>
      <c r="E1157" s="217">
        <v>45734.85074074074</v>
      </c>
      <c r="F1157" s="218" t="s">
        <v>3539</v>
      </c>
      <c r="G1157" s="219" t="s">
        <v>3540</v>
      </c>
      <c r="H1157" s="216" t="s">
        <v>561</v>
      </c>
      <c r="I1157" s="216" t="s">
        <v>786</v>
      </c>
    </row>
    <row r="1158">
      <c r="A1158" s="216" t="s">
        <v>3541</v>
      </c>
      <c r="B1158" s="216" t="s">
        <v>3537</v>
      </c>
      <c r="C1158" s="216" t="s">
        <v>3542</v>
      </c>
      <c r="D1158" s="217">
        <v>45734.83278935185</v>
      </c>
      <c r="E1158" s="217">
        <v>45735.54866898148</v>
      </c>
      <c r="F1158" s="218" t="s">
        <v>503</v>
      </c>
      <c r="G1158" s="219" t="s">
        <v>3543</v>
      </c>
      <c r="H1158" s="216" t="s">
        <v>259</v>
      </c>
      <c r="I1158" s="216" t="s">
        <v>567</v>
      </c>
    </row>
    <row r="1159">
      <c r="A1159" s="212" t="s">
        <v>3544</v>
      </c>
      <c r="B1159" s="212" t="s">
        <v>3537</v>
      </c>
      <c r="C1159" s="212" t="s">
        <v>3545</v>
      </c>
      <c r="D1159" s="213">
        <v>45734.832094907404</v>
      </c>
      <c r="E1159" s="213">
        <v>45734.843831018516</v>
      </c>
      <c r="F1159" s="214" t="s">
        <v>317</v>
      </c>
      <c r="G1159" s="215" t="s">
        <v>3546</v>
      </c>
      <c r="H1159" s="212" t="s">
        <v>561</v>
      </c>
      <c r="I1159" s="212" t="s">
        <v>786</v>
      </c>
    </row>
    <row r="1160">
      <c r="A1160" s="212" t="s">
        <v>3547</v>
      </c>
      <c r="B1160" s="212" t="s">
        <v>3537</v>
      </c>
      <c r="C1160" s="212" t="s">
        <v>3545</v>
      </c>
      <c r="D1160" s="213">
        <v>45761.831875</v>
      </c>
      <c r="E1160" s="213">
        <v>45761.84390046296</v>
      </c>
      <c r="F1160" s="214" t="s">
        <v>380</v>
      </c>
      <c r="G1160" s="215" t="s">
        <v>2879</v>
      </c>
      <c r="H1160" s="212" t="s">
        <v>561</v>
      </c>
      <c r="I1160" s="212" t="s">
        <v>786</v>
      </c>
    </row>
    <row r="1161">
      <c r="A1161" s="216" t="s">
        <v>3548</v>
      </c>
      <c r="B1161" s="216" t="s">
        <v>3537</v>
      </c>
      <c r="C1161" s="216" t="s">
        <v>3549</v>
      </c>
      <c r="D1161" s="217">
        <v>45761.83128472222</v>
      </c>
      <c r="E1161" s="217">
        <v>45762.47928240741</v>
      </c>
      <c r="F1161" s="218" t="s">
        <v>3550</v>
      </c>
      <c r="G1161" s="219" t="s">
        <v>3551</v>
      </c>
      <c r="H1161" s="216" t="s">
        <v>259</v>
      </c>
      <c r="I1161" s="216" t="s">
        <v>399</v>
      </c>
    </row>
    <row r="1162">
      <c r="A1162" s="216" t="s">
        <v>3552</v>
      </c>
      <c r="B1162" s="216" t="s">
        <v>3537</v>
      </c>
      <c r="C1162" s="216" t="s">
        <v>3538</v>
      </c>
      <c r="D1162" s="217">
        <v>45749.846597222226</v>
      </c>
      <c r="E1162" s="217">
        <v>45749.85768518518</v>
      </c>
      <c r="F1162" s="218" t="s">
        <v>269</v>
      </c>
      <c r="G1162" s="219" t="s">
        <v>3553</v>
      </c>
      <c r="H1162" s="216" t="s">
        <v>561</v>
      </c>
      <c r="I1162" s="216" t="s">
        <v>786</v>
      </c>
    </row>
    <row r="1163">
      <c r="A1163" s="216" t="s">
        <v>3554</v>
      </c>
      <c r="B1163" s="216" t="s">
        <v>3555</v>
      </c>
      <c r="C1163" s="216" t="s">
        <v>3556</v>
      </c>
      <c r="D1163" s="217">
        <v>45505.895150462966</v>
      </c>
      <c r="E1163" s="217"/>
      <c r="F1163" s="218" t="s">
        <v>291</v>
      </c>
      <c r="G1163" s="219" t="s">
        <v>3557</v>
      </c>
      <c r="H1163" s="216" t="s">
        <v>259</v>
      </c>
      <c r="I1163" s="216" t="s">
        <v>626</v>
      </c>
    </row>
    <row r="1164">
      <c r="A1164" s="212" t="s">
        <v>3558</v>
      </c>
      <c r="B1164" s="212" t="s">
        <v>3559</v>
      </c>
      <c r="C1164" s="212" t="s">
        <v>3560</v>
      </c>
      <c r="D1164" s="213">
        <v>45553.82880787037</v>
      </c>
      <c r="E1164" s="226"/>
      <c r="F1164" s="214" t="s">
        <v>3561</v>
      </c>
      <c r="G1164" s="215" t="s">
        <v>3562</v>
      </c>
      <c r="H1164" s="212" t="s">
        <v>265</v>
      </c>
      <c r="I1164" s="212" t="s">
        <v>449</v>
      </c>
    </row>
    <row r="1165">
      <c r="A1165" s="216" t="s">
        <v>3563</v>
      </c>
      <c r="B1165" s="216" t="s">
        <v>3559</v>
      </c>
      <c r="C1165" s="216" t="s">
        <v>3560</v>
      </c>
      <c r="D1165" s="217">
        <v>45491.89144675926</v>
      </c>
      <c r="E1165" s="217"/>
      <c r="F1165" s="218" t="s">
        <v>2473</v>
      </c>
      <c r="G1165" s="219" t="s">
        <v>3564</v>
      </c>
      <c r="H1165" s="216" t="s">
        <v>265</v>
      </c>
      <c r="I1165" s="216" t="s">
        <v>449</v>
      </c>
    </row>
    <row r="1166">
      <c r="A1166" s="216" t="s">
        <v>3565</v>
      </c>
      <c r="B1166" s="216" t="s">
        <v>3559</v>
      </c>
      <c r="C1166" s="216" t="s">
        <v>3560</v>
      </c>
      <c r="D1166" s="217">
        <v>45485.891921296294</v>
      </c>
      <c r="E1166" s="217"/>
      <c r="F1166" s="218" t="s">
        <v>1779</v>
      </c>
      <c r="G1166" s="219" t="s">
        <v>3566</v>
      </c>
      <c r="H1166" s="216" t="s">
        <v>265</v>
      </c>
      <c r="I1166" s="216" t="s">
        <v>449</v>
      </c>
    </row>
    <row r="1167">
      <c r="A1167" s="216" t="s">
        <v>3563</v>
      </c>
      <c r="B1167" s="216" t="s">
        <v>3559</v>
      </c>
      <c r="C1167" s="216" t="s">
        <v>3560</v>
      </c>
      <c r="D1167" s="217">
        <v>45491.89144675926</v>
      </c>
      <c r="E1167" s="217"/>
      <c r="F1167" s="218" t="s">
        <v>2473</v>
      </c>
      <c r="G1167" s="219" t="s">
        <v>3564</v>
      </c>
      <c r="H1167" s="216" t="s">
        <v>265</v>
      </c>
      <c r="I1167" s="216" t="s">
        <v>449</v>
      </c>
    </row>
    <row r="1168">
      <c r="A1168" s="216" t="s">
        <v>3565</v>
      </c>
      <c r="B1168" s="216" t="s">
        <v>3559</v>
      </c>
      <c r="C1168" s="216" t="s">
        <v>3560</v>
      </c>
      <c r="D1168" s="217">
        <v>45485.891921296294</v>
      </c>
      <c r="E1168" s="217"/>
      <c r="F1168" s="218" t="s">
        <v>1779</v>
      </c>
      <c r="G1168" s="219" t="s">
        <v>3566</v>
      </c>
      <c r="H1168" s="216" t="s">
        <v>265</v>
      </c>
      <c r="I1168" s="216" t="s">
        <v>449</v>
      </c>
    </row>
    <row r="1169">
      <c r="A1169" s="216" t="s">
        <v>3567</v>
      </c>
      <c r="B1169" s="216" t="s">
        <v>3559</v>
      </c>
      <c r="C1169" s="216" t="s">
        <v>3560</v>
      </c>
      <c r="D1169" s="217">
        <v>45470.85057870371</v>
      </c>
      <c r="E1169" s="217"/>
      <c r="F1169" s="218" t="s">
        <v>291</v>
      </c>
      <c r="G1169" s="219" t="s">
        <v>3568</v>
      </c>
      <c r="H1169" s="216" t="s">
        <v>265</v>
      </c>
      <c r="I1169" s="216" t="s">
        <v>449</v>
      </c>
    </row>
    <row r="1170">
      <c r="A1170" s="212" t="s">
        <v>3569</v>
      </c>
      <c r="B1170" s="212" t="s">
        <v>3559</v>
      </c>
      <c r="C1170" s="212" t="s">
        <v>3560</v>
      </c>
      <c r="D1170" s="213">
        <v>45464.880949074075</v>
      </c>
      <c r="E1170" s="213"/>
      <c r="F1170" s="214" t="s">
        <v>3403</v>
      </c>
      <c r="G1170" s="215" t="s">
        <v>3570</v>
      </c>
      <c r="H1170" s="212" t="s">
        <v>265</v>
      </c>
      <c r="I1170" s="212" t="s">
        <v>449</v>
      </c>
    </row>
    <row r="1171">
      <c r="A1171" s="212" t="s">
        <v>3571</v>
      </c>
      <c r="B1171" s="212" t="s">
        <v>3559</v>
      </c>
      <c r="C1171" s="212" t="s">
        <v>3560</v>
      </c>
      <c r="D1171" s="213">
        <v>45456.90079861111</v>
      </c>
      <c r="E1171" s="213">
        <v>45457.4687962963</v>
      </c>
      <c r="F1171" s="214" t="s">
        <v>1124</v>
      </c>
      <c r="G1171" s="215" t="s">
        <v>3572</v>
      </c>
      <c r="H1171" s="212" t="s">
        <v>265</v>
      </c>
      <c r="I1171" s="212" t="s">
        <v>449</v>
      </c>
    </row>
    <row r="1172">
      <c r="A1172" s="216" t="s">
        <v>3573</v>
      </c>
      <c r="B1172" s="216" t="s">
        <v>3559</v>
      </c>
      <c r="C1172" s="216" t="s">
        <v>3560</v>
      </c>
      <c r="D1172" s="217">
        <v>45435.905173611114</v>
      </c>
      <c r="E1172" s="217">
        <v>45436.48967592593</v>
      </c>
      <c r="F1172" s="218" t="s">
        <v>3574</v>
      </c>
      <c r="G1172" s="219" t="s">
        <v>3575</v>
      </c>
      <c r="H1172" s="216" t="s">
        <v>265</v>
      </c>
      <c r="I1172" s="216" t="s">
        <v>449</v>
      </c>
    </row>
    <row r="1173">
      <c r="A1173" s="216" t="s">
        <v>3576</v>
      </c>
      <c r="B1173" s="216" t="s">
        <v>3559</v>
      </c>
      <c r="C1173" s="216" t="s">
        <v>3560</v>
      </c>
      <c r="D1173" s="217">
        <v>45434.82902777778</v>
      </c>
      <c r="E1173" s="217">
        <v>45436.489641203705</v>
      </c>
      <c r="F1173" s="218" t="s">
        <v>538</v>
      </c>
      <c r="G1173" s="219" t="s">
        <v>3577</v>
      </c>
      <c r="H1173" s="216" t="s">
        <v>265</v>
      </c>
      <c r="I1173" s="216" t="s">
        <v>449</v>
      </c>
    </row>
    <row r="1174">
      <c r="A1174" s="212" t="s">
        <v>3578</v>
      </c>
      <c r="B1174" s="212" t="s">
        <v>3579</v>
      </c>
      <c r="C1174" s="212" t="s">
        <v>3580</v>
      </c>
      <c r="D1174" s="213">
        <v>45543.6333912037</v>
      </c>
      <c r="E1174" s="213"/>
      <c r="F1174" s="214" t="s">
        <v>2966</v>
      </c>
      <c r="G1174" s="215" t="s">
        <v>3581</v>
      </c>
      <c r="H1174" s="212" t="s">
        <v>259</v>
      </c>
      <c r="I1174" s="212" t="s">
        <v>1080</v>
      </c>
    </row>
    <row r="1175">
      <c r="A1175" s="216" t="s">
        <v>3582</v>
      </c>
      <c r="B1175" s="216" t="s">
        <v>3579</v>
      </c>
      <c r="C1175" s="216" t="s">
        <v>3583</v>
      </c>
      <c r="D1175" s="217">
        <v>45469.84756944444</v>
      </c>
      <c r="E1175" s="217"/>
      <c r="F1175" s="218" t="s">
        <v>722</v>
      </c>
      <c r="G1175" s="219" t="s">
        <v>3584</v>
      </c>
      <c r="H1175" s="216" t="s">
        <v>259</v>
      </c>
      <c r="I1175" s="216" t="s">
        <v>1080</v>
      </c>
    </row>
    <row r="1176">
      <c r="A1176" s="216" t="s">
        <v>3585</v>
      </c>
      <c r="B1176" s="216" t="s">
        <v>3579</v>
      </c>
      <c r="C1176" s="216" t="s">
        <v>3580</v>
      </c>
      <c r="D1176" s="217">
        <v>45459.918229166666</v>
      </c>
      <c r="E1176" s="217">
        <v>45459.722233796296</v>
      </c>
      <c r="F1176" s="218" t="s">
        <v>498</v>
      </c>
      <c r="G1176" s="219" t="s">
        <v>3586</v>
      </c>
      <c r="H1176" s="216" t="s">
        <v>259</v>
      </c>
      <c r="I1176" s="216" t="s">
        <v>1080</v>
      </c>
    </row>
    <row r="1177">
      <c r="A1177" s="216" t="s">
        <v>3587</v>
      </c>
      <c r="B1177" s="216" t="s">
        <v>3579</v>
      </c>
      <c r="C1177" s="216" t="s">
        <v>3580</v>
      </c>
      <c r="D1177" s="217">
        <v>45444.91175925926</v>
      </c>
      <c r="E1177" s="217">
        <v>45444.71530092593</v>
      </c>
      <c r="F1177" s="218" t="s">
        <v>431</v>
      </c>
      <c r="G1177" s="219" t="s">
        <v>3588</v>
      </c>
      <c r="H1177" s="216" t="s">
        <v>259</v>
      </c>
      <c r="I1177" s="216" t="s">
        <v>1080</v>
      </c>
    </row>
    <row r="1178">
      <c r="A1178" s="212" t="s">
        <v>3589</v>
      </c>
      <c r="B1178" s="212" t="s">
        <v>3579</v>
      </c>
      <c r="C1178" s="212" t="s">
        <v>3580</v>
      </c>
      <c r="D1178" s="213">
        <v>45431.63077546296</v>
      </c>
      <c r="E1178" s="213">
        <v>45431.43413194444</v>
      </c>
      <c r="F1178" s="214" t="s">
        <v>967</v>
      </c>
      <c r="G1178" s="215" t="s">
        <v>3590</v>
      </c>
      <c r="H1178" s="212" t="s">
        <v>259</v>
      </c>
      <c r="I1178" s="212" t="s">
        <v>1080</v>
      </c>
    </row>
    <row r="1179">
      <c r="A1179" s="216" t="s">
        <v>3591</v>
      </c>
      <c r="B1179" s="216" t="s">
        <v>3579</v>
      </c>
      <c r="C1179" s="216" t="s">
        <v>3592</v>
      </c>
      <c r="D1179" s="217">
        <v>45746.622407407405</v>
      </c>
      <c r="E1179" s="217">
        <v>45746.63207175926</v>
      </c>
      <c r="F1179" s="218" t="s">
        <v>503</v>
      </c>
      <c r="G1179" s="219" t="s">
        <v>1841</v>
      </c>
      <c r="H1179" s="216" t="s">
        <v>265</v>
      </c>
      <c r="I1179" s="216" t="s">
        <v>304</v>
      </c>
    </row>
    <row r="1180">
      <c r="A1180" s="212" t="s">
        <v>3593</v>
      </c>
      <c r="B1180" s="212" t="s">
        <v>3579</v>
      </c>
      <c r="C1180" s="212" t="s">
        <v>3594</v>
      </c>
      <c r="D1180" s="213">
        <v>45776.6390625</v>
      </c>
      <c r="E1180" s="213">
        <v>45776.65975694444</v>
      </c>
      <c r="F1180" s="214" t="s">
        <v>1259</v>
      </c>
      <c r="G1180" s="215" t="s">
        <v>1351</v>
      </c>
      <c r="H1180" s="212" t="s">
        <v>632</v>
      </c>
      <c r="I1180" s="212" t="s">
        <v>294</v>
      </c>
    </row>
    <row r="1181">
      <c r="A1181" s="212" t="s">
        <v>3595</v>
      </c>
      <c r="B1181" s="212" t="s">
        <v>3579</v>
      </c>
      <c r="C1181" s="212" t="s">
        <v>3596</v>
      </c>
      <c r="D1181" s="213">
        <v>45760.79877314815</v>
      </c>
      <c r="E1181" s="213">
        <v>45762.475810185184</v>
      </c>
      <c r="F1181" s="214" t="s">
        <v>538</v>
      </c>
      <c r="G1181" s="215" t="s">
        <v>2273</v>
      </c>
      <c r="H1181" s="212" t="s">
        <v>416</v>
      </c>
      <c r="I1181" s="212" t="s">
        <v>3597</v>
      </c>
    </row>
    <row r="1182">
      <c r="A1182" s="216" t="s">
        <v>3598</v>
      </c>
      <c r="B1182" s="216" t="s">
        <v>3579</v>
      </c>
      <c r="C1182" s="216" t="s">
        <v>3599</v>
      </c>
      <c r="D1182" s="217">
        <v>45760.798055555555</v>
      </c>
      <c r="E1182" s="217">
        <v>45760.80909722222</v>
      </c>
      <c r="F1182" s="218" t="s">
        <v>291</v>
      </c>
      <c r="G1182" s="219" t="s">
        <v>3600</v>
      </c>
      <c r="H1182" s="216" t="s">
        <v>265</v>
      </c>
      <c r="I1182" s="216" t="s">
        <v>1196</v>
      </c>
    </row>
    <row r="1183">
      <c r="A1183" s="212" t="s">
        <v>3601</v>
      </c>
      <c r="B1183" s="212" t="s">
        <v>3579</v>
      </c>
      <c r="C1183" s="212" t="s">
        <v>3602</v>
      </c>
      <c r="D1183" s="213">
        <v>45749.6394212963</v>
      </c>
      <c r="E1183" s="213">
        <v>45753.48626157407</v>
      </c>
      <c r="F1183" s="214" t="s">
        <v>1124</v>
      </c>
      <c r="G1183" s="215" t="s">
        <v>3603</v>
      </c>
      <c r="H1183" s="212" t="s">
        <v>416</v>
      </c>
      <c r="I1183" s="212" t="s">
        <v>3597</v>
      </c>
    </row>
    <row r="1184">
      <c r="A1184" s="212" t="s">
        <v>3604</v>
      </c>
      <c r="B1184" s="212" t="s">
        <v>3605</v>
      </c>
      <c r="C1184" s="212" t="s">
        <v>3606</v>
      </c>
      <c r="D1184" s="213">
        <v>45504.88774305556</v>
      </c>
      <c r="E1184" s="213"/>
      <c r="F1184" s="214" t="s">
        <v>435</v>
      </c>
      <c r="G1184" s="215" t="s">
        <v>3607</v>
      </c>
      <c r="H1184" s="212" t="s">
        <v>259</v>
      </c>
      <c r="I1184" s="212" t="s">
        <v>626</v>
      </c>
    </row>
    <row r="1185">
      <c r="A1185" s="216" t="s">
        <v>3608</v>
      </c>
      <c r="B1185" s="216" t="s">
        <v>3609</v>
      </c>
      <c r="C1185" s="216" t="s">
        <v>3610</v>
      </c>
      <c r="D1185" s="217">
        <v>45548.65336805556</v>
      </c>
      <c r="E1185" s="217"/>
      <c r="F1185" s="218" t="s">
        <v>330</v>
      </c>
      <c r="G1185" s="219" t="s">
        <v>3611</v>
      </c>
      <c r="H1185" s="216" t="s">
        <v>761</v>
      </c>
      <c r="I1185" s="216" t="s">
        <v>2560</v>
      </c>
    </row>
    <row r="1186">
      <c r="A1186" s="212" t="s">
        <v>3612</v>
      </c>
      <c r="B1186" s="212" t="s">
        <v>3609</v>
      </c>
      <c r="C1186" s="212" t="s">
        <v>3613</v>
      </c>
      <c r="D1186" s="213">
        <v>45709.740277777775</v>
      </c>
      <c r="E1186" s="213">
        <v>45714.42717592593</v>
      </c>
      <c r="F1186" s="214" t="s">
        <v>722</v>
      </c>
      <c r="G1186" s="215" t="s">
        <v>3614</v>
      </c>
      <c r="H1186" s="212" t="s">
        <v>259</v>
      </c>
      <c r="I1186" s="212" t="s">
        <v>277</v>
      </c>
    </row>
    <row r="1187">
      <c r="A1187" s="216" t="s">
        <v>3615</v>
      </c>
      <c r="B1187" s="216" t="s">
        <v>3616</v>
      </c>
      <c r="C1187" s="216" t="s">
        <v>3617</v>
      </c>
      <c r="D1187" s="217">
        <v>45551.82891203704</v>
      </c>
      <c r="E1187" s="217"/>
      <c r="F1187" s="218" t="s">
        <v>317</v>
      </c>
      <c r="G1187" s="219" t="s">
        <v>3618</v>
      </c>
      <c r="H1187" s="216" t="s">
        <v>265</v>
      </c>
      <c r="I1187" s="216" t="s">
        <v>399</v>
      </c>
    </row>
    <row r="1188">
      <c r="A1188" s="216" t="s">
        <v>3619</v>
      </c>
      <c r="B1188" s="216" t="s">
        <v>3616</v>
      </c>
      <c r="C1188" s="216" t="s">
        <v>3620</v>
      </c>
      <c r="D1188" s="217">
        <v>45546.84311342592</v>
      </c>
      <c r="E1188" s="217"/>
      <c r="F1188" s="218" t="s">
        <v>503</v>
      </c>
      <c r="G1188" s="219" t="s">
        <v>3621</v>
      </c>
      <c r="H1188" s="216" t="s">
        <v>265</v>
      </c>
      <c r="I1188" s="216" t="s">
        <v>399</v>
      </c>
    </row>
    <row r="1189">
      <c r="A1189" s="212" t="s">
        <v>3622</v>
      </c>
      <c r="B1189" s="212" t="s">
        <v>3616</v>
      </c>
      <c r="C1189" s="212" t="s">
        <v>3617</v>
      </c>
      <c r="D1189" s="213">
        <v>45543.60912037037</v>
      </c>
      <c r="E1189" s="213"/>
      <c r="F1189" s="214" t="s">
        <v>317</v>
      </c>
      <c r="G1189" s="215" t="s">
        <v>3623</v>
      </c>
      <c r="H1189" s="212" t="s">
        <v>265</v>
      </c>
      <c r="I1189" s="212" t="s">
        <v>399</v>
      </c>
    </row>
    <row r="1190">
      <c r="A1190" s="216" t="s">
        <v>3624</v>
      </c>
      <c r="B1190" s="216" t="s">
        <v>3616</v>
      </c>
      <c r="C1190" s="216" t="s">
        <v>3617</v>
      </c>
      <c r="D1190" s="217">
        <v>45528.71765046296</v>
      </c>
      <c r="E1190" s="217"/>
      <c r="F1190" s="218" t="s">
        <v>317</v>
      </c>
      <c r="G1190" s="219" t="s">
        <v>3625</v>
      </c>
      <c r="H1190" s="216" t="s">
        <v>265</v>
      </c>
      <c r="I1190" s="216" t="s">
        <v>399</v>
      </c>
    </row>
    <row r="1191">
      <c r="A1191" s="220" t="s">
        <v>3626</v>
      </c>
      <c r="B1191" s="220" t="s">
        <v>3616</v>
      </c>
      <c r="C1191" s="220" t="s">
        <v>3620</v>
      </c>
      <c r="D1191" s="221">
        <v>45514.86875</v>
      </c>
      <c r="E1191" s="221"/>
      <c r="F1191" s="222" t="s">
        <v>503</v>
      </c>
      <c r="G1191" s="223" t="s">
        <v>2078</v>
      </c>
      <c r="H1191" s="220" t="s">
        <v>265</v>
      </c>
      <c r="I1191" s="220" t="s">
        <v>399</v>
      </c>
    </row>
    <row r="1192">
      <c r="A1192" s="212" t="s">
        <v>3627</v>
      </c>
      <c r="B1192" s="212" t="s">
        <v>3616</v>
      </c>
      <c r="C1192" s="212" t="s">
        <v>3617</v>
      </c>
      <c r="D1192" s="213">
        <v>45514.86770833333</v>
      </c>
      <c r="E1192" s="213"/>
      <c r="F1192" s="214" t="s">
        <v>317</v>
      </c>
      <c r="G1192" s="215" t="s">
        <v>3628</v>
      </c>
      <c r="H1192" s="212" t="s">
        <v>265</v>
      </c>
      <c r="I1192" s="212" t="s">
        <v>399</v>
      </c>
    </row>
    <row r="1193">
      <c r="A1193" s="216" t="s">
        <v>3629</v>
      </c>
      <c r="B1193" s="216" t="s">
        <v>3616</v>
      </c>
      <c r="C1193" s="216" t="s">
        <v>3617</v>
      </c>
      <c r="D1193" s="217">
        <v>45507.68486111111</v>
      </c>
      <c r="E1193" s="217"/>
      <c r="F1193" s="218" t="s">
        <v>317</v>
      </c>
      <c r="G1193" s="219" t="s">
        <v>3630</v>
      </c>
      <c r="H1193" s="216" t="s">
        <v>265</v>
      </c>
      <c r="I1193" s="216" t="s">
        <v>399</v>
      </c>
    </row>
    <row r="1194">
      <c r="A1194" s="216" t="s">
        <v>3631</v>
      </c>
      <c r="B1194" s="216" t="s">
        <v>3616</v>
      </c>
      <c r="C1194" s="216" t="s">
        <v>3617</v>
      </c>
      <c r="D1194" s="217">
        <v>45504.868055555555</v>
      </c>
      <c r="E1194" s="217"/>
      <c r="F1194" s="218" t="s">
        <v>291</v>
      </c>
      <c r="G1194" s="219" t="s">
        <v>3632</v>
      </c>
      <c r="H1194" s="216" t="s">
        <v>265</v>
      </c>
      <c r="I1194" s="216" t="s">
        <v>399</v>
      </c>
    </row>
    <row r="1195">
      <c r="A1195" s="212" t="s">
        <v>3633</v>
      </c>
      <c r="B1195" s="212" t="s">
        <v>3616</v>
      </c>
      <c r="C1195" s="212" t="s">
        <v>3617</v>
      </c>
      <c r="D1195" s="213">
        <v>45504.86759259259</v>
      </c>
      <c r="E1195" s="226"/>
      <c r="F1195" s="214" t="s">
        <v>391</v>
      </c>
      <c r="G1195" s="215" t="s">
        <v>877</v>
      </c>
      <c r="H1195" s="212" t="s">
        <v>265</v>
      </c>
      <c r="I1195" s="212" t="s">
        <v>399</v>
      </c>
    </row>
    <row r="1196">
      <c r="A1196" s="212" t="s">
        <v>3634</v>
      </c>
      <c r="B1196" s="212" t="s">
        <v>3616</v>
      </c>
      <c r="C1196" s="212" t="s">
        <v>3617</v>
      </c>
      <c r="D1196" s="213">
        <v>45494.6046412037</v>
      </c>
      <c r="E1196" s="213"/>
      <c r="F1196" s="214" t="s">
        <v>291</v>
      </c>
      <c r="G1196" s="215" t="s">
        <v>1669</v>
      </c>
      <c r="H1196" s="212" t="s">
        <v>265</v>
      </c>
      <c r="I1196" s="212" t="s">
        <v>399</v>
      </c>
    </row>
    <row r="1197">
      <c r="A1197" s="216" t="s">
        <v>3635</v>
      </c>
      <c r="B1197" s="216" t="s">
        <v>3616</v>
      </c>
      <c r="C1197" s="216" t="s">
        <v>3620</v>
      </c>
      <c r="D1197" s="217">
        <v>45472.59344907408</v>
      </c>
      <c r="E1197" s="217"/>
      <c r="F1197" s="218" t="s">
        <v>269</v>
      </c>
      <c r="G1197" s="219" t="s">
        <v>3636</v>
      </c>
      <c r="H1197" s="216" t="s">
        <v>265</v>
      </c>
      <c r="I1197" s="216" t="s">
        <v>399</v>
      </c>
    </row>
    <row r="1198">
      <c r="A1198" s="212" t="s">
        <v>3637</v>
      </c>
      <c r="B1198" s="212" t="s">
        <v>3616</v>
      </c>
      <c r="C1198" s="212" t="s">
        <v>3617</v>
      </c>
      <c r="D1198" s="213">
        <v>45472.58513888889</v>
      </c>
      <c r="E1198" s="213"/>
      <c r="F1198" s="214" t="s">
        <v>470</v>
      </c>
      <c r="G1198" s="215" t="s">
        <v>3638</v>
      </c>
      <c r="H1198" s="212" t="s">
        <v>265</v>
      </c>
      <c r="I1198" s="212" t="s">
        <v>399</v>
      </c>
    </row>
    <row r="1199">
      <c r="A1199" s="216" t="s">
        <v>3639</v>
      </c>
      <c r="B1199" s="216" t="s">
        <v>3616</v>
      </c>
      <c r="C1199" s="216" t="s">
        <v>3617</v>
      </c>
      <c r="D1199" s="217">
        <v>45465.58457175926</v>
      </c>
      <c r="E1199" s="217"/>
      <c r="F1199" s="218" t="s">
        <v>291</v>
      </c>
      <c r="G1199" s="219" t="s">
        <v>2092</v>
      </c>
      <c r="H1199" s="216" t="s">
        <v>265</v>
      </c>
      <c r="I1199" s="216" t="s">
        <v>399</v>
      </c>
    </row>
    <row r="1200">
      <c r="A1200" s="216" t="s">
        <v>3640</v>
      </c>
      <c r="B1200" s="216" t="s">
        <v>3616</v>
      </c>
      <c r="C1200" s="216" t="s">
        <v>3617</v>
      </c>
      <c r="D1200" s="217">
        <v>45458.89461805556</v>
      </c>
      <c r="E1200" s="217">
        <v>45458.69449074074</v>
      </c>
      <c r="F1200" s="218" t="s">
        <v>291</v>
      </c>
      <c r="G1200" s="219" t="s">
        <v>3641</v>
      </c>
      <c r="H1200" s="216" t="s">
        <v>265</v>
      </c>
      <c r="I1200" s="216" t="s">
        <v>399</v>
      </c>
    </row>
    <row r="1201">
      <c r="A1201" s="216" t="s">
        <v>3642</v>
      </c>
      <c r="B1201" s="216" t="s">
        <v>3616</v>
      </c>
      <c r="C1201" s="216" t="s">
        <v>3617</v>
      </c>
      <c r="D1201" s="217">
        <v>45451.611284722225</v>
      </c>
      <c r="E1201" s="217">
        <v>45451.41333333333</v>
      </c>
      <c r="F1201" s="218" t="s">
        <v>503</v>
      </c>
      <c r="G1201" s="219" t="s">
        <v>2171</v>
      </c>
      <c r="H1201" s="216" t="s">
        <v>265</v>
      </c>
      <c r="I1201" s="216" t="s">
        <v>399</v>
      </c>
    </row>
    <row r="1202">
      <c r="A1202" s="216" t="s">
        <v>3643</v>
      </c>
      <c r="B1202" s="216" t="s">
        <v>3616</v>
      </c>
      <c r="C1202" s="216" t="s">
        <v>3617</v>
      </c>
      <c r="D1202" s="217">
        <v>45436.72194444444</v>
      </c>
      <c r="E1202" s="217">
        <v>45436.524363425924</v>
      </c>
      <c r="F1202" s="218" t="s">
        <v>250</v>
      </c>
      <c r="G1202" s="219" t="s">
        <v>3644</v>
      </c>
      <c r="H1202" s="216" t="s">
        <v>265</v>
      </c>
      <c r="I1202" s="216" t="s">
        <v>399</v>
      </c>
    </row>
    <row r="1203">
      <c r="A1203" s="212" t="s">
        <v>3645</v>
      </c>
      <c r="B1203" s="212" t="s">
        <v>3616</v>
      </c>
      <c r="C1203" s="212" t="s">
        <v>3617</v>
      </c>
      <c r="D1203" s="213">
        <v>45431.8762037037</v>
      </c>
      <c r="E1203" s="213">
        <v>45431.67710648148</v>
      </c>
      <c r="F1203" s="214" t="s">
        <v>291</v>
      </c>
      <c r="G1203" s="215" t="s">
        <v>3646</v>
      </c>
      <c r="H1203" s="212" t="s">
        <v>265</v>
      </c>
      <c r="I1203" s="212" t="s">
        <v>399</v>
      </c>
    </row>
    <row r="1204">
      <c r="A1204" s="212" t="s">
        <v>3647</v>
      </c>
      <c r="B1204" s="212" t="s">
        <v>3616</v>
      </c>
      <c r="C1204" s="212" t="s">
        <v>3617</v>
      </c>
      <c r="D1204" s="213">
        <v>45711.60034722222</v>
      </c>
      <c r="E1204" s="213">
        <v>45711.611226851855</v>
      </c>
      <c r="F1204" s="214" t="s">
        <v>317</v>
      </c>
      <c r="G1204" s="215" t="s">
        <v>3648</v>
      </c>
      <c r="H1204" s="212" t="s">
        <v>265</v>
      </c>
      <c r="I1204" s="212" t="s">
        <v>399</v>
      </c>
    </row>
    <row r="1205">
      <c r="A1205" s="216" t="s">
        <v>3649</v>
      </c>
      <c r="B1205" s="216" t="s">
        <v>3616</v>
      </c>
      <c r="C1205" s="216" t="s">
        <v>3617</v>
      </c>
      <c r="D1205" s="217">
        <v>45705.896365740744</v>
      </c>
      <c r="E1205" s="217">
        <v>45705.90626157408</v>
      </c>
      <c r="F1205" s="218" t="s">
        <v>580</v>
      </c>
      <c r="G1205" s="219" t="s">
        <v>3650</v>
      </c>
      <c r="H1205" s="216" t="s">
        <v>265</v>
      </c>
      <c r="I1205" s="216" t="s">
        <v>399</v>
      </c>
    </row>
    <row r="1206">
      <c r="A1206" s="212" t="s">
        <v>3651</v>
      </c>
      <c r="B1206" s="212" t="s">
        <v>3616</v>
      </c>
      <c r="C1206" s="212" t="s">
        <v>3617</v>
      </c>
      <c r="D1206" s="213">
        <v>45746.48862268519</v>
      </c>
      <c r="E1206" s="213">
        <v>45746.50005787037</v>
      </c>
      <c r="F1206" s="214" t="s">
        <v>291</v>
      </c>
      <c r="G1206" s="215" t="s">
        <v>3652</v>
      </c>
      <c r="H1206" s="212" t="s">
        <v>265</v>
      </c>
      <c r="I1206" s="212" t="s">
        <v>399</v>
      </c>
    </row>
    <row r="1207">
      <c r="A1207" s="212" t="s">
        <v>3653</v>
      </c>
      <c r="B1207" s="212" t="s">
        <v>3616</v>
      </c>
      <c r="C1207" s="212" t="s">
        <v>3620</v>
      </c>
      <c r="D1207" s="213">
        <v>45737.81900462963</v>
      </c>
      <c r="E1207" s="213">
        <v>45737.82996527778</v>
      </c>
      <c r="F1207" s="214" t="s">
        <v>470</v>
      </c>
      <c r="G1207" s="215" t="s">
        <v>3654</v>
      </c>
      <c r="H1207" s="212" t="s">
        <v>265</v>
      </c>
      <c r="I1207" s="212" t="s">
        <v>399</v>
      </c>
    </row>
    <row r="1208">
      <c r="A1208" s="216" t="s">
        <v>3655</v>
      </c>
      <c r="B1208" s="216" t="s">
        <v>3616</v>
      </c>
      <c r="C1208" s="216" t="s">
        <v>3617</v>
      </c>
      <c r="D1208" s="217">
        <v>45737.81854166667</v>
      </c>
      <c r="E1208" s="217">
        <v>45737.826574074075</v>
      </c>
      <c r="F1208" s="218" t="s">
        <v>658</v>
      </c>
      <c r="G1208" s="219" t="s">
        <v>3656</v>
      </c>
      <c r="H1208" s="216" t="s">
        <v>265</v>
      </c>
      <c r="I1208" s="216" t="s">
        <v>399</v>
      </c>
    </row>
    <row r="1209">
      <c r="A1209" s="212" t="s">
        <v>3657</v>
      </c>
      <c r="B1209" s="212" t="s">
        <v>3616</v>
      </c>
      <c r="C1209" s="212" t="s">
        <v>3620</v>
      </c>
      <c r="D1209" s="213">
        <v>45776.81673611111</v>
      </c>
      <c r="E1209" s="213">
        <v>45776.82649305555</v>
      </c>
      <c r="F1209" s="214" t="s">
        <v>3658</v>
      </c>
      <c r="G1209" s="215" t="s">
        <v>3659</v>
      </c>
      <c r="H1209" s="212" t="s">
        <v>265</v>
      </c>
      <c r="I1209" s="212" t="s">
        <v>399</v>
      </c>
    </row>
    <row r="1210">
      <c r="A1210" s="216" t="s">
        <v>3660</v>
      </c>
      <c r="B1210" s="216" t="s">
        <v>3616</v>
      </c>
      <c r="C1210" s="216" t="s">
        <v>3617</v>
      </c>
      <c r="D1210" s="217">
        <v>45773.737546296295</v>
      </c>
      <c r="E1210" s="217">
        <v>45773.746712962966</v>
      </c>
      <c r="F1210" s="218" t="s">
        <v>291</v>
      </c>
      <c r="G1210" s="219" t="s">
        <v>3661</v>
      </c>
      <c r="H1210" s="216" t="s">
        <v>265</v>
      </c>
      <c r="I1210" s="216" t="s">
        <v>399</v>
      </c>
    </row>
    <row r="1211">
      <c r="A1211" s="216" t="s">
        <v>3662</v>
      </c>
      <c r="B1211" s="216" t="s">
        <v>3616</v>
      </c>
      <c r="C1211" s="216" t="s">
        <v>3617</v>
      </c>
      <c r="D1211" s="217">
        <v>45761.83278935185</v>
      </c>
      <c r="E1211" s="217">
        <v>45761.84384259259</v>
      </c>
      <c r="F1211" s="218" t="s">
        <v>1333</v>
      </c>
      <c r="G1211" s="219" t="s">
        <v>3663</v>
      </c>
      <c r="H1211" s="216" t="s">
        <v>265</v>
      </c>
      <c r="I1211" s="216" t="s">
        <v>399</v>
      </c>
    </row>
    <row r="1212">
      <c r="A1212" s="216" t="s">
        <v>3664</v>
      </c>
      <c r="B1212" s="216" t="s">
        <v>3665</v>
      </c>
      <c r="C1212" s="216" t="s">
        <v>3666</v>
      </c>
      <c r="D1212" s="217">
        <v>45536.67052083334</v>
      </c>
      <c r="E1212" s="217"/>
      <c r="F1212" s="218" t="s">
        <v>431</v>
      </c>
      <c r="G1212" s="219" t="s">
        <v>3667</v>
      </c>
      <c r="H1212" s="216" t="s">
        <v>398</v>
      </c>
      <c r="I1212" s="216" t="s">
        <v>1452</v>
      </c>
    </row>
    <row r="1213">
      <c r="A1213" s="216" t="s">
        <v>3668</v>
      </c>
      <c r="B1213" s="216" t="s">
        <v>3665</v>
      </c>
      <c r="C1213" s="216" t="s">
        <v>3669</v>
      </c>
      <c r="D1213" s="217">
        <v>45507.67456018519</v>
      </c>
      <c r="E1213" s="217"/>
      <c r="F1213" s="218" t="s">
        <v>3670</v>
      </c>
      <c r="G1213" s="219" t="s">
        <v>3671</v>
      </c>
      <c r="H1213" s="216" t="s">
        <v>398</v>
      </c>
      <c r="I1213" s="216" t="s">
        <v>1452</v>
      </c>
    </row>
    <row r="1214">
      <c r="A1214" s="216" t="s">
        <v>3672</v>
      </c>
      <c r="B1214" s="216" t="s">
        <v>3673</v>
      </c>
      <c r="C1214" s="216" t="s">
        <v>3674</v>
      </c>
      <c r="D1214" s="217">
        <v>45747.895590277774</v>
      </c>
      <c r="E1214" s="217">
        <v>45748.71192129629</v>
      </c>
      <c r="F1214" s="218" t="s">
        <v>250</v>
      </c>
      <c r="G1214" s="219" t="s">
        <v>3675</v>
      </c>
      <c r="H1214" s="216" t="s">
        <v>259</v>
      </c>
      <c r="I1214" s="216" t="s">
        <v>3676</v>
      </c>
    </row>
    <row r="1215">
      <c r="A1215" s="212" t="s">
        <v>3677</v>
      </c>
      <c r="B1215" s="212" t="s">
        <v>3678</v>
      </c>
      <c r="C1215" s="212" t="s">
        <v>3679</v>
      </c>
      <c r="D1215" s="213">
        <v>45434.82739583333</v>
      </c>
      <c r="E1215" s="213">
        <v>45435.36115740741</v>
      </c>
      <c r="F1215" s="214" t="s">
        <v>291</v>
      </c>
      <c r="G1215" s="215" t="s">
        <v>3680</v>
      </c>
      <c r="H1215" s="212" t="s">
        <v>632</v>
      </c>
      <c r="I1215" s="212" t="s">
        <v>2262</v>
      </c>
    </row>
    <row r="1216">
      <c r="A1216" s="212" t="s">
        <v>3681</v>
      </c>
      <c r="B1216" s="212" t="s">
        <v>3682</v>
      </c>
      <c r="C1216" s="212" t="s">
        <v>3683</v>
      </c>
      <c r="D1216" s="213">
        <v>45494.514872685184</v>
      </c>
      <c r="E1216" s="213"/>
      <c r="F1216" s="214" t="s">
        <v>580</v>
      </c>
      <c r="G1216" s="215" t="s">
        <v>3684</v>
      </c>
      <c r="H1216" s="212" t="s">
        <v>259</v>
      </c>
      <c r="I1216" s="212" t="s">
        <v>3685</v>
      </c>
    </row>
    <row r="1217">
      <c r="A1217" s="212" t="s">
        <v>3686</v>
      </c>
      <c r="B1217" s="212" t="s">
        <v>3682</v>
      </c>
      <c r="C1217" s="212" t="s">
        <v>3687</v>
      </c>
      <c r="D1217" s="213">
        <v>45712.43719907408</v>
      </c>
      <c r="E1217" s="213">
        <v>45713.261030092595</v>
      </c>
      <c r="F1217" s="214" t="s">
        <v>291</v>
      </c>
      <c r="G1217" s="215" t="s">
        <v>291</v>
      </c>
      <c r="H1217" s="212" t="s">
        <v>2715</v>
      </c>
      <c r="I1217" s="212" t="s">
        <v>2716</v>
      </c>
    </row>
    <row r="1218">
      <c r="A1218" s="212" t="s">
        <v>3688</v>
      </c>
      <c r="B1218" s="212" t="s">
        <v>3682</v>
      </c>
      <c r="C1218" s="212" t="s">
        <v>3689</v>
      </c>
      <c r="D1218" s="213">
        <v>45705.63563657407</v>
      </c>
      <c r="E1218" s="213">
        <v>45709.281319444446</v>
      </c>
      <c r="F1218" s="214" t="s">
        <v>1487</v>
      </c>
      <c r="G1218" s="215" t="s">
        <v>1487</v>
      </c>
      <c r="H1218" s="212" t="s">
        <v>2715</v>
      </c>
      <c r="I1218" s="212" t="s">
        <v>2716</v>
      </c>
    </row>
    <row r="1219">
      <c r="A1219" s="216" t="s">
        <v>3690</v>
      </c>
      <c r="B1219" s="216" t="s">
        <v>3682</v>
      </c>
      <c r="C1219" s="216" t="s">
        <v>3691</v>
      </c>
      <c r="D1219" s="217">
        <v>45748.865752314814</v>
      </c>
      <c r="E1219" s="217">
        <v>45749.55915509259</v>
      </c>
      <c r="F1219" s="218" t="s">
        <v>1300</v>
      </c>
      <c r="G1219" s="219" t="s">
        <v>1300</v>
      </c>
      <c r="H1219" s="216" t="s">
        <v>270</v>
      </c>
      <c r="I1219" s="216" t="s">
        <v>3692</v>
      </c>
    </row>
    <row r="1220">
      <c r="A1220" s="212" t="s">
        <v>3693</v>
      </c>
      <c r="B1220" s="212" t="s">
        <v>3682</v>
      </c>
      <c r="C1220" s="212" t="s">
        <v>2714</v>
      </c>
      <c r="D1220" s="213">
        <v>45748.861122685186</v>
      </c>
      <c r="E1220" s="213">
        <v>45750.67371527778</v>
      </c>
      <c r="F1220" s="214" t="s">
        <v>1026</v>
      </c>
      <c r="G1220" s="215" t="s">
        <v>1026</v>
      </c>
      <c r="H1220" s="212" t="s">
        <v>2715</v>
      </c>
      <c r="I1220" s="212" t="s">
        <v>2716</v>
      </c>
    </row>
    <row r="1221">
      <c r="A1221" s="216" t="s">
        <v>3694</v>
      </c>
      <c r="B1221" s="216" t="s">
        <v>3695</v>
      </c>
      <c r="C1221" s="216" t="s">
        <v>3696</v>
      </c>
      <c r="D1221" s="217">
        <v>45714.48645833333</v>
      </c>
      <c r="E1221" s="217">
        <v>45714.66675925926</v>
      </c>
      <c r="F1221" s="218" t="s">
        <v>498</v>
      </c>
      <c r="G1221" s="219" t="s">
        <v>3697</v>
      </c>
      <c r="H1221" s="216" t="s">
        <v>265</v>
      </c>
      <c r="I1221" s="216" t="s">
        <v>3698</v>
      </c>
    </row>
    <row r="1222">
      <c r="A1222" s="216" t="s">
        <v>3699</v>
      </c>
      <c r="B1222" s="216" t="s">
        <v>3695</v>
      </c>
      <c r="C1222" s="216" t="s">
        <v>3696</v>
      </c>
      <c r="D1222" s="217">
        <v>45704.878958333335</v>
      </c>
      <c r="E1222" s="217">
        <v>45705.73284722222</v>
      </c>
      <c r="F1222" s="218" t="s">
        <v>431</v>
      </c>
      <c r="G1222" s="219" t="s">
        <v>432</v>
      </c>
      <c r="H1222" s="216" t="s">
        <v>265</v>
      </c>
      <c r="I1222" s="216" t="s">
        <v>3698</v>
      </c>
    </row>
    <row r="1223">
      <c r="A1223" s="216" t="s">
        <v>3700</v>
      </c>
      <c r="B1223" s="216" t="s">
        <v>3701</v>
      </c>
      <c r="C1223" s="216" t="s">
        <v>3702</v>
      </c>
      <c r="D1223" s="217">
        <v>45523.85460648148</v>
      </c>
      <c r="E1223" s="217"/>
      <c r="F1223" s="218" t="s">
        <v>2411</v>
      </c>
      <c r="G1223" s="219" t="s">
        <v>3703</v>
      </c>
      <c r="H1223" s="216" t="s">
        <v>319</v>
      </c>
      <c r="I1223" s="216" t="s">
        <v>3704</v>
      </c>
    </row>
    <row r="1224">
      <c r="A1224" s="216" t="s">
        <v>3700</v>
      </c>
      <c r="B1224" s="216" t="s">
        <v>3701</v>
      </c>
      <c r="C1224" s="216" t="s">
        <v>3702</v>
      </c>
      <c r="D1224" s="217">
        <v>45523.85460648148</v>
      </c>
      <c r="E1224" s="217"/>
      <c r="F1224" s="218" t="s">
        <v>2411</v>
      </c>
      <c r="G1224" s="219" t="s">
        <v>3703</v>
      </c>
      <c r="H1224" s="216" t="s">
        <v>319</v>
      </c>
      <c r="I1224" s="216" t="s">
        <v>3704</v>
      </c>
    </row>
    <row r="1225">
      <c r="A1225" s="216" t="s">
        <v>3705</v>
      </c>
      <c r="B1225" s="216" t="s">
        <v>3706</v>
      </c>
      <c r="C1225" s="216" t="s">
        <v>3707</v>
      </c>
      <c r="D1225" s="217">
        <v>45540.444918981484</v>
      </c>
      <c r="E1225" s="217"/>
      <c r="F1225" s="218" t="s">
        <v>498</v>
      </c>
      <c r="G1225" s="219" t="s">
        <v>3708</v>
      </c>
      <c r="H1225" s="216" t="s">
        <v>259</v>
      </c>
      <c r="I1225" s="216" t="s">
        <v>313</v>
      </c>
    </row>
    <row r="1226">
      <c r="A1226" s="212" t="s">
        <v>3709</v>
      </c>
      <c r="B1226" s="212" t="s">
        <v>3706</v>
      </c>
      <c r="C1226" s="212" t="s">
        <v>3710</v>
      </c>
      <c r="D1226" s="213">
        <v>45527.786261574074</v>
      </c>
      <c r="E1226" s="213"/>
      <c r="F1226" s="214" t="s">
        <v>563</v>
      </c>
      <c r="G1226" s="215" t="s">
        <v>3711</v>
      </c>
      <c r="H1226" s="212" t="s">
        <v>259</v>
      </c>
      <c r="I1226" s="212" t="s">
        <v>313</v>
      </c>
    </row>
    <row r="1227">
      <c r="A1227" s="212" t="s">
        <v>3712</v>
      </c>
      <c r="B1227" s="212" t="s">
        <v>3706</v>
      </c>
      <c r="C1227" s="212" t="s">
        <v>3713</v>
      </c>
      <c r="D1227" s="213">
        <v>45526.89266203704</v>
      </c>
      <c r="E1227" s="213"/>
      <c r="F1227" s="214" t="s">
        <v>269</v>
      </c>
      <c r="G1227" s="215" t="s">
        <v>3714</v>
      </c>
      <c r="H1227" s="212" t="s">
        <v>259</v>
      </c>
      <c r="I1227" s="212" t="s">
        <v>313</v>
      </c>
    </row>
    <row r="1228">
      <c r="A1228" s="216" t="s">
        <v>3715</v>
      </c>
      <c r="B1228" s="216" t="s">
        <v>3706</v>
      </c>
      <c r="C1228" s="216" t="s">
        <v>3707</v>
      </c>
      <c r="D1228" s="217">
        <v>45526.89171296296</v>
      </c>
      <c r="E1228" s="217"/>
      <c r="F1228" s="218" t="s">
        <v>1300</v>
      </c>
      <c r="G1228" s="219" t="s">
        <v>3716</v>
      </c>
      <c r="H1228" s="216" t="s">
        <v>259</v>
      </c>
      <c r="I1228" s="216" t="s">
        <v>313</v>
      </c>
    </row>
    <row r="1229">
      <c r="A1229" s="212" t="s">
        <v>3717</v>
      </c>
      <c r="B1229" s="212" t="s">
        <v>3706</v>
      </c>
      <c r="C1229" s="212" t="s">
        <v>3707</v>
      </c>
      <c r="D1229" s="213">
        <v>45526.89104166667</v>
      </c>
      <c r="E1229" s="226"/>
      <c r="F1229" s="214" t="s">
        <v>391</v>
      </c>
      <c r="G1229" s="215" t="s">
        <v>877</v>
      </c>
      <c r="H1229" s="212" t="s">
        <v>259</v>
      </c>
      <c r="I1229" s="212" t="s">
        <v>313</v>
      </c>
    </row>
    <row r="1230">
      <c r="A1230" s="212" t="s">
        <v>3718</v>
      </c>
      <c r="B1230" s="212" t="s">
        <v>3719</v>
      </c>
      <c r="C1230" s="212" t="s">
        <v>3720</v>
      </c>
      <c r="D1230" s="213">
        <v>45536.52164351852</v>
      </c>
      <c r="E1230" s="213"/>
      <c r="F1230" s="214" t="s">
        <v>2395</v>
      </c>
      <c r="G1230" s="215" t="s">
        <v>3721</v>
      </c>
      <c r="H1230" s="212" t="s">
        <v>259</v>
      </c>
      <c r="I1230" s="212" t="s">
        <v>260</v>
      </c>
    </row>
    <row r="1231">
      <c r="A1231" s="216" t="s">
        <v>3722</v>
      </c>
      <c r="B1231" s="216" t="s">
        <v>3719</v>
      </c>
      <c r="C1231" s="216" t="s">
        <v>3723</v>
      </c>
      <c r="D1231" s="217">
        <v>45536.5206712963</v>
      </c>
      <c r="E1231" s="217"/>
      <c r="F1231" s="218" t="s">
        <v>2395</v>
      </c>
      <c r="G1231" s="219" t="s">
        <v>3721</v>
      </c>
      <c r="H1231" s="216" t="s">
        <v>259</v>
      </c>
      <c r="I1231" s="216" t="s">
        <v>461</v>
      </c>
    </row>
    <row r="1232">
      <c r="A1232" s="216" t="s">
        <v>3724</v>
      </c>
      <c r="B1232" s="216" t="s">
        <v>3719</v>
      </c>
      <c r="C1232" s="216" t="s">
        <v>3723</v>
      </c>
      <c r="D1232" s="217">
        <v>45710.85633101852</v>
      </c>
      <c r="E1232" s="217">
        <v>45710.864641203705</v>
      </c>
      <c r="F1232" s="218" t="s">
        <v>291</v>
      </c>
      <c r="G1232" s="219" t="s">
        <v>577</v>
      </c>
      <c r="H1232" s="216" t="s">
        <v>259</v>
      </c>
      <c r="I1232" s="216" t="s">
        <v>461</v>
      </c>
    </row>
    <row r="1233">
      <c r="A1233" s="212" t="s">
        <v>3725</v>
      </c>
      <c r="B1233" s="212" t="s">
        <v>3719</v>
      </c>
      <c r="C1233" s="212" t="s">
        <v>3723</v>
      </c>
      <c r="D1233" s="213">
        <v>45705.88119212963</v>
      </c>
      <c r="E1233" s="213">
        <v>45705.88890046296</v>
      </c>
      <c r="F1233" s="214" t="s">
        <v>706</v>
      </c>
      <c r="G1233" s="215" t="s">
        <v>1975</v>
      </c>
      <c r="H1233" s="212" t="s">
        <v>259</v>
      </c>
      <c r="I1233" s="212" t="s">
        <v>461</v>
      </c>
    </row>
    <row r="1234">
      <c r="A1234" s="212" t="s">
        <v>3726</v>
      </c>
      <c r="B1234" s="212" t="s">
        <v>3719</v>
      </c>
      <c r="C1234" s="212" t="s">
        <v>3723</v>
      </c>
      <c r="D1234" s="213">
        <v>45746.74946759259</v>
      </c>
      <c r="E1234" s="213">
        <v>45746.76049768519</v>
      </c>
      <c r="F1234" s="214" t="s">
        <v>470</v>
      </c>
      <c r="G1234" s="215" t="s">
        <v>790</v>
      </c>
      <c r="H1234" s="212" t="s">
        <v>1476</v>
      </c>
      <c r="I1234" s="212" t="s">
        <v>461</v>
      </c>
    </row>
    <row r="1235">
      <c r="A1235" s="212" t="s">
        <v>3727</v>
      </c>
      <c r="B1235" s="212" t="s">
        <v>3728</v>
      </c>
      <c r="C1235" s="212" t="s">
        <v>3729</v>
      </c>
      <c r="D1235" s="213">
        <v>45459.46359953703</v>
      </c>
      <c r="E1235" s="213">
        <v>45459.420277777775</v>
      </c>
      <c r="F1235" s="214" t="s">
        <v>3730</v>
      </c>
      <c r="G1235" s="215" t="s">
        <v>3731</v>
      </c>
      <c r="H1235" s="212" t="s">
        <v>265</v>
      </c>
      <c r="I1235" s="212" t="s">
        <v>3732</v>
      </c>
    </row>
    <row r="1236">
      <c r="A1236" s="216" t="s">
        <v>3733</v>
      </c>
      <c r="B1236" s="216" t="s">
        <v>3734</v>
      </c>
      <c r="C1236" s="216" t="s">
        <v>3735</v>
      </c>
      <c r="D1236" s="217">
        <v>45436.829409722224</v>
      </c>
      <c r="E1236" s="217">
        <v>45437.29520833334</v>
      </c>
      <c r="F1236" s="218" t="s">
        <v>2395</v>
      </c>
      <c r="G1236" s="219" t="s">
        <v>2395</v>
      </c>
      <c r="H1236" s="216" t="s">
        <v>3736</v>
      </c>
      <c r="I1236" s="216" t="s">
        <v>2002</v>
      </c>
    </row>
    <row r="1237">
      <c r="A1237" s="212" t="s">
        <v>3737</v>
      </c>
      <c r="B1237" s="212" t="s">
        <v>3734</v>
      </c>
      <c r="C1237" s="212" t="s">
        <v>3738</v>
      </c>
      <c r="D1237" s="213">
        <v>45436.82711805555</v>
      </c>
      <c r="E1237" s="213">
        <v>45438.51398148148</v>
      </c>
      <c r="F1237" s="214" t="s">
        <v>715</v>
      </c>
      <c r="G1237" s="215" t="s">
        <v>715</v>
      </c>
      <c r="H1237" s="212" t="s">
        <v>2001</v>
      </c>
      <c r="I1237" s="212" t="s">
        <v>2002</v>
      </c>
    </row>
    <row r="1238">
      <c r="A1238" s="212" t="s">
        <v>3739</v>
      </c>
      <c r="B1238" s="212" t="s">
        <v>3740</v>
      </c>
      <c r="C1238" s="212" t="s">
        <v>3741</v>
      </c>
      <c r="D1238" s="213">
        <v>45542.68733796296</v>
      </c>
      <c r="E1238" s="213"/>
      <c r="F1238" s="214" t="s">
        <v>498</v>
      </c>
      <c r="G1238" s="215" t="s">
        <v>499</v>
      </c>
      <c r="H1238" s="212" t="s">
        <v>265</v>
      </c>
      <c r="I1238" s="212" t="s">
        <v>461</v>
      </c>
    </row>
    <row r="1239">
      <c r="A1239" s="216" t="s">
        <v>3742</v>
      </c>
      <c r="B1239" s="216" t="s">
        <v>3740</v>
      </c>
      <c r="C1239" s="216" t="s">
        <v>3743</v>
      </c>
      <c r="D1239" s="217">
        <v>45542.68712962963</v>
      </c>
      <c r="E1239" s="217"/>
      <c r="F1239" s="218" t="s">
        <v>1124</v>
      </c>
      <c r="G1239" s="219" t="s">
        <v>1125</v>
      </c>
      <c r="H1239" s="216" t="s">
        <v>265</v>
      </c>
      <c r="I1239" s="216" t="s">
        <v>640</v>
      </c>
    </row>
    <row r="1240">
      <c r="A1240" s="216" t="s">
        <v>3744</v>
      </c>
      <c r="B1240" s="216" t="s">
        <v>3740</v>
      </c>
      <c r="C1240" s="216" t="s">
        <v>3741</v>
      </c>
      <c r="D1240" s="217">
        <v>45514.7655787037</v>
      </c>
      <c r="E1240" s="217"/>
      <c r="F1240" s="218" t="s">
        <v>330</v>
      </c>
      <c r="G1240" s="219" t="s">
        <v>3745</v>
      </c>
      <c r="H1240" s="216" t="s">
        <v>265</v>
      </c>
      <c r="I1240" s="216" t="s">
        <v>461</v>
      </c>
    </row>
    <row r="1241">
      <c r="A1241" s="212" t="s">
        <v>3746</v>
      </c>
      <c r="B1241" s="212" t="s">
        <v>3740</v>
      </c>
      <c r="C1241" s="212" t="s">
        <v>3743</v>
      </c>
      <c r="D1241" s="213">
        <v>45514.76498842592</v>
      </c>
      <c r="E1241" s="213"/>
      <c r="F1241" s="214" t="s">
        <v>465</v>
      </c>
      <c r="G1241" s="215" t="s">
        <v>3747</v>
      </c>
      <c r="H1241" s="212" t="s">
        <v>265</v>
      </c>
      <c r="I1241" s="212" t="s">
        <v>640</v>
      </c>
    </row>
    <row r="1242">
      <c r="A1242" s="216" t="s">
        <v>3748</v>
      </c>
      <c r="B1242" s="216" t="s">
        <v>3740</v>
      </c>
      <c r="C1242" s="216" t="s">
        <v>3741</v>
      </c>
      <c r="D1242" s="217">
        <v>45500.843043981484</v>
      </c>
      <c r="E1242" s="217"/>
      <c r="F1242" s="218" t="s">
        <v>431</v>
      </c>
      <c r="G1242" s="219" t="s">
        <v>3749</v>
      </c>
      <c r="H1242" s="216" t="s">
        <v>265</v>
      </c>
      <c r="I1242" s="216" t="s">
        <v>461</v>
      </c>
    </row>
    <row r="1243">
      <c r="A1243" s="212" t="s">
        <v>3750</v>
      </c>
      <c r="B1243" s="212" t="s">
        <v>3740</v>
      </c>
      <c r="C1243" s="212" t="s">
        <v>3743</v>
      </c>
      <c r="D1243" s="213">
        <v>45500.84237268518</v>
      </c>
      <c r="E1243" s="213"/>
      <c r="F1243" s="214" t="s">
        <v>2351</v>
      </c>
      <c r="G1243" s="215" t="s">
        <v>3716</v>
      </c>
      <c r="H1243" s="212" t="s">
        <v>265</v>
      </c>
      <c r="I1243" s="212" t="s">
        <v>640</v>
      </c>
    </row>
    <row r="1244">
      <c r="A1244" s="212" t="s">
        <v>3751</v>
      </c>
      <c r="B1244" s="212" t="s">
        <v>3740</v>
      </c>
      <c r="C1244" s="212" t="s">
        <v>3743</v>
      </c>
      <c r="D1244" s="213">
        <v>45494.48824074074</v>
      </c>
      <c r="E1244" s="213"/>
      <c r="F1244" s="214" t="s">
        <v>2551</v>
      </c>
      <c r="G1244" s="215" t="s">
        <v>3752</v>
      </c>
      <c r="H1244" s="212" t="s">
        <v>265</v>
      </c>
      <c r="I1244" s="212" t="s">
        <v>640</v>
      </c>
    </row>
    <row r="1245">
      <c r="A1245" s="216" t="s">
        <v>3753</v>
      </c>
      <c r="B1245" s="216" t="s">
        <v>3740</v>
      </c>
      <c r="C1245" s="216" t="s">
        <v>3741</v>
      </c>
      <c r="D1245" s="217">
        <v>45494.48783564815</v>
      </c>
      <c r="E1245" s="217"/>
      <c r="F1245" s="218" t="s">
        <v>2551</v>
      </c>
      <c r="G1245" s="219" t="s">
        <v>3752</v>
      </c>
      <c r="H1245" s="216" t="s">
        <v>265</v>
      </c>
      <c r="I1245" s="216" t="s">
        <v>461</v>
      </c>
    </row>
    <row r="1246">
      <c r="A1246" s="216" t="s">
        <v>3754</v>
      </c>
      <c r="B1246" s="216" t="s">
        <v>3740</v>
      </c>
      <c r="C1246" s="216" t="s">
        <v>3741</v>
      </c>
      <c r="D1246" s="217">
        <v>45711.51521990741</v>
      </c>
      <c r="E1246" s="217">
        <v>45711.524502314816</v>
      </c>
      <c r="F1246" s="218" t="s">
        <v>498</v>
      </c>
      <c r="G1246" s="219" t="s">
        <v>1692</v>
      </c>
      <c r="H1246" s="216" t="s">
        <v>265</v>
      </c>
      <c r="I1246" s="216" t="s">
        <v>461</v>
      </c>
    </row>
    <row r="1247">
      <c r="A1247" s="212" t="s">
        <v>3755</v>
      </c>
      <c r="B1247" s="212" t="s">
        <v>3740</v>
      </c>
      <c r="C1247" s="212" t="s">
        <v>3743</v>
      </c>
      <c r="D1247" s="213">
        <v>45711.51495370371</v>
      </c>
      <c r="E1247" s="213">
        <v>45711.52449074074</v>
      </c>
      <c r="F1247" s="214" t="s">
        <v>706</v>
      </c>
      <c r="G1247" s="215" t="s">
        <v>3756</v>
      </c>
      <c r="H1247" s="212" t="s">
        <v>265</v>
      </c>
      <c r="I1247" s="212" t="s">
        <v>640</v>
      </c>
    </row>
    <row r="1248">
      <c r="A1248" s="212" t="s">
        <v>3757</v>
      </c>
      <c r="B1248" s="212" t="s">
        <v>3740</v>
      </c>
      <c r="C1248" s="212" t="s">
        <v>3741</v>
      </c>
      <c r="D1248" s="213">
        <v>45773.885983796295</v>
      </c>
      <c r="E1248" s="213">
        <v>45773.895891203705</v>
      </c>
      <c r="F1248" s="214" t="s">
        <v>431</v>
      </c>
      <c r="G1248" s="215" t="s">
        <v>2101</v>
      </c>
      <c r="H1248" s="212" t="s">
        <v>265</v>
      </c>
      <c r="I1248" s="212" t="s">
        <v>461</v>
      </c>
    </row>
    <row r="1249">
      <c r="A1249" s="216" t="s">
        <v>3758</v>
      </c>
      <c r="B1249" s="216" t="s">
        <v>3759</v>
      </c>
      <c r="C1249" s="216" t="s">
        <v>3760</v>
      </c>
      <c r="D1249" s="217">
        <v>45711.756516203706</v>
      </c>
      <c r="E1249" s="217">
        <v>45712.59380787037</v>
      </c>
      <c r="F1249" s="218" t="s">
        <v>538</v>
      </c>
      <c r="G1249" s="219" t="s">
        <v>3761</v>
      </c>
      <c r="H1249" s="216" t="s">
        <v>535</v>
      </c>
      <c r="I1249" s="216" t="s">
        <v>1731</v>
      </c>
    </row>
    <row r="1250">
      <c r="A1250" s="216" t="s">
        <v>3762</v>
      </c>
      <c r="B1250" s="216" t="s">
        <v>3759</v>
      </c>
      <c r="C1250" s="216" t="s">
        <v>3763</v>
      </c>
      <c r="D1250" s="217">
        <v>45774.87388888889</v>
      </c>
      <c r="E1250" s="217">
        <v>45774.88545138889</v>
      </c>
      <c r="F1250" s="218" t="s">
        <v>1082</v>
      </c>
      <c r="G1250" s="219" t="s">
        <v>3764</v>
      </c>
      <c r="H1250" s="216" t="s">
        <v>265</v>
      </c>
      <c r="I1250" s="216" t="s">
        <v>1731</v>
      </c>
    </row>
    <row r="1251">
      <c r="A1251" s="216" t="s">
        <v>3765</v>
      </c>
      <c r="B1251" s="216" t="s">
        <v>3766</v>
      </c>
      <c r="C1251" s="216" t="s">
        <v>3767</v>
      </c>
      <c r="D1251" s="217">
        <v>45550.67030092593</v>
      </c>
      <c r="E1251" s="217"/>
      <c r="F1251" s="218" t="s">
        <v>538</v>
      </c>
      <c r="G1251" s="219" t="s">
        <v>3768</v>
      </c>
      <c r="H1251" s="216" t="s">
        <v>265</v>
      </c>
      <c r="I1251" s="216" t="s">
        <v>260</v>
      </c>
    </row>
    <row r="1252">
      <c r="A1252" s="212" t="s">
        <v>3769</v>
      </c>
      <c r="B1252" s="212" t="s">
        <v>3766</v>
      </c>
      <c r="C1252" s="212" t="s">
        <v>3770</v>
      </c>
      <c r="D1252" s="213">
        <v>45550.66950231481</v>
      </c>
      <c r="E1252" s="213"/>
      <c r="F1252" s="214" t="s">
        <v>1487</v>
      </c>
      <c r="G1252" s="215" t="s">
        <v>1488</v>
      </c>
      <c r="H1252" s="212" t="s">
        <v>265</v>
      </c>
      <c r="I1252" s="212" t="s">
        <v>260</v>
      </c>
    </row>
    <row r="1253">
      <c r="A1253" s="212" t="s">
        <v>3771</v>
      </c>
      <c r="B1253" s="212" t="s">
        <v>3766</v>
      </c>
      <c r="C1253" s="212" t="s">
        <v>3767</v>
      </c>
      <c r="D1253" s="213">
        <v>45475.863229166665</v>
      </c>
      <c r="E1253" s="213"/>
      <c r="F1253" s="214" t="s">
        <v>538</v>
      </c>
      <c r="G1253" s="215" t="s">
        <v>3772</v>
      </c>
      <c r="H1253" s="212" t="s">
        <v>265</v>
      </c>
      <c r="I1253" s="212" t="s">
        <v>260</v>
      </c>
    </row>
    <row r="1254">
      <c r="A1254" s="216" t="s">
        <v>3773</v>
      </c>
      <c r="B1254" s="216" t="s">
        <v>3766</v>
      </c>
      <c r="C1254" s="216" t="s">
        <v>3770</v>
      </c>
      <c r="D1254" s="217">
        <v>45475.86299768519</v>
      </c>
      <c r="E1254" s="217"/>
      <c r="F1254" s="218" t="s">
        <v>250</v>
      </c>
      <c r="G1254" s="219" t="s">
        <v>3774</v>
      </c>
      <c r="H1254" s="216" t="s">
        <v>265</v>
      </c>
      <c r="I1254" s="216" t="s">
        <v>260</v>
      </c>
    </row>
    <row r="1255">
      <c r="A1255" s="212" t="s">
        <v>3775</v>
      </c>
      <c r="B1255" s="212" t="s">
        <v>3766</v>
      </c>
      <c r="C1255" s="212" t="s">
        <v>3770</v>
      </c>
      <c r="D1255" s="213">
        <v>45468.86417824074</v>
      </c>
      <c r="E1255" s="213"/>
      <c r="F1255" s="214" t="s">
        <v>250</v>
      </c>
      <c r="G1255" s="215" t="s">
        <v>3776</v>
      </c>
      <c r="H1255" s="212" t="s">
        <v>265</v>
      </c>
      <c r="I1255" s="212" t="s">
        <v>260</v>
      </c>
    </row>
    <row r="1256">
      <c r="A1256" s="216" t="s">
        <v>3777</v>
      </c>
      <c r="B1256" s="216" t="s">
        <v>3766</v>
      </c>
      <c r="C1256" s="216" t="s">
        <v>3770</v>
      </c>
      <c r="D1256" s="217">
        <v>45460.90168981482</v>
      </c>
      <c r="E1256" s="217">
        <v>45460.704884259256</v>
      </c>
      <c r="F1256" s="218" t="s">
        <v>503</v>
      </c>
      <c r="G1256" s="219" t="s">
        <v>3778</v>
      </c>
      <c r="H1256" s="216" t="s">
        <v>265</v>
      </c>
      <c r="I1256" s="216" t="s">
        <v>260</v>
      </c>
    </row>
    <row r="1257">
      <c r="A1257" s="216" t="s">
        <v>3779</v>
      </c>
      <c r="B1257" s="216" t="s">
        <v>3766</v>
      </c>
      <c r="C1257" s="216" t="s">
        <v>3767</v>
      </c>
      <c r="D1257" s="217">
        <v>45459.61016203704</v>
      </c>
      <c r="E1257" s="217">
        <v>45459.41334490741</v>
      </c>
      <c r="F1257" s="218" t="s">
        <v>538</v>
      </c>
      <c r="G1257" s="219" t="s">
        <v>3780</v>
      </c>
      <c r="H1257" s="216" t="s">
        <v>265</v>
      </c>
      <c r="I1257" s="216" t="s">
        <v>260</v>
      </c>
    </row>
    <row r="1258">
      <c r="A1258" s="216" t="s">
        <v>3781</v>
      </c>
      <c r="B1258" s="216" t="s">
        <v>3766</v>
      </c>
      <c r="C1258" s="216" t="s">
        <v>3770</v>
      </c>
      <c r="D1258" s="217">
        <v>45432.88527777778</v>
      </c>
      <c r="E1258" s="217">
        <v>45432.68755787037</v>
      </c>
      <c r="F1258" s="218" t="s">
        <v>317</v>
      </c>
      <c r="G1258" s="219" t="s">
        <v>3782</v>
      </c>
      <c r="H1258" s="216" t="s">
        <v>265</v>
      </c>
      <c r="I1258" s="216" t="s">
        <v>260</v>
      </c>
    </row>
    <row r="1259">
      <c r="A1259" s="216" t="s">
        <v>3783</v>
      </c>
      <c r="B1259" s="216" t="s">
        <v>3766</v>
      </c>
      <c r="C1259" s="216" t="s">
        <v>3767</v>
      </c>
      <c r="D1259" s="217">
        <v>45431.435115740744</v>
      </c>
      <c r="E1259" s="217">
        <v>45431.23619212963</v>
      </c>
      <c r="F1259" s="218" t="s">
        <v>498</v>
      </c>
      <c r="G1259" s="219" t="s">
        <v>3784</v>
      </c>
      <c r="H1259" s="216" t="s">
        <v>265</v>
      </c>
      <c r="I1259" s="216" t="s">
        <v>260</v>
      </c>
    </row>
    <row r="1260">
      <c r="A1260" s="212" t="s">
        <v>3785</v>
      </c>
      <c r="B1260" s="212" t="s">
        <v>1520</v>
      </c>
      <c r="C1260" s="212" t="s">
        <v>3786</v>
      </c>
      <c r="D1260" s="213">
        <v>45435.88134259259</v>
      </c>
      <c r="E1260" s="213">
        <v>45437.36140046296</v>
      </c>
      <c r="F1260" s="214" t="s">
        <v>765</v>
      </c>
      <c r="G1260" s="215" t="s">
        <v>3787</v>
      </c>
      <c r="H1260" s="212" t="s">
        <v>259</v>
      </c>
      <c r="I1260" s="212" t="s">
        <v>313</v>
      </c>
    </row>
    <row r="1261">
      <c r="A1261" s="216" t="s">
        <v>3788</v>
      </c>
      <c r="B1261" s="216" t="s">
        <v>3789</v>
      </c>
      <c r="C1261" s="216" t="s">
        <v>3790</v>
      </c>
      <c r="D1261" s="217">
        <v>45777.71975694445</v>
      </c>
      <c r="E1261" s="217">
        <v>45779.500069444446</v>
      </c>
      <c r="F1261" s="218" t="s">
        <v>470</v>
      </c>
      <c r="G1261" s="219" t="s">
        <v>2752</v>
      </c>
      <c r="H1261" s="216" t="s">
        <v>259</v>
      </c>
      <c r="I1261" s="216" t="s">
        <v>260</v>
      </c>
    </row>
    <row r="1262">
      <c r="A1262" s="212" t="s">
        <v>3791</v>
      </c>
      <c r="B1262" s="212" t="s">
        <v>3792</v>
      </c>
      <c r="C1262" s="212" t="s">
        <v>3793</v>
      </c>
      <c r="D1262" s="213">
        <v>45537.85506944444</v>
      </c>
      <c r="E1262" s="213"/>
      <c r="F1262" s="214" t="s">
        <v>2395</v>
      </c>
      <c r="G1262" s="215" t="s">
        <v>3794</v>
      </c>
      <c r="H1262" s="212" t="s">
        <v>252</v>
      </c>
      <c r="I1262" s="212" t="s">
        <v>615</v>
      </c>
    </row>
    <row r="1263">
      <c r="A1263" s="212" t="s">
        <v>3795</v>
      </c>
      <c r="B1263" s="212" t="s">
        <v>3792</v>
      </c>
      <c r="C1263" s="212" t="s">
        <v>1135</v>
      </c>
      <c r="D1263" s="213">
        <v>45513.78013888889</v>
      </c>
      <c r="E1263" s="213"/>
      <c r="F1263" s="214" t="s">
        <v>706</v>
      </c>
      <c r="G1263" s="215" t="s">
        <v>1620</v>
      </c>
      <c r="H1263" s="212" t="s">
        <v>561</v>
      </c>
      <c r="I1263" s="212" t="s">
        <v>1137</v>
      </c>
    </row>
    <row r="1264">
      <c r="A1264" s="216" t="s">
        <v>3796</v>
      </c>
      <c r="B1264" s="216" t="s">
        <v>3792</v>
      </c>
      <c r="C1264" s="216" t="s">
        <v>3793</v>
      </c>
      <c r="D1264" s="217">
        <v>45492.70457175926</v>
      </c>
      <c r="E1264" s="217"/>
      <c r="F1264" s="218" t="s">
        <v>503</v>
      </c>
      <c r="G1264" s="219" t="s">
        <v>3797</v>
      </c>
      <c r="H1264" s="216" t="s">
        <v>252</v>
      </c>
      <c r="I1264" s="216" t="s">
        <v>615</v>
      </c>
    </row>
    <row r="1265">
      <c r="A1265" s="212" t="s">
        <v>3796</v>
      </c>
      <c r="B1265" s="212" t="s">
        <v>3792</v>
      </c>
      <c r="C1265" s="212" t="s">
        <v>3793</v>
      </c>
      <c r="D1265" s="213">
        <v>45492.70457175926</v>
      </c>
      <c r="E1265" s="213"/>
      <c r="F1265" s="214" t="s">
        <v>503</v>
      </c>
      <c r="G1265" s="215" t="s">
        <v>3797</v>
      </c>
      <c r="H1265" s="212" t="s">
        <v>252</v>
      </c>
      <c r="I1265" s="212" t="s">
        <v>615</v>
      </c>
    </row>
    <row r="1266">
      <c r="A1266" s="212" t="s">
        <v>3798</v>
      </c>
      <c r="B1266" s="212" t="s">
        <v>3792</v>
      </c>
      <c r="C1266" s="212" t="s">
        <v>3799</v>
      </c>
      <c r="D1266" s="213">
        <v>45484.812627314815</v>
      </c>
      <c r="E1266" s="213"/>
      <c r="F1266" s="214" t="s">
        <v>503</v>
      </c>
      <c r="G1266" s="215" t="s">
        <v>3800</v>
      </c>
      <c r="H1266" s="212" t="s">
        <v>259</v>
      </c>
      <c r="I1266" s="212" t="s">
        <v>969</v>
      </c>
    </row>
    <row r="1267">
      <c r="A1267" s="212" t="s">
        <v>3796</v>
      </c>
      <c r="B1267" s="212" t="s">
        <v>3792</v>
      </c>
      <c r="C1267" s="212" t="s">
        <v>3793</v>
      </c>
      <c r="D1267" s="213">
        <v>45492.70457175926</v>
      </c>
      <c r="E1267" s="213"/>
      <c r="F1267" s="214" t="s">
        <v>503</v>
      </c>
      <c r="G1267" s="215" t="s">
        <v>3797</v>
      </c>
      <c r="H1267" s="212" t="s">
        <v>252</v>
      </c>
      <c r="I1267" s="212" t="s">
        <v>615</v>
      </c>
    </row>
    <row r="1268">
      <c r="A1268" s="212" t="s">
        <v>3798</v>
      </c>
      <c r="B1268" s="212" t="s">
        <v>3792</v>
      </c>
      <c r="C1268" s="212" t="s">
        <v>3799</v>
      </c>
      <c r="D1268" s="213">
        <v>45484.812627314815</v>
      </c>
      <c r="E1268" s="213"/>
      <c r="F1268" s="214" t="s">
        <v>503</v>
      </c>
      <c r="G1268" s="215" t="s">
        <v>3800</v>
      </c>
      <c r="H1268" s="212" t="s">
        <v>259</v>
      </c>
      <c r="I1268" s="212" t="s">
        <v>969</v>
      </c>
    </row>
    <row r="1269">
      <c r="A1269" s="216" t="s">
        <v>3801</v>
      </c>
      <c r="B1269" s="216" t="s">
        <v>3792</v>
      </c>
      <c r="C1269" s="216" t="s">
        <v>3802</v>
      </c>
      <c r="D1269" s="217">
        <v>45479.88212962963</v>
      </c>
      <c r="E1269" s="217"/>
      <c r="F1269" s="218" t="s">
        <v>1553</v>
      </c>
      <c r="G1269" s="219" t="s">
        <v>1441</v>
      </c>
      <c r="H1269" s="216" t="s">
        <v>319</v>
      </c>
      <c r="I1269" s="216" t="s">
        <v>3803</v>
      </c>
    </row>
    <row r="1270">
      <c r="A1270" s="216" t="s">
        <v>3804</v>
      </c>
      <c r="B1270" s="216" t="s">
        <v>3792</v>
      </c>
      <c r="C1270" s="216" t="s">
        <v>3805</v>
      </c>
      <c r="D1270" s="217">
        <v>45712.501064814816</v>
      </c>
      <c r="E1270" s="217">
        <v>45712.52787037037</v>
      </c>
      <c r="F1270" s="218" t="s">
        <v>658</v>
      </c>
      <c r="G1270" s="219" t="s">
        <v>3806</v>
      </c>
      <c r="H1270" s="216" t="s">
        <v>265</v>
      </c>
      <c r="I1270" s="216" t="s">
        <v>2560</v>
      </c>
    </row>
    <row r="1271">
      <c r="A1271" s="216" t="s">
        <v>3807</v>
      </c>
      <c r="B1271" s="216" t="s">
        <v>3792</v>
      </c>
      <c r="C1271" s="216" t="s">
        <v>3793</v>
      </c>
      <c r="D1271" s="217">
        <v>45747.78822916667</v>
      </c>
      <c r="E1271" s="217">
        <v>45747.80226851852</v>
      </c>
      <c r="F1271" s="218" t="s">
        <v>380</v>
      </c>
      <c r="G1271" s="219" t="s">
        <v>3808</v>
      </c>
      <c r="H1271" s="216" t="s">
        <v>252</v>
      </c>
      <c r="I1271" s="216" t="s">
        <v>615</v>
      </c>
    </row>
    <row r="1272">
      <c r="A1272" s="216" t="s">
        <v>3809</v>
      </c>
      <c r="B1272" s="216" t="s">
        <v>3792</v>
      </c>
      <c r="C1272" s="216" t="s">
        <v>3793</v>
      </c>
      <c r="D1272" s="217">
        <v>45737.87710648148</v>
      </c>
      <c r="E1272" s="217">
        <v>45737.89244212963</v>
      </c>
      <c r="F1272" s="218" t="s">
        <v>498</v>
      </c>
      <c r="G1272" s="219" t="s">
        <v>720</v>
      </c>
      <c r="H1272" s="216" t="s">
        <v>252</v>
      </c>
      <c r="I1272" s="216" t="s">
        <v>615</v>
      </c>
    </row>
    <row r="1273">
      <c r="A1273" s="212" t="s">
        <v>3810</v>
      </c>
      <c r="B1273" s="212" t="s">
        <v>3792</v>
      </c>
      <c r="C1273" s="212" t="s">
        <v>3793</v>
      </c>
      <c r="D1273" s="213">
        <v>45777.84851851852</v>
      </c>
      <c r="E1273" s="213">
        <v>45777.85774305555</v>
      </c>
      <c r="F1273" s="214" t="s">
        <v>1458</v>
      </c>
      <c r="G1273" s="215" t="s">
        <v>3811</v>
      </c>
      <c r="H1273" s="212" t="s">
        <v>561</v>
      </c>
      <c r="I1273" s="212" t="s">
        <v>615</v>
      </c>
    </row>
    <row r="1274">
      <c r="A1274" s="216" t="s">
        <v>3812</v>
      </c>
      <c r="B1274" s="216" t="s">
        <v>3813</v>
      </c>
      <c r="C1274" s="216" t="s">
        <v>3814</v>
      </c>
      <c r="D1274" s="217">
        <v>45480.62525462963</v>
      </c>
      <c r="E1274" s="217"/>
      <c r="F1274" s="218" t="s">
        <v>2395</v>
      </c>
      <c r="G1274" s="219" t="s">
        <v>3815</v>
      </c>
      <c r="H1274" s="216" t="s">
        <v>632</v>
      </c>
      <c r="I1274" s="216" t="s">
        <v>1731</v>
      </c>
    </row>
    <row r="1275">
      <c r="A1275" s="212" t="s">
        <v>3816</v>
      </c>
      <c r="B1275" s="212" t="s">
        <v>3813</v>
      </c>
      <c r="C1275" s="212" t="s">
        <v>3814</v>
      </c>
      <c r="D1275" s="213">
        <v>45703.65241898148</v>
      </c>
      <c r="E1275" s="213">
        <v>45707.40283564815</v>
      </c>
      <c r="F1275" s="214" t="s">
        <v>291</v>
      </c>
      <c r="G1275" s="215" t="s">
        <v>3817</v>
      </c>
      <c r="H1275" s="212" t="s">
        <v>632</v>
      </c>
      <c r="I1275" s="212" t="s">
        <v>1731</v>
      </c>
    </row>
    <row r="1276">
      <c r="A1276" s="216" t="s">
        <v>3818</v>
      </c>
      <c r="B1276" s="216" t="s">
        <v>3813</v>
      </c>
      <c r="C1276" s="216" t="s">
        <v>3819</v>
      </c>
      <c r="D1276" s="217">
        <v>45759.832025462965</v>
      </c>
      <c r="E1276" s="217">
        <v>45761.4862037037</v>
      </c>
      <c r="F1276" s="218" t="s">
        <v>1637</v>
      </c>
      <c r="G1276" s="219" t="s">
        <v>3820</v>
      </c>
      <c r="H1276" s="216" t="s">
        <v>259</v>
      </c>
      <c r="I1276" s="216" t="s">
        <v>1731</v>
      </c>
    </row>
    <row r="1277">
      <c r="A1277" s="216" t="s">
        <v>3821</v>
      </c>
      <c r="B1277" s="216" t="s">
        <v>3822</v>
      </c>
      <c r="C1277" s="216" t="s">
        <v>3823</v>
      </c>
      <c r="D1277" s="217">
        <v>45487.82649305555</v>
      </c>
      <c r="E1277" s="217"/>
      <c r="F1277" s="218" t="s">
        <v>291</v>
      </c>
      <c r="G1277" s="219" t="s">
        <v>3824</v>
      </c>
      <c r="H1277" s="216" t="s">
        <v>795</v>
      </c>
      <c r="I1277" s="216" t="s">
        <v>2292</v>
      </c>
    </row>
    <row r="1278">
      <c r="A1278" s="212" t="s">
        <v>3825</v>
      </c>
      <c r="B1278" s="212" t="s">
        <v>3822</v>
      </c>
      <c r="C1278" s="212" t="s">
        <v>3823</v>
      </c>
      <c r="D1278" s="213">
        <v>45487.82596064815</v>
      </c>
      <c r="E1278" s="227"/>
      <c r="F1278" s="214" t="s">
        <v>391</v>
      </c>
      <c r="G1278" s="215" t="s">
        <v>485</v>
      </c>
      <c r="H1278" s="212" t="s">
        <v>795</v>
      </c>
      <c r="I1278" s="212" t="s">
        <v>2292</v>
      </c>
    </row>
    <row r="1279">
      <c r="A1279" s="216" t="s">
        <v>3821</v>
      </c>
      <c r="B1279" s="216" t="s">
        <v>3822</v>
      </c>
      <c r="C1279" s="216" t="s">
        <v>3823</v>
      </c>
      <c r="D1279" s="217">
        <v>45487.82649305555</v>
      </c>
      <c r="E1279" s="217"/>
      <c r="F1279" s="218" t="s">
        <v>291</v>
      </c>
      <c r="G1279" s="219" t="s">
        <v>3824</v>
      </c>
      <c r="H1279" s="216" t="s">
        <v>795</v>
      </c>
      <c r="I1279" s="216" t="s">
        <v>2292</v>
      </c>
    </row>
    <row r="1280">
      <c r="A1280" s="212" t="s">
        <v>3825</v>
      </c>
      <c r="B1280" s="212" t="s">
        <v>3822</v>
      </c>
      <c r="C1280" s="212" t="s">
        <v>3823</v>
      </c>
      <c r="D1280" s="213">
        <v>45487.82596064815</v>
      </c>
      <c r="E1280" s="227"/>
      <c r="F1280" s="214" t="s">
        <v>391</v>
      </c>
      <c r="G1280" s="215" t="s">
        <v>485</v>
      </c>
      <c r="H1280" s="212" t="s">
        <v>795</v>
      </c>
      <c r="I1280" s="212" t="s">
        <v>2292</v>
      </c>
    </row>
    <row r="1281">
      <c r="A1281" s="212" t="s">
        <v>3826</v>
      </c>
      <c r="B1281" s="212" t="s">
        <v>3827</v>
      </c>
      <c r="C1281" s="212" t="s">
        <v>3828</v>
      </c>
      <c r="D1281" s="213">
        <v>45711.442083333335</v>
      </c>
      <c r="E1281" s="213">
        <v>45711.45145833334</v>
      </c>
      <c r="F1281" s="214" t="s">
        <v>3829</v>
      </c>
      <c r="G1281" s="215" t="s">
        <v>3830</v>
      </c>
      <c r="H1281" s="212" t="s">
        <v>265</v>
      </c>
      <c r="I1281" s="212" t="s">
        <v>3831</v>
      </c>
    </row>
    <row r="1282">
      <c r="A1282" s="212" t="s">
        <v>3832</v>
      </c>
      <c r="B1282" s="212" t="s">
        <v>3827</v>
      </c>
      <c r="C1282" s="212" t="s">
        <v>3828</v>
      </c>
      <c r="D1282" s="213">
        <v>45707.568090277775</v>
      </c>
      <c r="E1282" s="213">
        <v>45707.576469907406</v>
      </c>
      <c r="F1282" s="214" t="s">
        <v>3833</v>
      </c>
      <c r="G1282" s="215" t="s">
        <v>3834</v>
      </c>
      <c r="H1282" s="212" t="s">
        <v>265</v>
      </c>
      <c r="I1282" s="212" t="s">
        <v>3831</v>
      </c>
    </row>
    <row r="1283">
      <c r="A1283" s="212" t="s">
        <v>3835</v>
      </c>
      <c r="B1283" s="212" t="s">
        <v>3827</v>
      </c>
      <c r="C1283" s="212" t="s">
        <v>3828</v>
      </c>
      <c r="D1283" s="213">
        <v>45745.87126157407</v>
      </c>
      <c r="E1283" s="213">
        <v>45745.88199074074</v>
      </c>
      <c r="F1283" s="214" t="s">
        <v>3836</v>
      </c>
      <c r="G1283" s="215" t="s">
        <v>3837</v>
      </c>
      <c r="H1283" s="212" t="s">
        <v>265</v>
      </c>
      <c r="I1283" s="212" t="s">
        <v>3831</v>
      </c>
    </row>
    <row r="1284">
      <c r="A1284" s="212" t="s">
        <v>3838</v>
      </c>
      <c r="B1284" s="212" t="s">
        <v>3827</v>
      </c>
      <c r="C1284" s="212" t="s">
        <v>3828</v>
      </c>
      <c r="D1284" s="213">
        <v>45738.61310185185</v>
      </c>
      <c r="E1284" s="213">
        <v>45738.62168981481</v>
      </c>
      <c r="F1284" s="214" t="s">
        <v>3550</v>
      </c>
      <c r="G1284" s="215" t="s">
        <v>3551</v>
      </c>
      <c r="H1284" s="212" t="s">
        <v>265</v>
      </c>
      <c r="I1284" s="212" t="s">
        <v>3831</v>
      </c>
    </row>
    <row r="1285">
      <c r="A1285" s="212" t="s">
        <v>3839</v>
      </c>
      <c r="B1285" s="212" t="s">
        <v>3827</v>
      </c>
      <c r="C1285" s="212" t="s">
        <v>3828</v>
      </c>
      <c r="D1285" s="213">
        <v>45760.4291087963</v>
      </c>
      <c r="E1285" s="213">
        <v>45760.43767361111</v>
      </c>
      <c r="F1285" s="214" t="s">
        <v>470</v>
      </c>
      <c r="G1285" s="215" t="s">
        <v>790</v>
      </c>
      <c r="H1285" s="212" t="s">
        <v>265</v>
      </c>
      <c r="I1285" s="212" t="s">
        <v>3831</v>
      </c>
    </row>
    <row r="1286">
      <c r="A1286" s="212" t="s">
        <v>3840</v>
      </c>
      <c r="B1286" s="212" t="s">
        <v>3841</v>
      </c>
      <c r="C1286" s="212" t="s">
        <v>3842</v>
      </c>
      <c r="D1286" s="213">
        <v>45485.835625</v>
      </c>
      <c r="E1286" s="227"/>
      <c r="F1286" s="214" t="s">
        <v>391</v>
      </c>
      <c r="G1286" s="215" t="s">
        <v>877</v>
      </c>
      <c r="H1286" s="212" t="s">
        <v>259</v>
      </c>
      <c r="I1286" s="212" t="s">
        <v>3732</v>
      </c>
    </row>
    <row r="1287">
      <c r="A1287" s="212" t="s">
        <v>3840</v>
      </c>
      <c r="B1287" s="212" t="s">
        <v>3841</v>
      </c>
      <c r="C1287" s="212" t="s">
        <v>3842</v>
      </c>
      <c r="D1287" s="213">
        <v>45485.835625</v>
      </c>
      <c r="E1287" s="227"/>
      <c r="F1287" s="214" t="s">
        <v>391</v>
      </c>
      <c r="G1287" s="215" t="s">
        <v>877</v>
      </c>
      <c r="H1287" s="212" t="s">
        <v>259</v>
      </c>
      <c r="I1287" s="212" t="s">
        <v>3732</v>
      </c>
    </row>
    <row r="1288">
      <c r="A1288" s="212" t="s">
        <v>3843</v>
      </c>
      <c r="B1288" s="212" t="s">
        <v>3841</v>
      </c>
      <c r="C1288" s="212" t="s">
        <v>3842</v>
      </c>
      <c r="D1288" s="213">
        <v>45457.440254629626</v>
      </c>
      <c r="E1288" s="213">
        <v>45457.37851851852</v>
      </c>
      <c r="F1288" s="214" t="s">
        <v>435</v>
      </c>
      <c r="G1288" s="215" t="s">
        <v>1379</v>
      </c>
      <c r="H1288" s="212" t="s">
        <v>259</v>
      </c>
      <c r="I1288" s="212" t="s">
        <v>3732</v>
      </c>
    </row>
    <row r="1289">
      <c r="A1289" s="212" t="s">
        <v>3844</v>
      </c>
      <c r="B1289" s="212" t="s">
        <v>3845</v>
      </c>
      <c r="C1289" s="212" t="s">
        <v>3846</v>
      </c>
      <c r="D1289" s="213">
        <v>45540.83980324074</v>
      </c>
      <c r="E1289" s="213"/>
      <c r="F1289" s="214" t="s">
        <v>431</v>
      </c>
      <c r="G1289" s="215" t="s">
        <v>3847</v>
      </c>
      <c r="H1289" s="212" t="s">
        <v>259</v>
      </c>
      <c r="I1289" s="212" t="s">
        <v>1094</v>
      </c>
    </row>
    <row r="1290">
      <c r="A1290" s="216" t="s">
        <v>3848</v>
      </c>
      <c r="B1290" s="216" t="s">
        <v>3845</v>
      </c>
      <c r="C1290" s="216" t="s">
        <v>3849</v>
      </c>
      <c r="D1290" s="217">
        <v>45501.62201388889</v>
      </c>
      <c r="E1290" s="217"/>
      <c r="F1290" s="218" t="s">
        <v>330</v>
      </c>
      <c r="G1290" s="219" t="s">
        <v>3850</v>
      </c>
      <c r="H1290" s="216" t="s">
        <v>561</v>
      </c>
      <c r="I1290" s="216" t="s">
        <v>1094</v>
      </c>
    </row>
    <row r="1291">
      <c r="A1291" s="216" t="s">
        <v>3851</v>
      </c>
      <c r="B1291" s="216" t="s">
        <v>3845</v>
      </c>
      <c r="C1291" s="216" t="s">
        <v>3852</v>
      </c>
      <c r="D1291" s="217">
        <v>45485.58813657407</v>
      </c>
      <c r="E1291" s="217"/>
      <c r="F1291" s="218" t="s">
        <v>330</v>
      </c>
      <c r="G1291" s="219" t="s">
        <v>3853</v>
      </c>
      <c r="H1291" s="216" t="s">
        <v>1345</v>
      </c>
      <c r="I1291" s="216" t="s">
        <v>1094</v>
      </c>
    </row>
    <row r="1292">
      <c r="A1292" s="216" t="s">
        <v>3851</v>
      </c>
      <c r="B1292" s="216" t="s">
        <v>3845</v>
      </c>
      <c r="C1292" s="216" t="s">
        <v>3852</v>
      </c>
      <c r="D1292" s="217">
        <v>45485.58813657407</v>
      </c>
      <c r="E1292" s="217"/>
      <c r="F1292" s="218" t="s">
        <v>330</v>
      </c>
      <c r="G1292" s="219" t="s">
        <v>3853</v>
      </c>
      <c r="H1292" s="216" t="s">
        <v>1345</v>
      </c>
      <c r="I1292" s="216" t="s">
        <v>1094</v>
      </c>
    </row>
    <row r="1293">
      <c r="A1293" s="212" t="s">
        <v>3854</v>
      </c>
      <c r="B1293" s="212" t="s">
        <v>3845</v>
      </c>
      <c r="C1293" s="212" t="s">
        <v>3849</v>
      </c>
      <c r="D1293" s="213">
        <v>45473.62099537037</v>
      </c>
      <c r="E1293" s="213"/>
      <c r="F1293" s="214" t="s">
        <v>470</v>
      </c>
      <c r="G1293" s="215" t="s">
        <v>3855</v>
      </c>
      <c r="H1293" s="212" t="s">
        <v>561</v>
      </c>
      <c r="I1293" s="212" t="s">
        <v>1094</v>
      </c>
    </row>
    <row r="1294">
      <c r="A1294" s="212" t="s">
        <v>3856</v>
      </c>
      <c r="B1294" s="212" t="s">
        <v>3845</v>
      </c>
      <c r="C1294" s="212" t="s">
        <v>3857</v>
      </c>
      <c r="D1294" s="213">
        <v>45458.75591435185</v>
      </c>
      <c r="E1294" s="213">
        <v>45461.555625</v>
      </c>
      <c r="F1294" s="214" t="s">
        <v>503</v>
      </c>
      <c r="G1294" s="215" t="s">
        <v>3778</v>
      </c>
      <c r="H1294" s="212" t="s">
        <v>259</v>
      </c>
      <c r="I1294" s="212" t="s">
        <v>1094</v>
      </c>
    </row>
    <row r="1295">
      <c r="A1295" s="216" t="s">
        <v>3858</v>
      </c>
      <c r="B1295" s="216" t="s">
        <v>3845</v>
      </c>
      <c r="C1295" s="216" t="s">
        <v>3852</v>
      </c>
      <c r="D1295" s="217">
        <v>45458.75184027778</v>
      </c>
      <c r="E1295" s="217">
        <v>45461.329988425925</v>
      </c>
      <c r="F1295" s="218" t="s">
        <v>503</v>
      </c>
      <c r="G1295" s="219" t="s">
        <v>3778</v>
      </c>
      <c r="H1295" s="216" t="s">
        <v>259</v>
      </c>
      <c r="I1295" s="216" t="s">
        <v>1094</v>
      </c>
    </row>
    <row r="1296">
      <c r="A1296" s="216" t="s">
        <v>3859</v>
      </c>
      <c r="B1296" s="216" t="s">
        <v>3860</v>
      </c>
      <c r="C1296" s="216" t="s">
        <v>3861</v>
      </c>
      <c r="D1296" s="217">
        <v>45456.72090277778</v>
      </c>
      <c r="E1296" s="217">
        <v>45456.5209837963</v>
      </c>
      <c r="F1296" s="218" t="s">
        <v>580</v>
      </c>
      <c r="G1296" s="219" t="s">
        <v>2652</v>
      </c>
      <c r="H1296" s="216" t="s">
        <v>265</v>
      </c>
      <c r="I1296" s="216" t="s">
        <v>640</v>
      </c>
    </row>
    <row r="1297">
      <c r="A1297" s="216" t="s">
        <v>3862</v>
      </c>
      <c r="B1297" s="216" t="s">
        <v>3860</v>
      </c>
      <c r="C1297" s="216" t="s">
        <v>3861</v>
      </c>
      <c r="D1297" s="217">
        <v>45452.64582175926</v>
      </c>
      <c r="E1297" s="217"/>
      <c r="F1297" s="218" t="s">
        <v>651</v>
      </c>
      <c r="G1297" s="219" t="s">
        <v>3285</v>
      </c>
      <c r="H1297" s="216" t="s">
        <v>265</v>
      </c>
      <c r="I1297" s="216" t="s">
        <v>640</v>
      </c>
    </row>
    <row r="1298">
      <c r="A1298" s="216" t="s">
        <v>3863</v>
      </c>
      <c r="B1298" s="216" t="s">
        <v>3864</v>
      </c>
      <c r="C1298" s="216" t="s">
        <v>3865</v>
      </c>
      <c r="D1298" s="217">
        <v>45500.87583333333</v>
      </c>
      <c r="E1298" s="217"/>
      <c r="F1298" s="218" t="s">
        <v>250</v>
      </c>
      <c r="G1298" s="219" t="s">
        <v>3866</v>
      </c>
      <c r="H1298" s="216" t="s">
        <v>259</v>
      </c>
      <c r="I1298" s="216" t="s">
        <v>626</v>
      </c>
    </row>
    <row r="1299">
      <c r="A1299" s="216" t="s">
        <v>3867</v>
      </c>
      <c r="B1299" s="216" t="s">
        <v>3864</v>
      </c>
      <c r="C1299" s="216" t="s">
        <v>3865</v>
      </c>
      <c r="D1299" s="217">
        <v>45473.57506944444</v>
      </c>
      <c r="E1299" s="217"/>
      <c r="F1299" s="218" t="s">
        <v>431</v>
      </c>
      <c r="G1299" s="219" t="s">
        <v>3868</v>
      </c>
      <c r="H1299" s="216" t="s">
        <v>535</v>
      </c>
      <c r="I1299" s="216" t="s">
        <v>626</v>
      </c>
    </row>
    <row r="1300">
      <c r="A1300" s="216" t="s">
        <v>3869</v>
      </c>
      <c r="B1300" s="216" t="s">
        <v>3870</v>
      </c>
      <c r="C1300" s="216" t="s">
        <v>3871</v>
      </c>
      <c r="D1300" s="217">
        <v>45706.581655092596</v>
      </c>
      <c r="E1300" s="217">
        <v>45707.607719907406</v>
      </c>
      <c r="F1300" s="218" t="s">
        <v>281</v>
      </c>
      <c r="G1300" s="219" t="s">
        <v>3872</v>
      </c>
      <c r="H1300" s="216" t="s">
        <v>356</v>
      </c>
      <c r="I1300" s="216" t="s">
        <v>1302</v>
      </c>
    </row>
    <row r="1301">
      <c r="A1301" s="212" t="s">
        <v>3873</v>
      </c>
      <c r="B1301" s="212" t="s">
        <v>3874</v>
      </c>
      <c r="C1301" s="212" t="s">
        <v>3875</v>
      </c>
      <c r="D1301" s="213">
        <v>45530.57748842592</v>
      </c>
      <c r="E1301" s="213"/>
      <c r="F1301" s="214" t="s">
        <v>493</v>
      </c>
      <c r="G1301" s="215" t="s">
        <v>3876</v>
      </c>
      <c r="H1301" s="212" t="s">
        <v>346</v>
      </c>
      <c r="I1301" s="212" t="s">
        <v>1242</v>
      </c>
    </row>
    <row r="1302">
      <c r="A1302" s="216" t="s">
        <v>3877</v>
      </c>
      <c r="B1302" s="216" t="s">
        <v>3874</v>
      </c>
      <c r="C1302" s="216" t="s">
        <v>3878</v>
      </c>
      <c r="D1302" s="217">
        <v>45530.57677083334</v>
      </c>
      <c r="E1302" s="217"/>
      <c r="F1302" s="218" t="s">
        <v>291</v>
      </c>
      <c r="G1302" s="219" t="s">
        <v>1908</v>
      </c>
      <c r="H1302" s="216" t="s">
        <v>811</v>
      </c>
      <c r="I1302" s="216" t="s">
        <v>1242</v>
      </c>
    </row>
    <row r="1303">
      <c r="A1303" s="212" t="s">
        <v>3879</v>
      </c>
      <c r="B1303" s="212" t="s">
        <v>3874</v>
      </c>
      <c r="C1303" s="212" t="s">
        <v>3878</v>
      </c>
      <c r="D1303" s="213">
        <v>45504.76969907407</v>
      </c>
      <c r="E1303" s="213"/>
      <c r="F1303" s="214" t="s">
        <v>3880</v>
      </c>
      <c r="G1303" s="215" t="s">
        <v>3881</v>
      </c>
      <c r="H1303" s="212" t="s">
        <v>811</v>
      </c>
      <c r="I1303" s="212" t="s">
        <v>1242</v>
      </c>
    </row>
    <row r="1304">
      <c r="A1304" s="212" t="s">
        <v>3882</v>
      </c>
      <c r="B1304" s="212" t="s">
        <v>3874</v>
      </c>
      <c r="C1304" s="212" t="s">
        <v>3883</v>
      </c>
      <c r="D1304" s="213">
        <v>45490.6634375</v>
      </c>
      <c r="E1304" s="213"/>
      <c r="F1304" s="214" t="s">
        <v>269</v>
      </c>
      <c r="G1304" s="215" t="s">
        <v>3884</v>
      </c>
      <c r="H1304" s="212" t="s">
        <v>346</v>
      </c>
      <c r="I1304" s="212" t="s">
        <v>1714</v>
      </c>
    </row>
    <row r="1305">
      <c r="A1305" s="212" t="s">
        <v>3882</v>
      </c>
      <c r="B1305" s="212" t="s">
        <v>3874</v>
      </c>
      <c r="C1305" s="212" t="s">
        <v>3883</v>
      </c>
      <c r="D1305" s="213">
        <v>45490.6634375</v>
      </c>
      <c r="E1305" s="213"/>
      <c r="F1305" s="214" t="s">
        <v>269</v>
      </c>
      <c r="G1305" s="215" t="s">
        <v>3884</v>
      </c>
      <c r="H1305" s="212" t="s">
        <v>346</v>
      </c>
      <c r="I1305" s="212" t="s">
        <v>1714</v>
      </c>
    </row>
    <row r="1306">
      <c r="A1306" s="216" t="s">
        <v>3885</v>
      </c>
      <c r="B1306" s="216" t="s">
        <v>3874</v>
      </c>
      <c r="C1306" s="216" t="s">
        <v>3875</v>
      </c>
      <c r="D1306" s="217">
        <v>45473.510833333334</v>
      </c>
      <c r="E1306" s="217"/>
      <c r="F1306" s="218" t="s">
        <v>1884</v>
      </c>
      <c r="G1306" s="219" t="s">
        <v>3886</v>
      </c>
      <c r="H1306" s="216" t="s">
        <v>346</v>
      </c>
      <c r="I1306" s="216" t="s">
        <v>1242</v>
      </c>
    </row>
    <row r="1307">
      <c r="A1307" s="212" t="s">
        <v>3887</v>
      </c>
      <c r="B1307" s="212" t="s">
        <v>3874</v>
      </c>
      <c r="C1307" s="212" t="s">
        <v>3878</v>
      </c>
      <c r="D1307" s="213">
        <v>45469.44826388889</v>
      </c>
      <c r="E1307" s="213"/>
      <c r="F1307" s="214" t="s">
        <v>563</v>
      </c>
      <c r="G1307" s="215" t="s">
        <v>3888</v>
      </c>
      <c r="H1307" s="212" t="s">
        <v>346</v>
      </c>
      <c r="I1307" s="212" t="s">
        <v>1242</v>
      </c>
    </row>
    <row r="1308">
      <c r="A1308" s="212" t="s">
        <v>3889</v>
      </c>
      <c r="B1308" s="212" t="s">
        <v>3874</v>
      </c>
      <c r="C1308" s="212" t="s">
        <v>3875</v>
      </c>
      <c r="D1308" s="213">
        <v>45465.5315625</v>
      </c>
      <c r="E1308" s="213"/>
      <c r="F1308" s="214" t="s">
        <v>1652</v>
      </c>
      <c r="G1308" s="215" t="s">
        <v>3890</v>
      </c>
      <c r="H1308" s="212" t="s">
        <v>346</v>
      </c>
      <c r="I1308" s="212" t="s">
        <v>1242</v>
      </c>
    </row>
    <row r="1309">
      <c r="A1309" s="216" t="s">
        <v>3891</v>
      </c>
      <c r="B1309" s="216" t="s">
        <v>3874</v>
      </c>
      <c r="C1309" s="216" t="s">
        <v>3875</v>
      </c>
      <c r="D1309" s="217">
        <v>45457.472719907404</v>
      </c>
      <c r="E1309" s="217">
        <v>45457.4028587963</v>
      </c>
      <c r="F1309" s="218" t="s">
        <v>1092</v>
      </c>
      <c r="G1309" s="219" t="s">
        <v>3892</v>
      </c>
      <c r="H1309" s="216" t="s">
        <v>346</v>
      </c>
      <c r="I1309" s="216" t="s">
        <v>1242</v>
      </c>
    </row>
    <row r="1310">
      <c r="A1310" s="216" t="s">
        <v>3893</v>
      </c>
      <c r="B1310" s="216" t="s">
        <v>3874</v>
      </c>
      <c r="C1310" s="216" t="s">
        <v>3875</v>
      </c>
      <c r="D1310" s="217">
        <v>45451.4975</v>
      </c>
      <c r="E1310" s="217">
        <v>45451.36824074074</v>
      </c>
      <c r="F1310" s="218" t="s">
        <v>3403</v>
      </c>
      <c r="G1310" s="219" t="s">
        <v>3894</v>
      </c>
      <c r="H1310" s="216" t="s">
        <v>346</v>
      </c>
      <c r="I1310" s="216" t="s">
        <v>1242</v>
      </c>
    </row>
    <row r="1311">
      <c r="A1311" s="216" t="s">
        <v>3895</v>
      </c>
      <c r="B1311" s="216" t="s">
        <v>3896</v>
      </c>
      <c r="C1311" s="216" t="s">
        <v>3897</v>
      </c>
      <c r="D1311" s="217">
        <v>45434.82497685185</v>
      </c>
      <c r="E1311" s="217">
        <v>45434.62509259259</v>
      </c>
      <c r="F1311" s="218" t="s">
        <v>470</v>
      </c>
      <c r="G1311" s="219" t="s">
        <v>3898</v>
      </c>
      <c r="H1311" s="216" t="s">
        <v>265</v>
      </c>
      <c r="I1311" s="216" t="s">
        <v>399</v>
      </c>
    </row>
    <row r="1312">
      <c r="A1312" s="216" t="s">
        <v>3899</v>
      </c>
      <c r="B1312" s="216" t="s">
        <v>3900</v>
      </c>
      <c r="C1312" s="216" t="s">
        <v>2863</v>
      </c>
      <c r="D1312" s="217">
        <v>45704.84912037037</v>
      </c>
      <c r="E1312" s="217">
        <v>45704.86115740741</v>
      </c>
      <c r="F1312" s="218" t="s">
        <v>431</v>
      </c>
      <c r="G1312" s="219" t="s">
        <v>432</v>
      </c>
      <c r="H1312" s="216" t="s">
        <v>561</v>
      </c>
      <c r="I1312" s="216" t="s">
        <v>3901</v>
      </c>
    </row>
    <row r="1313">
      <c r="A1313" s="212" t="s">
        <v>3902</v>
      </c>
      <c r="B1313" s="212" t="s">
        <v>3900</v>
      </c>
      <c r="C1313" s="212" t="s">
        <v>2863</v>
      </c>
      <c r="D1313" s="213">
        <v>45746.59037037037</v>
      </c>
      <c r="E1313" s="213">
        <v>45746.60429398148</v>
      </c>
      <c r="F1313" s="214" t="s">
        <v>431</v>
      </c>
      <c r="G1313" s="215" t="s">
        <v>3903</v>
      </c>
      <c r="H1313" s="212" t="s">
        <v>561</v>
      </c>
      <c r="I1313" s="212" t="s">
        <v>3901</v>
      </c>
    </row>
    <row r="1314">
      <c r="A1314" s="212" t="s">
        <v>3904</v>
      </c>
      <c r="B1314" s="212" t="s">
        <v>3900</v>
      </c>
      <c r="C1314" s="212" t="s">
        <v>2863</v>
      </c>
      <c r="D1314" s="213">
        <v>45750.553611111114</v>
      </c>
      <c r="E1314" s="213">
        <v>45750.566030092596</v>
      </c>
      <c r="F1314" s="214" t="s">
        <v>291</v>
      </c>
      <c r="G1314" s="215" t="s">
        <v>3905</v>
      </c>
      <c r="H1314" s="212" t="s">
        <v>561</v>
      </c>
      <c r="I1314" s="212" t="s">
        <v>3901</v>
      </c>
    </row>
    <row r="1315">
      <c r="A1315" s="216" t="s">
        <v>3906</v>
      </c>
      <c r="B1315" s="216" t="s">
        <v>3907</v>
      </c>
      <c r="C1315" s="216" t="s">
        <v>3908</v>
      </c>
      <c r="D1315" s="217">
        <v>45773.83018518519</v>
      </c>
      <c r="E1315" s="217">
        <v>45774.49313657408</v>
      </c>
      <c r="F1315" s="218" t="s">
        <v>645</v>
      </c>
      <c r="G1315" s="219" t="s">
        <v>3780</v>
      </c>
      <c r="H1315" s="216" t="s">
        <v>259</v>
      </c>
      <c r="I1315" s="216" t="s">
        <v>3909</v>
      </c>
    </row>
    <row r="1316">
      <c r="A1316" s="212" t="s">
        <v>3910</v>
      </c>
      <c r="B1316" s="212" t="s">
        <v>3911</v>
      </c>
      <c r="C1316" s="212" t="s">
        <v>3304</v>
      </c>
      <c r="D1316" s="213">
        <v>45522.767592592594</v>
      </c>
      <c r="E1316" s="213"/>
      <c r="F1316" s="214" t="s">
        <v>1779</v>
      </c>
      <c r="G1316" s="215" t="s">
        <v>3912</v>
      </c>
      <c r="H1316" s="212" t="s">
        <v>632</v>
      </c>
      <c r="I1316" s="212" t="s">
        <v>3305</v>
      </c>
    </row>
    <row r="1317">
      <c r="A1317" s="216" t="s">
        <v>3913</v>
      </c>
      <c r="B1317" s="216" t="s">
        <v>3914</v>
      </c>
      <c r="C1317" s="216" t="s">
        <v>3915</v>
      </c>
      <c r="D1317" s="217">
        <v>45548.85020833334</v>
      </c>
      <c r="E1317" s="217"/>
      <c r="F1317" s="218" t="s">
        <v>645</v>
      </c>
      <c r="G1317" s="219" t="s">
        <v>3916</v>
      </c>
      <c r="H1317" s="216" t="s">
        <v>398</v>
      </c>
      <c r="I1317" s="216" t="s">
        <v>1673</v>
      </c>
    </row>
    <row r="1318">
      <c r="A1318" s="216" t="s">
        <v>3917</v>
      </c>
      <c r="B1318" s="216" t="s">
        <v>3914</v>
      </c>
      <c r="C1318" s="216" t="s">
        <v>3915</v>
      </c>
      <c r="D1318" s="217">
        <v>45542.740219907406</v>
      </c>
      <c r="E1318" s="217"/>
      <c r="F1318" s="218" t="s">
        <v>431</v>
      </c>
      <c r="G1318" s="219" t="s">
        <v>3272</v>
      </c>
      <c r="H1318" s="216" t="s">
        <v>398</v>
      </c>
      <c r="I1318" s="216" t="s">
        <v>1673</v>
      </c>
    </row>
    <row r="1319">
      <c r="A1319" s="216" t="s">
        <v>3918</v>
      </c>
      <c r="B1319" s="216" t="s">
        <v>3914</v>
      </c>
      <c r="C1319" s="216" t="s">
        <v>3915</v>
      </c>
      <c r="D1319" s="217">
        <v>45478.63144675926</v>
      </c>
      <c r="E1319" s="217"/>
      <c r="F1319" s="218" t="s">
        <v>538</v>
      </c>
      <c r="G1319" s="219" t="s">
        <v>2672</v>
      </c>
      <c r="H1319" s="216" t="s">
        <v>398</v>
      </c>
      <c r="I1319" s="216" t="s">
        <v>1673</v>
      </c>
    </row>
    <row r="1320">
      <c r="A1320" s="216" t="s">
        <v>3919</v>
      </c>
      <c r="B1320" s="216" t="s">
        <v>3914</v>
      </c>
      <c r="C1320" s="216" t="s">
        <v>3915</v>
      </c>
      <c r="D1320" s="217">
        <v>45473.55810185185</v>
      </c>
      <c r="E1320" s="217"/>
      <c r="F1320" s="218" t="s">
        <v>431</v>
      </c>
      <c r="G1320" s="219" t="s">
        <v>3920</v>
      </c>
      <c r="H1320" s="216" t="s">
        <v>398</v>
      </c>
      <c r="I1320" s="216" t="s">
        <v>1673</v>
      </c>
    </row>
    <row r="1321">
      <c r="A1321" s="216" t="s">
        <v>3921</v>
      </c>
      <c r="B1321" s="216" t="s">
        <v>3914</v>
      </c>
      <c r="C1321" s="216" t="s">
        <v>3922</v>
      </c>
      <c r="D1321" s="217">
        <v>45716.85157407408</v>
      </c>
      <c r="E1321" s="217">
        <v>45716.86115740741</v>
      </c>
      <c r="F1321" s="218" t="s">
        <v>1458</v>
      </c>
      <c r="G1321" s="219" t="s">
        <v>3923</v>
      </c>
      <c r="H1321" s="216" t="s">
        <v>259</v>
      </c>
      <c r="I1321" s="216" t="s">
        <v>1673</v>
      </c>
    </row>
    <row r="1322">
      <c r="A1322" s="212" t="s">
        <v>3924</v>
      </c>
      <c r="B1322" s="212" t="s">
        <v>3914</v>
      </c>
      <c r="C1322" s="212" t="s">
        <v>3915</v>
      </c>
      <c r="D1322" s="213">
        <v>45716.84413194445</v>
      </c>
      <c r="E1322" s="213">
        <v>45716.85768518518</v>
      </c>
      <c r="F1322" s="214" t="s">
        <v>1458</v>
      </c>
      <c r="G1322" s="215" t="s">
        <v>3923</v>
      </c>
      <c r="H1322" s="212" t="s">
        <v>561</v>
      </c>
      <c r="I1322" s="212" t="s">
        <v>1673</v>
      </c>
    </row>
    <row r="1323">
      <c r="A1323" s="216" t="s">
        <v>3925</v>
      </c>
      <c r="B1323" s="216" t="s">
        <v>3914</v>
      </c>
      <c r="C1323" s="216" t="s">
        <v>3915</v>
      </c>
      <c r="D1323" s="217">
        <v>45710.83346064815</v>
      </c>
      <c r="E1323" s="217">
        <v>45710.84386574074</v>
      </c>
      <c r="F1323" s="218" t="s">
        <v>1458</v>
      </c>
      <c r="G1323" s="219" t="s">
        <v>3926</v>
      </c>
      <c r="H1323" s="216" t="s">
        <v>561</v>
      </c>
      <c r="I1323" s="216" t="s">
        <v>1673</v>
      </c>
    </row>
    <row r="1324">
      <c r="A1324" s="216" t="s">
        <v>3927</v>
      </c>
      <c r="B1324" s="216" t="s">
        <v>3914</v>
      </c>
      <c r="C1324" s="216" t="s">
        <v>3922</v>
      </c>
      <c r="D1324" s="217">
        <v>45746.776967592596</v>
      </c>
      <c r="E1324" s="217">
        <v>45746.78481481481</v>
      </c>
      <c r="F1324" s="218" t="s">
        <v>269</v>
      </c>
      <c r="G1324" s="219" t="s">
        <v>3928</v>
      </c>
      <c r="H1324" s="216" t="s">
        <v>259</v>
      </c>
      <c r="I1324" s="216" t="s">
        <v>1673</v>
      </c>
    </row>
    <row r="1325">
      <c r="A1325" s="216" t="s">
        <v>3929</v>
      </c>
      <c r="B1325" s="216" t="s">
        <v>3930</v>
      </c>
      <c r="C1325" s="216" t="s">
        <v>3931</v>
      </c>
      <c r="D1325" s="217">
        <v>45507.51393518518</v>
      </c>
      <c r="E1325" s="225"/>
      <c r="F1325" s="218" t="s">
        <v>470</v>
      </c>
      <c r="G1325" s="219" t="s">
        <v>3932</v>
      </c>
      <c r="H1325" s="216" t="s">
        <v>632</v>
      </c>
      <c r="I1325" s="216" t="s">
        <v>260</v>
      </c>
    </row>
    <row r="1326">
      <c r="A1326" s="216" t="s">
        <v>3933</v>
      </c>
      <c r="B1326" s="216" t="s">
        <v>3930</v>
      </c>
      <c r="C1326" s="216" t="s">
        <v>3934</v>
      </c>
      <c r="D1326" s="217">
        <v>45487.656064814815</v>
      </c>
      <c r="E1326" s="217"/>
      <c r="F1326" s="218" t="s">
        <v>250</v>
      </c>
      <c r="G1326" s="219" t="s">
        <v>2456</v>
      </c>
      <c r="H1326" s="216" t="s">
        <v>561</v>
      </c>
      <c r="I1326" s="216" t="s">
        <v>260</v>
      </c>
    </row>
    <row r="1327">
      <c r="A1327" s="216" t="s">
        <v>3933</v>
      </c>
      <c r="B1327" s="216" t="s">
        <v>3930</v>
      </c>
      <c r="C1327" s="216" t="s">
        <v>3934</v>
      </c>
      <c r="D1327" s="217">
        <v>45487.656064814815</v>
      </c>
      <c r="E1327" s="217"/>
      <c r="F1327" s="218" t="s">
        <v>250</v>
      </c>
      <c r="G1327" s="219" t="s">
        <v>2456</v>
      </c>
      <c r="H1327" s="216" t="s">
        <v>561</v>
      </c>
      <c r="I1327" s="216" t="s">
        <v>260</v>
      </c>
    </row>
    <row r="1328">
      <c r="A1328" s="212" t="s">
        <v>3935</v>
      </c>
      <c r="B1328" s="212" t="s">
        <v>3930</v>
      </c>
      <c r="C1328" s="212" t="s">
        <v>3934</v>
      </c>
      <c r="D1328" s="213">
        <v>45479.7009375</v>
      </c>
      <c r="E1328" s="213"/>
      <c r="F1328" s="214" t="s">
        <v>250</v>
      </c>
      <c r="G1328" s="215" t="s">
        <v>2574</v>
      </c>
      <c r="H1328" s="212" t="s">
        <v>561</v>
      </c>
      <c r="I1328" s="212" t="s">
        <v>260</v>
      </c>
    </row>
    <row r="1329">
      <c r="A1329" s="212" t="s">
        <v>3936</v>
      </c>
      <c r="B1329" s="212" t="s">
        <v>3930</v>
      </c>
      <c r="C1329" s="212" t="s">
        <v>3931</v>
      </c>
      <c r="D1329" s="213">
        <v>45477.565300925926</v>
      </c>
      <c r="E1329" s="227"/>
      <c r="F1329" s="214" t="s">
        <v>250</v>
      </c>
      <c r="G1329" s="215" t="s">
        <v>2574</v>
      </c>
      <c r="H1329" s="212" t="s">
        <v>632</v>
      </c>
      <c r="I1329" s="212" t="s">
        <v>260</v>
      </c>
    </row>
    <row r="1330">
      <c r="A1330" s="212" t="s">
        <v>3937</v>
      </c>
      <c r="B1330" s="212" t="s">
        <v>3938</v>
      </c>
      <c r="C1330" s="212" t="s">
        <v>3939</v>
      </c>
      <c r="D1330" s="213">
        <v>45479.46902777778</v>
      </c>
      <c r="E1330" s="213"/>
      <c r="F1330" s="214" t="s">
        <v>503</v>
      </c>
      <c r="G1330" s="215" t="s">
        <v>3940</v>
      </c>
      <c r="H1330" s="212" t="s">
        <v>259</v>
      </c>
      <c r="I1330" s="212" t="s">
        <v>3375</v>
      </c>
    </row>
    <row r="1331">
      <c r="A1331" s="216" t="s">
        <v>3941</v>
      </c>
      <c r="B1331" s="216" t="s">
        <v>3938</v>
      </c>
      <c r="C1331" s="216" t="s">
        <v>3942</v>
      </c>
      <c r="D1331" s="217">
        <v>45479.466782407406</v>
      </c>
      <c r="E1331" s="217"/>
      <c r="F1331" s="218" t="s">
        <v>1487</v>
      </c>
      <c r="G1331" s="219" t="s">
        <v>3943</v>
      </c>
      <c r="H1331" s="216" t="s">
        <v>259</v>
      </c>
      <c r="I1331" s="216" t="s">
        <v>3375</v>
      </c>
    </row>
    <row r="1332">
      <c r="A1332" s="216" t="s">
        <v>3944</v>
      </c>
      <c r="B1332" s="216" t="s">
        <v>3945</v>
      </c>
      <c r="C1332" s="216" t="s">
        <v>3786</v>
      </c>
      <c r="D1332" s="217">
        <v>45746.670486111114</v>
      </c>
      <c r="E1332" s="217">
        <v>45747.52444444445</v>
      </c>
      <c r="F1332" s="218" t="s">
        <v>765</v>
      </c>
      <c r="G1332" s="219" t="s">
        <v>3946</v>
      </c>
      <c r="H1332" s="216" t="s">
        <v>259</v>
      </c>
      <c r="I1332" s="216" t="s">
        <v>313</v>
      </c>
    </row>
    <row r="1333">
      <c r="A1333" s="216" t="s">
        <v>3947</v>
      </c>
      <c r="B1333" s="216" t="s">
        <v>3945</v>
      </c>
      <c r="C1333" s="216" t="s">
        <v>3786</v>
      </c>
      <c r="D1333" s="217">
        <v>45759.63337962963</v>
      </c>
      <c r="E1333" s="217">
        <v>45759.73972222222</v>
      </c>
      <c r="F1333" s="218" t="s">
        <v>1954</v>
      </c>
      <c r="G1333" s="219" t="s">
        <v>3948</v>
      </c>
      <c r="H1333" s="216" t="s">
        <v>259</v>
      </c>
      <c r="I1333" s="216" t="s">
        <v>313</v>
      </c>
    </row>
    <row r="1334">
      <c r="A1334" s="212" t="s">
        <v>3949</v>
      </c>
      <c r="B1334" s="212" t="s">
        <v>3950</v>
      </c>
      <c r="C1334" s="212" t="s">
        <v>3951</v>
      </c>
      <c r="D1334" s="213">
        <v>45541.837847222225</v>
      </c>
      <c r="E1334" s="213"/>
      <c r="F1334" s="214" t="s">
        <v>3436</v>
      </c>
      <c r="G1334" s="215" t="s">
        <v>3952</v>
      </c>
      <c r="H1334" s="212" t="s">
        <v>259</v>
      </c>
      <c r="I1334" s="212" t="s">
        <v>755</v>
      </c>
    </row>
    <row r="1335">
      <c r="A1335" s="212" t="s">
        <v>3953</v>
      </c>
      <c r="B1335" s="212" t="s">
        <v>3950</v>
      </c>
      <c r="C1335" s="212" t="s">
        <v>3951</v>
      </c>
      <c r="D1335" s="213">
        <v>45507.84260416667</v>
      </c>
      <c r="E1335" s="213"/>
      <c r="F1335" s="214" t="s">
        <v>730</v>
      </c>
      <c r="G1335" s="215" t="s">
        <v>3954</v>
      </c>
      <c r="H1335" s="212" t="s">
        <v>259</v>
      </c>
      <c r="I1335" s="212" t="s">
        <v>755</v>
      </c>
    </row>
    <row r="1336">
      <c r="A1336" s="212" t="s">
        <v>3955</v>
      </c>
      <c r="B1336" s="212" t="s">
        <v>3956</v>
      </c>
      <c r="C1336" s="212" t="s">
        <v>3957</v>
      </c>
      <c r="D1336" s="213">
        <v>45550.81327546296</v>
      </c>
      <c r="E1336" s="213"/>
      <c r="F1336" s="214" t="s">
        <v>1333</v>
      </c>
      <c r="G1336" s="215" t="s">
        <v>3958</v>
      </c>
      <c r="H1336" s="212" t="s">
        <v>561</v>
      </c>
      <c r="I1336" s="212" t="s">
        <v>640</v>
      </c>
    </row>
    <row r="1337">
      <c r="A1337" s="216" t="s">
        <v>3959</v>
      </c>
      <c r="B1337" s="216" t="s">
        <v>3956</v>
      </c>
      <c r="C1337" s="216" t="s">
        <v>3957</v>
      </c>
      <c r="D1337" s="217">
        <v>45536.65012731482</v>
      </c>
      <c r="E1337" s="217"/>
      <c r="F1337" s="218" t="s">
        <v>291</v>
      </c>
      <c r="G1337" s="219" t="s">
        <v>3960</v>
      </c>
      <c r="H1337" s="216" t="s">
        <v>252</v>
      </c>
      <c r="I1337" s="216" t="s">
        <v>640</v>
      </c>
    </row>
    <row r="1338">
      <c r="A1338" s="216" t="s">
        <v>3961</v>
      </c>
      <c r="B1338" s="216" t="s">
        <v>3956</v>
      </c>
      <c r="C1338" s="216" t="s">
        <v>3957</v>
      </c>
      <c r="D1338" s="217">
        <v>45530.8815625</v>
      </c>
      <c r="E1338" s="217"/>
      <c r="F1338" s="218" t="s">
        <v>648</v>
      </c>
      <c r="G1338" s="219" t="s">
        <v>3962</v>
      </c>
      <c r="H1338" s="216" t="s">
        <v>561</v>
      </c>
      <c r="I1338" s="216" t="s">
        <v>640</v>
      </c>
    </row>
    <row r="1339">
      <c r="A1339" s="216" t="s">
        <v>3963</v>
      </c>
      <c r="B1339" s="216" t="s">
        <v>3956</v>
      </c>
      <c r="C1339" s="216" t="s">
        <v>3957</v>
      </c>
      <c r="D1339" s="217">
        <v>45501.53028935185</v>
      </c>
      <c r="E1339" s="217"/>
      <c r="F1339" s="218" t="s">
        <v>470</v>
      </c>
      <c r="G1339" s="219" t="s">
        <v>3964</v>
      </c>
      <c r="H1339" s="216" t="s">
        <v>252</v>
      </c>
      <c r="I1339" s="216" t="s">
        <v>640</v>
      </c>
    </row>
    <row r="1340">
      <c r="A1340" s="216" t="s">
        <v>3965</v>
      </c>
      <c r="B1340" s="216" t="s">
        <v>3956</v>
      </c>
      <c r="C1340" s="216" t="s">
        <v>3957</v>
      </c>
      <c r="D1340" s="217">
        <v>45480.47987268519</v>
      </c>
      <c r="E1340" s="217"/>
      <c r="F1340" s="218" t="s">
        <v>250</v>
      </c>
      <c r="G1340" s="219" t="s">
        <v>2574</v>
      </c>
      <c r="H1340" s="216" t="s">
        <v>252</v>
      </c>
      <c r="I1340" s="216" t="s">
        <v>640</v>
      </c>
    </row>
    <row r="1341">
      <c r="A1341" s="212" t="s">
        <v>3966</v>
      </c>
      <c r="B1341" s="212" t="s">
        <v>3956</v>
      </c>
      <c r="C1341" s="212" t="s">
        <v>3957</v>
      </c>
      <c r="D1341" s="213">
        <v>45472.91465277778</v>
      </c>
      <c r="E1341" s="213"/>
      <c r="F1341" s="214" t="s">
        <v>658</v>
      </c>
      <c r="G1341" s="215" t="s">
        <v>3967</v>
      </c>
      <c r="H1341" s="212" t="s">
        <v>252</v>
      </c>
      <c r="I1341" s="212" t="s">
        <v>640</v>
      </c>
    </row>
    <row r="1342">
      <c r="A1342" s="212" t="s">
        <v>3968</v>
      </c>
      <c r="B1342" s="212" t="s">
        <v>3956</v>
      </c>
      <c r="C1342" s="212" t="s">
        <v>3957</v>
      </c>
      <c r="D1342" s="213">
        <v>45464.8953587963</v>
      </c>
      <c r="E1342" s="213"/>
      <c r="F1342" s="214" t="s">
        <v>250</v>
      </c>
      <c r="G1342" s="215" t="s">
        <v>3969</v>
      </c>
      <c r="H1342" s="212" t="s">
        <v>252</v>
      </c>
      <c r="I1342" s="212" t="s">
        <v>640</v>
      </c>
    </row>
    <row r="1343">
      <c r="A1343" s="212" t="s">
        <v>3970</v>
      </c>
      <c r="B1343" s="212" t="s">
        <v>3956</v>
      </c>
      <c r="C1343" s="212" t="s">
        <v>3957</v>
      </c>
      <c r="D1343" s="213">
        <v>45458.78628472222</v>
      </c>
      <c r="E1343" s="213">
        <v>45458.597291666665</v>
      </c>
      <c r="F1343" s="214" t="s">
        <v>250</v>
      </c>
      <c r="G1343" s="215" t="s">
        <v>3866</v>
      </c>
      <c r="H1343" s="212" t="s">
        <v>252</v>
      </c>
      <c r="I1343" s="212" t="s">
        <v>640</v>
      </c>
    </row>
    <row r="1344">
      <c r="A1344" s="216" t="s">
        <v>3971</v>
      </c>
      <c r="B1344" s="216" t="s">
        <v>3956</v>
      </c>
      <c r="C1344" s="216" t="s">
        <v>3957</v>
      </c>
      <c r="D1344" s="217">
        <v>45451.77149305555</v>
      </c>
      <c r="E1344" s="217">
        <v>45451.58008101852</v>
      </c>
      <c r="F1344" s="218" t="s">
        <v>658</v>
      </c>
      <c r="G1344" s="219" t="s">
        <v>3972</v>
      </c>
      <c r="H1344" s="216" t="s">
        <v>252</v>
      </c>
      <c r="I1344" s="216" t="s">
        <v>640</v>
      </c>
    </row>
    <row r="1345">
      <c r="A1345" s="216" t="s">
        <v>3973</v>
      </c>
      <c r="B1345" s="216" t="s">
        <v>3956</v>
      </c>
      <c r="C1345" s="216" t="s">
        <v>3957</v>
      </c>
      <c r="D1345" s="217">
        <v>45445.69976851852</v>
      </c>
      <c r="E1345" s="217">
        <v>45445.51053240741</v>
      </c>
      <c r="F1345" s="218" t="s">
        <v>339</v>
      </c>
      <c r="G1345" s="219" t="s">
        <v>3974</v>
      </c>
      <c r="H1345" s="216" t="s">
        <v>252</v>
      </c>
      <c r="I1345" s="216" t="s">
        <v>640</v>
      </c>
    </row>
    <row r="1346">
      <c r="A1346" s="216" t="s">
        <v>3975</v>
      </c>
      <c r="B1346" s="216" t="s">
        <v>3956</v>
      </c>
      <c r="C1346" s="216" t="s">
        <v>3957</v>
      </c>
      <c r="D1346" s="217">
        <v>45733.50269675926</v>
      </c>
      <c r="E1346" s="217">
        <v>45733.51403935185</v>
      </c>
      <c r="F1346" s="218" t="s">
        <v>503</v>
      </c>
      <c r="G1346" s="219" t="s">
        <v>3976</v>
      </c>
      <c r="H1346" s="216" t="s">
        <v>561</v>
      </c>
      <c r="I1346" s="216" t="s">
        <v>640</v>
      </c>
    </row>
    <row r="1347">
      <c r="A1347" s="216" t="s">
        <v>3977</v>
      </c>
      <c r="B1347" s="216" t="s">
        <v>3978</v>
      </c>
      <c r="C1347" s="216" t="s">
        <v>3979</v>
      </c>
      <c r="D1347" s="217">
        <v>45542.709027777775</v>
      </c>
      <c r="E1347" s="217"/>
      <c r="F1347" s="218" t="s">
        <v>431</v>
      </c>
      <c r="G1347" s="219" t="s">
        <v>3272</v>
      </c>
      <c r="H1347" s="216" t="s">
        <v>259</v>
      </c>
      <c r="I1347" s="216" t="s">
        <v>260</v>
      </c>
    </row>
    <row r="1348">
      <c r="A1348" s="212" t="s">
        <v>3980</v>
      </c>
      <c r="B1348" s="212" t="s">
        <v>3978</v>
      </c>
      <c r="C1348" s="212" t="s">
        <v>3979</v>
      </c>
      <c r="D1348" s="213">
        <v>45520.71519675926</v>
      </c>
      <c r="E1348" s="213"/>
      <c r="F1348" s="214" t="s">
        <v>503</v>
      </c>
      <c r="G1348" s="215" t="s">
        <v>3981</v>
      </c>
      <c r="H1348" s="212" t="s">
        <v>259</v>
      </c>
      <c r="I1348" s="212" t="s">
        <v>260</v>
      </c>
    </row>
    <row r="1349">
      <c r="A1349" s="212" t="s">
        <v>3982</v>
      </c>
      <c r="B1349" s="212" t="s">
        <v>3978</v>
      </c>
      <c r="C1349" s="212" t="s">
        <v>3979</v>
      </c>
      <c r="D1349" s="213">
        <v>45517.73667824074</v>
      </c>
      <c r="E1349" s="213"/>
      <c r="F1349" s="214" t="s">
        <v>431</v>
      </c>
      <c r="G1349" s="215" t="s">
        <v>3983</v>
      </c>
      <c r="H1349" s="212" t="s">
        <v>259</v>
      </c>
      <c r="I1349" s="212" t="s">
        <v>260</v>
      </c>
    </row>
    <row r="1350">
      <c r="A1350" s="212" t="s">
        <v>3984</v>
      </c>
      <c r="B1350" s="212" t="s">
        <v>3978</v>
      </c>
      <c r="C1350" s="212" t="s">
        <v>3985</v>
      </c>
      <c r="D1350" s="213">
        <v>45505.718993055554</v>
      </c>
      <c r="E1350" s="213"/>
      <c r="F1350" s="214" t="s">
        <v>250</v>
      </c>
      <c r="G1350" s="215" t="s">
        <v>3866</v>
      </c>
      <c r="H1350" s="212" t="s">
        <v>293</v>
      </c>
      <c r="I1350" s="212" t="s">
        <v>260</v>
      </c>
    </row>
    <row r="1351">
      <c r="A1351" s="212" t="s">
        <v>3986</v>
      </c>
      <c r="B1351" s="212" t="s">
        <v>3978</v>
      </c>
      <c r="C1351" s="212" t="s">
        <v>3985</v>
      </c>
      <c r="D1351" s="213">
        <v>45496.72788194445</v>
      </c>
      <c r="E1351" s="213"/>
      <c r="F1351" s="214" t="s">
        <v>250</v>
      </c>
      <c r="G1351" s="215" t="s">
        <v>3196</v>
      </c>
      <c r="H1351" s="212" t="s">
        <v>293</v>
      </c>
      <c r="I1351" s="212" t="s">
        <v>260</v>
      </c>
    </row>
    <row r="1352">
      <c r="A1352" s="216" t="s">
        <v>3987</v>
      </c>
      <c r="B1352" s="216" t="s">
        <v>3978</v>
      </c>
      <c r="C1352" s="216" t="s">
        <v>3979</v>
      </c>
      <c r="D1352" s="217">
        <v>45492.74506944444</v>
      </c>
      <c r="E1352" s="217"/>
      <c r="F1352" s="218" t="s">
        <v>431</v>
      </c>
      <c r="G1352" s="219" t="s">
        <v>2087</v>
      </c>
      <c r="H1352" s="216" t="s">
        <v>259</v>
      </c>
      <c r="I1352" s="216" t="s">
        <v>260</v>
      </c>
    </row>
    <row r="1353">
      <c r="A1353" s="212" t="s">
        <v>3987</v>
      </c>
      <c r="B1353" s="212" t="s">
        <v>3978</v>
      </c>
      <c r="C1353" s="212" t="s">
        <v>3979</v>
      </c>
      <c r="D1353" s="213">
        <v>45492.74506944444</v>
      </c>
      <c r="E1353" s="213"/>
      <c r="F1353" s="214" t="s">
        <v>431</v>
      </c>
      <c r="G1353" s="215" t="s">
        <v>2087</v>
      </c>
      <c r="H1353" s="212" t="s">
        <v>259</v>
      </c>
      <c r="I1353" s="212" t="s">
        <v>260</v>
      </c>
    </row>
    <row r="1354">
      <c r="A1354" s="212" t="s">
        <v>3988</v>
      </c>
      <c r="B1354" s="212" t="s">
        <v>3978</v>
      </c>
      <c r="C1354" s="212" t="s">
        <v>3985</v>
      </c>
      <c r="D1354" s="213">
        <v>45489.72210648148</v>
      </c>
      <c r="E1354" s="213"/>
      <c r="F1354" s="214" t="s">
        <v>470</v>
      </c>
      <c r="G1354" s="215" t="s">
        <v>1675</v>
      </c>
      <c r="H1354" s="212" t="s">
        <v>293</v>
      </c>
      <c r="I1354" s="212" t="s">
        <v>260</v>
      </c>
    </row>
    <row r="1355">
      <c r="A1355" s="212" t="s">
        <v>3987</v>
      </c>
      <c r="B1355" s="212" t="s">
        <v>3978</v>
      </c>
      <c r="C1355" s="212" t="s">
        <v>3979</v>
      </c>
      <c r="D1355" s="213">
        <v>45492.74506944444</v>
      </c>
      <c r="E1355" s="213"/>
      <c r="F1355" s="214" t="s">
        <v>431</v>
      </c>
      <c r="G1355" s="215" t="s">
        <v>2087</v>
      </c>
      <c r="H1355" s="212" t="s">
        <v>259</v>
      </c>
      <c r="I1355" s="212" t="s">
        <v>260</v>
      </c>
    </row>
    <row r="1356">
      <c r="A1356" s="212" t="s">
        <v>3988</v>
      </c>
      <c r="B1356" s="212" t="s">
        <v>3978</v>
      </c>
      <c r="C1356" s="212" t="s">
        <v>3985</v>
      </c>
      <c r="D1356" s="213">
        <v>45489.72210648148</v>
      </c>
      <c r="E1356" s="213"/>
      <c r="F1356" s="214" t="s">
        <v>470</v>
      </c>
      <c r="G1356" s="215" t="s">
        <v>1675</v>
      </c>
      <c r="H1356" s="212" t="s">
        <v>293</v>
      </c>
      <c r="I1356" s="212" t="s">
        <v>260</v>
      </c>
    </row>
    <row r="1357">
      <c r="A1357" s="212" t="s">
        <v>3989</v>
      </c>
      <c r="B1357" s="212" t="s">
        <v>3978</v>
      </c>
      <c r="C1357" s="212" t="s">
        <v>3979</v>
      </c>
      <c r="D1357" s="213">
        <v>45478.71818287037</v>
      </c>
      <c r="E1357" s="213"/>
      <c r="F1357" s="214" t="s">
        <v>503</v>
      </c>
      <c r="G1357" s="215" t="s">
        <v>3990</v>
      </c>
      <c r="H1357" s="212" t="s">
        <v>259</v>
      </c>
      <c r="I1357" s="212" t="s">
        <v>260</v>
      </c>
    </row>
    <row r="1358">
      <c r="A1358" s="216" t="s">
        <v>3991</v>
      </c>
      <c r="B1358" s="216" t="s">
        <v>3978</v>
      </c>
      <c r="C1358" s="216" t="s">
        <v>3985</v>
      </c>
      <c r="D1358" s="217">
        <v>45469.685694444444</v>
      </c>
      <c r="E1358" s="217"/>
      <c r="F1358" s="218" t="s">
        <v>470</v>
      </c>
      <c r="G1358" s="219" t="s">
        <v>3992</v>
      </c>
      <c r="H1358" s="216" t="s">
        <v>293</v>
      </c>
      <c r="I1358" s="216" t="s">
        <v>260</v>
      </c>
    </row>
    <row r="1359">
      <c r="A1359" s="212" t="s">
        <v>3993</v>
      </c>
      <c r="B1359" s="212" t="s">
        <v>3978</v>
      </c>
      <c r="C1359" s="212" t="s">
        <v>3979</v>
      </c>
      <c r="D1359" s="213">
        <v>45464.43032407408</v>
      </c>
      <c r="E1359" s="213"/>
      <c r="F1359" s="214" t="s">
        <v>431</v>
      </c>
      <c r="G1359" s="215" t="s">
        <v>3749</v>
      </c>
      <c r="H1359" s="212" t="s">
        <v>259</v>
      </c>
      <c r="I1359" s="212" t="s">
        <v>260</v>
      </c>
    </row>
    <row r="1360">
      <c r="A1360" s="216" t="s">
        <v>3994</v>
      </c>
      <c r="B1360" s="216" t="s">
        <v>3978</v>
      </c>
      <c r="C1360" s="216" t="s">
        <v>3979</v>
      </c>
      <c r="D1360" s="217">
        <v>45440.759791666664</v>
      </c>
      <c r="E1360" s="217">
        <v>45440.56261574074</v>
      </c>
      <c r="F1360" s="218" t="s">
        <v>503</v>
      </c>
      <c r="G1360" s="219" t="s">
        <v>2682</v>
      </c>
      <c r="H1360" s="216" t="s">
        <v>259</v>
      </c>
      <c r="I1360" s="216" t="s">
        <v>260</v>
      </c>
    </row>
    <row r="1361">
      <c r="A1361" s="216" t="s">
        <v>3995</v>
      </c>
      <c r="B1361" s="216" t="s">
        <v>3978</v>
      </c>
      <c r="C1361" s="216" t="s">
        <v>3979</v>
      </c>
      <c r="D1361" s="217">
        <v>45776.69851851852</v>
      </c>
      <c r="E1361" s="217">
        <v>45776.708402777775</v>
      </c>
      <c r="F1361" s="218" t="s">
        <v>503</v>
      </c>
      <c r="G1361" s="219" t="s">
        <v>3996</v>
      </c>
      <c r="H1361" s="216" t="s">
        <v>259</v>
      </c>
      <c r="I1361" s="216" t="s">
        <v>260</v>
      </c>
    </row>
    <row r="1362">
      <c r="A1362" s="216" t="s">
        <v>3997</v>
      </c>
      <c r="B1362" s="216" t="s">
        <v>3998</v>
      </c>
      <c r="C1362" s="216" t="s">
        <v>3985</v>
      </c>
      <c r="D1362" s="217">
        <v>45551.89960648148</v>
      </c>
      <c r="E1362" s="225"/>
      <c r="F1362" s="218" t="s">
        <v>658</v>
      </c>
      <c r="G1362" s="219" t="s">
        <v>3999</v>
      </c>
      <c r="H1362" s="216" t="s">
        <v>293</v>
      </c>
      <c r="I1362" s="216" t="s">
        <v>260</v>
      </c>
    </row>
    <row r="1363">
      <c r="A1363" s="212" t="s">
        <v>4000</v>
      </c>
      <c r="B1363" s="212" t="s">
        <v>3998</v>
      </c>
      <c r="C1363" s="212" t="s">
        <v>3985</v>
      </c>
      <c r="D1363" s="213">
        <v>45539.87938657407</v>
      </c>
      <c r="E1363" s="213"/>
      <c r="F1363" s="214" t="s">
        <v>250</v>
      </c>
      <c r="G1363" s="215" t="s">
        <v>676</v>
      </c>
      <c r="H1363" s="212" t="s">
        <v>293</v>
      </c>
      <c r="I1363" s="212" t="s">
        <v>260</v>
      </c>
    </row>
    <row r="1364">
      <c r="A1364" s="212" t="s">
        <v>4001</v>
      </c>
      <c r="B1364" s="212" t="s">
        <v>3998</v>
      </c>
      <c r="C1364" s="212" t="s">
        <v>3985</v>
      </c>
      <c r="D1364" s="213">
        <v>45530.904340277775</v>
      </c>
      <c r="E1364" s="213"/>
      <c r="F1364" s="214" t="s">
        <v>250</v>
      </c>
      <c r="G1364" s="215" t="s">
        <v>4002</v>
      </c>
      <c r="H1364" s="212" t="s">
        <v>293</v>
      </c>
      <c r="I1364" s="212" t="s">
        <v>260</v>
      </c>
    </row>
    <row r="1365">
      <c r="A1365" s="216" t="s">
        <v>4003</v>
      </c>
      <c r="B1365" s="216" t="s">
        <v>4004</v>
      </c>
      <c r="C1365" s="216" t="s">
        <v>4005</v>
      </c>
      <c r="D1365" s="217">
        <v>45548.817395833335</v>
      </c>
      <c r="E1365" s="217"/>
      <c r="F1365" s="218" t="s">
        <v>291</v>
      </c>
      <c r="G1365" s="219" t="s">
        <v>1033</v>
      </c>
      <c r="H1365" s="216" t="s">
        <v>259</v>
      </c>
      <c r="I1365" s="216" t="s">
        <v>3901</v>
      </c>
    </row>
    <row r="1366">
      <c r="A1366" s="212" t="s">
        <v>4006</v>
      </c>
      <c r="B1366" s="212" t="s">
        <v>4004</v>
      </c>
      <c r="C1366" s="212" t="s">
        <v>4005</v>
      </c>
      <c r="D1366" s="213">
        <v>45737.86667824074</v>
      </c>
      <c r="E1366" s="213">
        <v>45738.78481481481</v>
      </c>
      <c r="F1366" s="214" t="s">
        <v>730</v>
      </c>
      <c r="G1366" s="215" t="s">
        <v>476</v>
      </c>
      <c r="H1366" s="212" t="s">
        <v>259</v>
      </c>
      <c r="I1366" s="212" t="s">
        <v>3901</v>
      </c>
    </row>
    <row r="1367">
      <c r="A1367" s="220" t="s">
        <v>4007</v>
      </c>
      <c r="B1367" s="220" t="s">
        <v>4004</v>
      </c>
      <c r="C1367" s="220" t="s">
        <v>4005</v>
      </c>
      <c r="D1367" s="221">
        <v>45732.692974537036</v>
      </c>
      <c r="E1367" s="228"/>
      <c r="F1367" s="222" t="s">
        <v>538</v>
      </c>
      <c r="G1367" s="223" t="s">
        <v>4008</v>
      </c>
      <c r="H1367" s="220" t="s">
        <v>259</v>
      </c>
      <c r="I1367" s="220" t="s">
        <v>3901</v>
      </c>
    </row>
    <row r="1368">
      <c r="A1368" s="216" t="s">
        <v>4009</v>
      </c>
      <c r="B1368" s="216" t="s">
        <v>4010</v>
      </c>
      <c r="C1368" s="216" t="s">
        <v>4011</v>
      </c>
      <c r="D1368" s="217">
        <v>45467.90025462963</v>
      </c>
      <c r="E1368" s="217"/>
      <c r="F1368" s="218" t="s">
        <v>4012</v>
      </c>
      <c r="G1368" s="219" t="s">
        <v>4013</v>
      </c>
      <c r="H1368" s="216" t="s">
        <v>259</v>
      </c>
      <c r="I1368" s="216" t="s">
        <v>2663</v>
      </c>
    </row>
    <row r="1369">
      <c r="A1369" s="212" t="s">
        <v>4014</v>
      </c>
      <c r="B1369" s="212" t="s">
        <v>4015</v>
      </c>
      <c r="C1369" s="212" t="s">
        <v>4016</v>
      </c>
      <c r="D1369" s="213">
        <v>45507.80694444444</v>
      </c>
      <c r="E1369" s="213"/>
      <c r="F1369" s="214" t="s">
        <v>291</v>
      </c>
      <c r="G1369" s="215" t="s">
        <v>1908</v>
      </c>
      <c r="H1369" s="212" t="s">
        <v>346</v>
      </c>
      <c r="I1369" s="212" t="s">
        <v>1714</v>
      </c>
    </row>
    <row r="1370">
      <c r="A1370" s="212" t="s">
        <v>4017</v>
      </c>
      <c r="B1370" s="212" t="s">
        <v>4018</v>
      </c>
      <c r="C1370" s="212" t="s">
        <v>4019</v>
      </c>
      <c r="D1370" s="213">
        <v>45465.632835648146</v>
      </c>
      <c r="E1370" s="213"/>
      <c r="F1370" s="214" t="s">
        <v>470</v>
      </c>
      <c r="G1370" s="215" t="s">
        <v>4020</v>
      </c>
      <c r="H1370" s="212" t="s">
        <v>346</v>
      </c>
      <c r="I1370" s="212" t="s">
        <v>284</v>
      </c>
    </row>
    <row r="1371">
      <c r="A1371" s="216" t="s">
        <v>4021</v>
      </c>
      <c r="B1371" s="216" t="s">
        <v>4018</v>
      </c>
      <c r="C1371" s="216" t="s">
        <v>4022</v>
      </c>
      <c r="D1371" s="217">
        <v>45437.825324074074</v>
      </c>
      <c r="E1371" s="217">
        <v>45437.65283564815</v>
      </c>
      <c r="F1371" s="218" t="s">
        <v>4023</v>
      </c>
      <c r="G1371" s="219" t="s">
        <v>4024</v>
      </c>
      <c r="H1371" s="216" t="s">
        <v>356</v>
      </c>
      <c r="I1371" s="216" t="s">
        <v>284</v>
      </c>
    </row>
    <row r="1372">
      <c r="A1372" s="216" t="s">
        <v>4025</v>
      </c>
      <c r="B1372" s="216" t="s">
        <v>4018</v>
      </c>
      <c r="C1372" s="216" t="s">
        <v>4019</v>
      </c>
      <c r="D1372" s="217">
        <v>45745.790613425925</v>
      </c>
      <c r="E1372" s="217">
        <v>45746.64244212963</v>
      </c>
      <c r="F1372" s="218" t="s">
        <v>2294</v>
      </c>
      <c r="G1372" s="219" t="s">
        <v>4026</v>
      </c>
      <c r="H1372" s="216" t="s">
        <v>346</v>
      </c>
      <c r="I1372" s="216" t="s">
        <v>284</v>
      </c>
    </row>
    <row r="1373">
      <c r="A1373" s="212" t="s">
        <v>4027</v>
      </c>
      <c r="B1373" s="212" t="s">
        <v>4018</v>
      </c>
      <c r="C1373" s="212" t="s">
        <v>4019</v>
      </c>
      <c r="D1373" s="213">
        <v>45774.603414351855</v>
      </c>
      <c r="E1373" s="213">
        <v>45774.66688657407</v>
      </c>
      <c r="F1373" s="214" t="s">
        <v>350</v>
      </c>
      <c r="G1373" s="215" t="s">
        <v>4028</v>
      </c>
      <c r="H1373" s="212" t="s">
        <v>346</v>
      </c>
      <c r="I1373" s="212" t="s">
        <v>284</v>
      </c>
    </row>
    <row r="1374">
      <c r="A1374" s="212" t="s">
        <v>4029</v>
      </c>
      <c r="B1374" s="212" t="s">
        <v>4018</v>
      </c>
      <c r="C1374" s="212" t="s">
        <v>4019</v>
      </c>
      <c r="D1374" s="213">
        <v>45773.89394675926</v>
      </c>
      <c r="E1374" s="213">
        <v>45774.66689814815</v>
      </c>
      <c r="F1374" s="214" t="s">
        <v>380</v>
      </c>
      <c r="G1374" s="215" t="s">
        <v>4030</v>
      </c>
      <c r="H1374" s="212" t="s">
        <v>346</v>
      </c>
      <c r="I1374" s="212" t="s">
        <v>284</v>
      </c>
    </row>
    <row r="1375">
      <c r="A1375" s="212" t="s">
        <v>4031</v>
      </c>
      <c r="B1375" s="212" t="s">
        <v>4032</v>
      </c>
      <c r="C1375" s="212" t="s">
        <v>4033</v>
      </c>
      <c r="D1375" s="213">
        <v>45529.865381944444</v>
      </c>
      <c r="E1375" s="213"/>
      <c r="F1375" s="214" t="s">
        <v>250</v>
      </c>
      <c r="G1375" s="215" t="s">
        <v>1129</v>
      </c>
      <c r="H1375" s="212" t="s">
        <v>398</v>
      </c>
      <c r="I1375" s="212" t="s">
        <v>2391</v>
      </c>
    </row>
    <row r="1376">
      <c r="A1376" s="216" t="s">
        <v>4034</v>
      </c>
      <c r="B1376" s="216" t="s">
        <v>4035</v>
      </c>
      <c r="C1376" s="216" t="s">
        <v>4036</v>
      </c>
      <c r="D1376" s="217">
        <v>45542.57193287037</v>
      </c>
      <c r="E1376" s="217"/>
      <c r="F1376" s="218" t="s">
        <v>291</v>
      </c>
      <c r="G1376" s="219" t="s">
        <v>2538</v>
      </c>
      <c r="H1376" s="216" t="s">
        <v>265</v>
      </c>
      <c r="I1376" s="216" t="s">
        <v>260</v>
      </c>
    </row>
    <row r="1377">
      <c r="A1377" s="216" t="s">
        <v>4037</v>
      </c>
      <c r="B1377" s="216" t="s">
        <v>4035</v>
      </c>
      <c r="C1377" s="216" t="s">
        <v>4038</v>
      </c>
      <c r="D1377" s="217">
        <v>45735.84303240741</v>
      </c>
      <c r="E1377" s="217">
        <v>45735.85420138889</v>
      </c>
      <c r="F1377" s="218" t="s">
        <v>281</v>
      </c>
      <c r="G1377" s="219" t="s">
        <v>4039</v>
      </c>
      <c r="H1377" s="216" t="s">
        <v>265</v>
      </c>
      <c r="I1377" s="216" t="s">
        <v>2663</v>
      </c>
    </row>
    <row r="1378">
      <c r="A1378" s="216" t="s">
        <v>4040</v>
      </c>
      <c r="B1378" s="216" t="s">
        <v>4035</v>
      </c>
      <c r="C1378" s="216" t="s">
        <v>4038</v>
      </c>
      <c r="D1378" s="217">
        <v>45748.81804398148</v>
      </c>
      <c r="E1378" s="217">
        <v>45748.826527777775</v>
      </c>
      <c r="F1378" s="218" t="s">
        <v>503</v>
      </c>
      <c r="G1378" s="219" t="s">
        <v>1841</v>
      </c>
      <c r="H1378" s="216" t="s">
        <v>265</v>
      </c>
      <c r="I1378" s="216" t="s">
        <v>2663</v>
      </c>
    </row>
    <row r="1379">
      <c r="A1379" s="212" t="s">
        <v>4041</v>
      </c>
      <c r="B1379" s="212" t="s">
        <v>4042</v>
      </c>
      <c r="C1379" s="212" t="s">
        <v>4043</v>
      </c>
      <c r="D1379" s="213">
        <v>45479.62295138889</v>
      </c>
      <c r="E1379" s="213"/>
      <c r="F1379" s="214" t="s">
        <v>4044</v>
      </c>
      <c r="G1379" s="215" t="s">
        <v>4045</v>
      </c>
      <c r="H1379" s="212" t="s">
        <v>259</v>
      </c>
      <c r="I1379" s="212" t="s">
        <v>1673</v>
      </c>
    </row>
    <row r="1380">
      <c r="A1380" s="212" t="s">
        <v>4046</v>
      </c>
      <c r="B1380" s="212" t="s">
        <v>4042</v>
      </c>
      <c r="C1380" s="212" t="s">
        <v>4043</v>
      </c>
      <c r="D1380" s="213">
        <v>45451.60790509259</v>
      </c>
      <c r="E1380" s="213">
        <v>45451.666712962964</v>
      </c>
      <c r="F1380" s="214" t="s">
        <v>4047</v>
      </c>
      <c r="G1380" s="215" t="s">
        <v>4048</v>
      </c>
      <c r="H1380" s="212" t="s">
        <v>259</v>
      </c>
      <c r="I1380" s="212" t="s">
        <v>1673</v>
      </c>
    </row>
    <row r="1381">
      <c r="A1381" s="212" t="s">
        <v>4049</v>
      </c>
      <c r="B1381" s="212" t="s">
        <v>4042</v>
      </c>
      <c r="C1381" s="212" t="s">
        <v>4043</v>
      </c>
      <c r="D1381" s="213">
        <v>45439.690034722225</v>
      </c>
      <c r="E1381" s="213">
        <v>45440.3334375</v>
      </c>
      <c r="F1381" s="214" t="s">
        <v>4050</v>
      </c>
      <c r="G1381" s="215" t="s">
        <v>4051</v>
      </c>
      <c r="H1381" s="212" t="s">
        <v>259</v>
      </c>
      <c r="I1381" s="212" t="s">
        <v>1673</v>
      </c>
    </row>
    <row r="1382">
      <c r="A1382" s="216" t="s">
        <v>4052</v>
      </c>
      <c r="B1382" s="216" t="s">
        <v>4042</v>
      </c>
      <c r="C1382" s="216" t="s">
        <v>4053</v>
      </c>
      <c r="D1382" s="217">
        <v>45711.677083333336</v>
      </c>
      <c r="E1382" s="217">
        <v>45711.75350694444</v>
      </c>
      <c r="F1382" s="218" t="s">
        <v>651</v>
      </c>
      <c r="G1382" s="219" t="s">
        <v>4054</v>
      </c>
      <c r="H1382" s="216" t="s">
        <v>259</v>
      </c>
      <c r="I1382" s="216" t="s">
        <v>313</v>
      </c>
    </row>
    <row r="1383">
      <c r="A1383" s="212" t="s">
        <v>4055</v>
      </c>
      <c r="B1383" s="212" t="s">
        <v>4056</v>
      </c>
      <c r="C1383" s="212" t="s">
        <v>4057</v>
      </c>
      <c r="D1383" s="213">
        <v>45745.56826388889</v>
      </c>
      <c r="E1383" s="213">
        <v>45745.65980324074</v>
      </c>
      <c r="F1383" s="214" t="s">
        <v>4058</v>
      </c>
      <c r="G1383" s="215" t="s">
        <v>4059</v>
      </c>
      <c r="H1383" s="212" t="s">
        <v>535</v>
      </c>
      <c r="I1383" s="212" t="s">
        <v>2326</v>
      </c>
    </row>
    <row r="1384">
      <c r="A1384" s="216" t="s">
        <v>4060</v>
      </c>
      <c r="B1384" s="216" t="s">
        <v>4056</v>
      </c>
      <c r="C1384" s="216" t="s">
        <v>4061</v>
      </c>
      <c r="D1384" s="217">
        <v>45744.90079861111</v>
      </c>
      <c r="E1384" s="217">
        <v>45747.67365740741</v>
      </c>
      <c r="F1384" s="218" t="s">
        <v>1199</v>
      </c>
      <c r="G1384" s="219" t="s">
        <v>4062</v>
      </c>
      <c r="H1384" s="216" t="s">
        <v>293</v>
      </c>
      <c r="I1384" s="216" t="s">
        <v>2326</v>
      </c>
    </row>
    <row r="1385">
      <c r="A1385" s="216" t="s">
        <v>4063</v>
      </c>
      <c r="B1385" s="216" t="s">
        <v>4056</v>
      </c>
      <c r="C1385" s="216" t="s">
        <v>4057</v>
      </c>
      <c r="D1385" s="217">
        <v>45777.852476851855</v>
      </c>
      <c r="E1385" s="217">
        <v>45777.88892361111</v>
      </c>
      <c r="F1385" s="218" t="s">
        <v>1436</v>
      </c>
      <c r="G1385" s="219" t="s">
        <v>4064</v>
      </c>
      <c r="H1385" s="216" t="s">
        <v>535</v>
      </c>
      <c r="I1385" s="216" t="s">
        <v>2326</v>
      </c>
    </row>
    <row r="1386">
      <c r="A1386" s="216" t="s">
        <v>4065</v>
      </c>
      <c r="B1386" s="216" t="s">
        <v>4056</v>
      </c>
      <c r="C1386" s="216" t="s">
        <v>4057</v>
      </c>
      <c r="D1386" s="217">
        <v>45760.66777777778</v>
      </c>
      <c r="E1386" s="217">
        <v>45760.82645833334</v>
      </c>
      <c r="F1386" s="218" t="s">
        <v>645</v>
      </c>
      <c r="G1386" s="219" t="s">
        <v>2319</v>
      </c>
      <c r="H1386" s="216" t="s">
        <v>535</v>
      </c>
      <c r="I1386" s="216" t="s">
        <v>2326</v>
      </c>
    </row>
    <row r="1387">
      <c r="A1387" s="216" t="s">
        <v>4066</v>
      </c>
      <c r="B1387" s="216" t="s">
        <v>4067</v>
      </c>
      <c r="C1387" s="216" t="s">
        <v>4068</v>
      </c>
      <c r="D1387" s="217">
        <v>45549.861354166664</v>
      </c>
      <c r="E1387" s="217"/>
      <c r="F1387" s="218" t="s">
        <v>470</v>
      </c>
      <c r="G1387" s="219" t="s">
        <v>4069</v>
      </c>
      <c r="H1387" s="216" t="s">
        <v>265</v>
      </c>
      <c r="I1387" s="216" t="s">
        <v>260</v>
      </c>
    </row>
    <row r="1388">
      <c r="A1388" s="216" t="s">
        <v>4070</v>
      </c>
      <c r="B1388" s="216" t="s">
        <v>4067</v>
      </c>
      <c r="C1388" s="216" t="s">
        <v>4068</v>
      </c>
      <c r="D1388" s="217">
        <v>45543.607777777775</v>
      </c>
      <c r="E1388" s="217"/>
      <c r="F1388" s="218" t="s">
        <v>380</v>
      </c>
      <c r="G1388" s="219" t="s">
        <v>4071</v>
      </c>
      <c r="H1388" s="216" t="s">
        <v>265</v>
      </c>
      <c r="I1388" s="216" t="s">
        <v>260</v>
      </c>
    </row>
    <row r="1389">
      <c r="A1389" s="212" t="s">
        <v>4072</v>
      </c>
      <c r="B1389" s="212" t="s">
        <v>4067</v>
      </c>
      <c r="C1389" s="212" t="s">
        <v>4068</v>
      </c>
      <c r="D1389" s="213">
        <v>45517.884467592594</v>
      </c>
      <c r="E1389" s="213"/>
      <c r="F1389" s="214" t="s">
        <v>470</v>
      </c>
      <c r="G1389" s="215" t="s">
        <v>1594</v>
      </c>
      <c r="H1389" s="212" t="s">
        <v>265</v>
      </c>
      <c r="I1389" s="212" t="s">
        <v>260</v>
      </c>
    </row>
    <row r="1390">
      <c r="A1390" s="212" t="s">
        <v>4073</v>
      </c>
      <c r="B1390" s="212" t="s">
        <v>4067</v>
      </c>
      <c r="C1390" s="212" t="s">
        <v>4068</v>
      </c>
      <c r="D1390" s="213">
        <v>45500.86004629629</v>
      </c>
      <c r="E1390" s="213"/>
      <c r="F1390" s="214" t="s">
        <v>1092</v>
      </c>
      <c r="G1390" s="215" t="s">
        <v>4074</v>
      </c>
      <c r="H1390" s="212" t="s">
        <v>265</v>
      </c>
      <c r="I1390" s="212" t="s">
        <v>260</v>
      </c>
    </row>
    <row r="1391">
      <c r="A1391" s="216" t="s">
        <v>4075</v>
      </c>
      <c r="B1391" s="216" t="s">
        <v>4067</v>
      </c>
      <c r="C1391" s="216" t="s">
        <v>4068</v>
      </c>
      <c r="D1391" s="217">
        <v>45494.88548611111</v>
      </c>
      <c r="E1391" s="217"/>
      <c r="F1391" s="218" t="s">
        <v>1124</v>
      </c>
      <c r="G1391" s="219" t="s">
        <v>4076</v>
      </c>
      <c r="H1391" s="216" t="s">
        <v>265</v>
      </c>
      <c r="I1391" s="216" t="s">
        <v>260</v>
      </c>
    </row>
    <row r="1392">
      <c r="A1392" s="212" t="s">
        <v>4077</v>
      </c>
      <c r="B1392" s="212" t="s">
        <v>4067</v>
      </c>
      <c r="C1392" s="212" t="s">
        <v>4068</v>
      </c>
      <c r="D1392" s="213">
        <v>45476.7859837963</v>
      </c>
      <c r="E1392" s="213"/>
      <c r="F1392" s="214" t="s">
        <v>1105</v>
      </c>
      <c r="G1392" s="215" t="s">
        <v>4078</v>
      </c>
      <c r="H1392" s="212" t="s">
        <v>265</v>
      </c>
      <c r="I1392" s="212" t="s">
        <v>260</v>
      </c>
    </row>
    <row r="1393">
      <c r="A1393" s="212" t="s">
        <v>4079</v>
      </c>
      <c r="B1393" s="212" t="s">
        <v>4067</v>
      </c>
      <c r="C1393" s="212" t="s">
        <v>4068</v>
      </c>
      <c r="D1393" s="213">
        <v>45437.84878472222</v>
      </c>
      <c r="E1393" s="213">
        <v>45438.50005787037</v>
      </c>
      <c r="F1393" s="214" t="s">
        <v>344</v>
      </c>
      <c r="G1393" s="215" t="s">
        <v>4080</v>
      </c>
      <c r="H1393" s="212" t="s">
        <v>265</v>
      </c>
      <c r="I1393" s="212" t="s">
        <v>260</v>
      </c>
    </row>
    <row r="1394">
      <c r="A1394" s="216" t="s">
        <v>4081</v>
      </c>
      <c r="B1394" s="216" t="s">
        <v>4067</v>
      </c>
      <c r="C1394" s="216" t="s">
        <v>4068</v>
      </c>
      <c r="D1394" s="217">
        <v>45734.89003472222</v>
      </c>
      <c r="E1394" s="217">
        <v>45736.50702546296</v>
      </c>
      <c r="F1394" s="218" t="s">
        <v>503</v>
      </c>
      <c r="G1394" s="219" t="s">
        <v>504</v>
      </c>
      <c r="H1394" s="216" t="s">
        <v>265</v>
      </c>
      <c r="I1394" s="216" t="s">
        <v>260</v>
      </c>
    </row>
    <row r="1395">
      <c r="A1395" s="212" t="s">
        <v>4082</v>
      </c>
      <c r="B1395" s="212" t="s">
        <v>4067</v>
      </c>
      <c r="C1395" s="212" t="s">
        <v>4068</v>
      </c>
      <c r="D1395" s="213">
        <v>45774.5883912037</v>
      </c>
      <c r="E1395" s="213">
        <v>45774.788298611114</v>
      </c>
      <c r="F1395" s="214" t="s">
        <v>380</v>
      </c>
      <c r="G1395" s="215" t="s">
        <v>2390</v>
      </c>
      <c r="H1395" s="212" t="s">
        <v>265</v>
      </c>
      <c r="I1395" s="212" t="s">
        <v>260</v>
      </c>
    </row>
    <row r="1396">
      <c r="A1396" s="216" t="s">
        <v>4083</v>
      </c>
      <c r="B1396" s="216" t="s">
        <v>4084</v>
      </c>
      <c r="C1396" s="216" t="s">
        <v>4085</v>
      </c>
      <c r="D1396" s="217">
        <v>45550.6596875</v>
      </c>
      <c r="E1396" s="217"/>
      <c r="F1396" s="218" t="s">
        <v>730</v>
      </c>
      <c r="G1396" s="219" t="s">
        <v>4086</v>
      </c>
      <c r="H1396" s="216" t="s">
        <v>811</v>
      </c>
      <c r="I1396" s="216" t="s">
        <v>357</v>
      </c>
    </row>
    <row r="1397">
      <c r="A1397" s="216" t="s">
        <v>4087</v>
      </c>
      <c r="B1397" s="216" t="s">
        <v>4084</v>
      </c>
      <c r="C1397" s="216" t="s">
        <v>4085</v>
      </c>
      <c r="D1397" s="217">
        <v>45537.880162037036</v>
      </c>
      <c r="E1397" s="217"/>
      <c r="F1397" s="218" t="s">
        <v>3436</v>
      </c>
      <c r="G1397" s="219" t="s">
        <v>4088</v>
      </c>
      <c r="H1397" s="216" t="s">
        <v>811</v>
      </c>
      <c r="I1397" s="216" t="s">
        <v>357</v>
      </c>
    </row>
    <row r="1398">
      <c r="A1398" s="216" t="s">
        <v>4089</v>
      </c>
      <c r="B1398" s="216" t="s">
        <v>4084</v>
      </c>
      <c r="C1398" s="216" t="s">
        <v>4085</v>
      </c>
      <c r="D1398" s="217">
        <v>45515.66673611111</v>
      </c>
      <c r="E1398" s="217"/>
      <c r="F1398" s="218" t="s">
        <v>765</v>
      </c>
      <c r="G1398" s="219" t="s">
        <v>4090</v>
      </c>
      <c r="H1398" s="216" t="s">
        <v>811</v>
      </c>
      <c r="I1398" s="216" t="s">
        <v>357</v>
      </c>
    </row>
    <row r="1399">
      <c r="A1399" s="216" t="s">
        <v>4091</v>
      </c>
      <c r="B1399" s="216" t="s">
        <v>4084</v>
      </c>
      <c r="C1399" s="216" t="s">
        <v>4085</v>
      </c>
      <c r="D1399" s="217">
        <v>45477.55956018518</v>
      </c>
      <c r="E1399" s="217"/>
      <c r="F1399" s="218" t="s">
        <v>1359</v>
      </c>
      <c r="G1399" s="219" t="s">
        <v>4092</v>
      </c>
      <c r="H1399" s="216" t="s">
        <v>811</v>
      </c>
      <c r="I1399" s="216" t="s">
        <v>357</v>
      </c>
    </row>
    <row r="1400">
      <c r="A1400" s="212" t="s">
        <v>4093</v>
      </c>
      <c r="B1400" s="212" t="s">
        <v>4084</v>
      </c>
      <c r="C1400" s="212" t="s">
        <v>4085</v>
      </c>
      <c r="D1400" s="213">
        <v>45715.86278935185</v>
      </c>
      <c r="E1400" s="213">
        <v>45716.62158564815</v>
      </c>
      <c r="F1400" s="214" t="s">
        <v>470</v>
      </c>
      <c r="G1400" s="215" t="s">
        <v>1917</v>
      </c>
      <c r="H1400" s="212" t="s">
        <v>811</v>
      </c>
      <c r="I1400" s="212" t="s">
        <v>357</v>
      </c>
    </row>
    <row r="1401">
      <c r="A1401" s="216" t="s">
        <v>4094</v>
      </c>
      <c r="B1401" s="216" t="s">
        <v>4084</v>
      </c>
      <c r="C1401" s="216" t="s">
        <v>4085</v>
      </c>
      <c r="D1401" s="217">
        <v>45746.850173611114</v>
      </c>
      <c r="E1401" s="217">
        <v>45747.69105324074</v>
      </c>
      <c r="F1401" s="218" t="s">
        <v>503</v>
      </c>
      <c r="G1401" s="219" t="s">
        <v>1051</v>
      </c>
      <c r="H1401" s="216" t="s">
        <v>811</v>
      </c>
      <c r="I1401" s="216" t="s">
        <v>357</v>
      </c>
    </row>
    <row r="1402">
      <c r="A1402" s="216" t="s">
        <v>4095</v>
      </c>
      <c r="B1402" s="216" t="s">
        <v>4084</v>
      </c>
      <c r="C1402" s="216" t="s">
        <v>4096</v>
      </c>
      <c r="D1402" s="217">
        <v>45774.728171296294</v>
      </c>
      <c r="E1402" s="217">
        <v>45774.736238425925</v>
      </c>
      <c r="F1402" s="218" t="s">
        <v>291</v>
      </c>
      <c r="G1402" s="219" t="s">
        <v>2617</v>
      </c>
      <c r="H1402" s="216" t="s">
        <v>811</v>
      </c>
      <c r="I1402" s="216" t="s">
        <v>357</v>
      </c>
    </row>
    <row r="1403">
      <c r="A1403" s="216" t="s">
        <v>4097</v>
      </c>
      <c r="B1403" s="216" t="s">
        <v>4098</v>
      </c>
      <c r="C1403" s="216" t="s">
        <v>748</v>
      </c>
      <c r="D1403" s="217">
        <v>45549.52369212963</v>
      </c>
      <c r="E1403" s="217"/>
      <c r="F1403" s="218" t="s">
        <v>1105</v>
      </c>
      <c r="G1403" s="219" t="s">
        <v>4099</v>
      </c>
      <c r="H1403" s="216" t="s">
        <v>259</v>
      </c>
      <c r="I1403" s="216" t="s">
        <v>531</v>
      </c>
    </row>
    <row r="1404">
      <c r="A1404" s="212" t="s">
        <v>4100</v>
      </c>
      <c r="B1404" s="212" t="s">
        <v>4101</v>
      </c>
      <c r="C1404" s="212" t="s">
        <v>2620</v>
      </c>
      <c r="D1404" s="213">
        <v>45537.59428240741</v>
      </c>
      <c r="E1404" s="213"/>
      <c r="F1404" s="214" t="s">
        <v>503</v>
      </c>
      <c r="G1404" s="215" t="s">
        <v>3976</v>
      </c>
      <c r="H1404" s="212" t="s">
        <v>259</v>
      </c>
      <c r="I1404" s="212" t="s">
        <v>260</v>
      </c>
    </row>
    <row r="1405">
      <c r="A1405" s="216" t="s">
        <v>4102</v>
      </c>
      <c r="B1405" s="216" t="s">
        <v>4101</v>
      </c>
      <c r="C1405" s="216" t="s">
        <v>4103</v>
      </c>
      <c r="D1405" s="217">
        <v>45482.731145833335</v>
      </c>
      <c r="E1405" s="217"/>
      <c r="F1405" s="218" t="s">
        <v>2269</v>
      </c>
      <c r="G1405" s="219" t="s">
        <v>4104</v>
      </c>
      <c r="H1405" s="216" t="s">
        <v>398</v>
      </c>
      <c r="I1405" s="216" t="s">
        <v>260</v>
      </c>
    </row>
    <row r="1406">
      <c r="A1406" s="216" t="s">
        <v>4105</v>
      </c>
      <c r="B1406" s="216" t="s">
        <v>4101</v>
      </c>
      <c r="C1406" s="216" t="s">
        <v>4103</v>
      </c>
      <c r="D1406" s="217">
        <v>45711.443449074075</v>
      </c>
      <c r="E1406" s="217">
        <v>45712.52438657408</v>
      </c>
      <c r="F1406" s="218" t="s">
        <v>339</v>
      </c>
      <c r="G1406" s="219" t="s">
        <v>996</v>
      </c>
      <c r="H1406" s="216" t="s">
        <v>259</v>
      </c>
      <c r="I1406" s="216" t="s">
        <v>260</v>
      </c>
    </row>
    <row r="1407">
      <c r="A1407" s="216" t="s">
        <v>4106</v>
      </c>
      <c r="B1407" s="216" t="s">
        <v>4107</v>
      </c>
      <c r="C1407" s="216" t="s">
        <v>4108</v>
      </c>
      <c r="D1407" s="217">
        <v>45549.67502314815</v>
      </c>
      <c r="E1407" s="217"/>
      <c r="F1407" s="218" t="s">
        <v>715</v>
      </c>
      <c r="G1407" s="219" t="s">
        <v>4109</v>
      </c>
      <c r="H1407" s="216" t="s">
        <v>398</v>
      </c>
      <c r="I1407" s="216" t="s">
        <v>1673</v>
      </c>
    </row>
    <row r="1408">
      <c r="A1408" s="212" t="s">
        <v>4110</v>
      </c>
      <c r="B1408" s="212" t="s">
        <v>4107</v>
      </c>
      <c r="C1408" s="212" t="s">
        <v>4108</v>
      </c>
      <c r="D1408" s="213">
        <v>45542.737974537034</v>
      </c>
      <c r="E1408" s="213"/>
      <c r="F1408" s="214" t="s">
        <v>706</v>
      </c>
      <c r="G1408" s="215" t="s">
        <v>4111</v>
      </c>
      <c r="H1408" s="212" t="s">
        <v>398</v>
      </c>
      <c r="I1408" s="212" t="s">
        <v>1673</v>
      </c>
    </row>
    <row r="1409">
      <c r="A1409" s="212" t="s">
        <v>4112</v>
      </c>
      <c r="B1409" s="212" t="s">
        <v>4107</v>
      </c>
      <c r="C1409" s="212" t="s">
        <v>4108</v>
      </c>
      <c r="D1409" s="213">
        <v>45534.796377314815</v>
      </c>
      <c r="E1409" s="213"/>
      <c r="F1409" s="214" t="s">
        <v>706</v>
      </c>
      <c r="G1409" s="215" t="s">
        <v>4113</v>
      </c>
      <c r="H1409" s="212" t="s">
        <v>398</v>
      </c>
      <c r="I1409" s="212" t="s">
        <v>1673</v>
      </c>
    </row>
    <row r="1410">
      <c r="A1410" s="216" t="s">
        <v>4114</v>
      </c>
      <c r="B1410" s="216" t="s">
        <v>4107</v>
      </c>
      <c r="C1410" s="216" t="s">
        <v>4108</v>
      </c>
      <c r="D1410" s="217">
        <v>45514.74092592593</v>
      </c>
      <c r="E1410" s="217"/>
      <c r="F1410" s="218" t="s">
        <v>4115</v>
      </c>
      <c r="G1410" s="219" t="s">
        <v>4116</v>
      </c>
      <c r="H1410" s="216" t="s">
        <v>398</v>
      </c>
      <c r="I1410" s="216" t="s">
        <v>1673</v>
      </c>
    </row>
    <row r="1411">
      <c r="A1411" s="212" t="s">
        <v>4117</v>
      </c>
      <c r="B1411" s="212" t="s">
        <v>4107</v>
      </c>
      <c r="C1411" s="212" t="s">
        <v>4108</v>
      </c>
      <c r="D1411" s="213">
        <v>45488.919641203705</v>
      </c>
      <c r="E1411" s="213"/>
      <c r="F1411" s="214" t="s">
        <v>509</v>
      </c>
      <c r="G1411" s="215" t="s">
        <v>4118</v>
      </c>
      <c r="H1411" s="212" t="s">
        <v>398</v>
      </c>
      <c r="I1411" s="212" t="s">
        <v>1673</v>
      </c>
    </row>
    <row r="1412">
      <c r="A1412" s="212" t="s">
        <v>4119</v>
      </c>
      <c r="B1412" s="212" t="s">
        <v>4107</v>
      </c>
      <c r="C1412" s="212" t="s">
        <v>4108</v>
      </c>
      <c r="D1412" s="213">
        <v>45487.501388888886</v>
      </c>
      <c r="E1412" s="213"/>
      <c r="F1412" s="214" t="s">
        <v>4120</v>
      </c>
      <c r="G1412" s="215" t="s">
        <v>4121</v>
      </c>
      <c r="H1412" s="212" t="s">
        <v>259</v>
      </c>
      <c r="I1412" s="212" t="s">
        <v>1673</v>
      </c>
    </row>
    <row r="1413">
      <c r="A1413" s="216" t="s">
        <v>4122</v>
      </c>
      <c r="B1413" s="216" t="s">
        <v>4107</v>
      </c>
      <c r="C1413" s="216" t="s">
        <v>4108</v>
      </c>
      <c r="D1413" s="217">
        <v>45487.50001157408</v>
      </c>
      <c r="E1413" s="224"/>
      <c r="F1413" s="218" t="s">
        <v>391</v>
      </c>
      <c r="G1413" s="219" t="s">
        <v>877</v>
      </c>
      <c r="H1413" s="216" t="s">
        <v>398</v>
      </c>
      <c r="I1413" s="216" t="s">
        <v>1673</v>
      </c>
    </row>
    <row r="1414">
      <c r="A1414" s="212" t="s">
        <v>4117</v>
      </c>
      <c r="B1414" s="212" t="s">
        <v>4107</v>
      </c>
      <c r="C1414" s="212" t="s">
        <v>4108</v>
      </c>
      <c r="D1414" s="213">
        <v>45488.919641203705</v>
      </c>
      <c r="E1414" s="213"/>
      <c r="F1414" s="214" t="s">
        <v>509</v>
      </c>
      <c r="G1414" s="215" t="s">
        <v>4118</v>
      </c>
      <c r="H1414" s="212" t="s">
        <v>398</v>
      </c>
      <c r="I1414" s="212" t="s">
        <v>1673</v>
      </c>
    </row>
    <row r="1415">
      <c r="A1415" s="212" t="s">
        <v>4119</v>
      </c>
      <c r="B1415" s="212" t="s">
        <v>4107</v>
      </c>
      <c r="C1415" s="212" t="s">
        <v>4108</v>
      </c>
      <c r="D1415" s="213">
        <v>45487.501388888886</v>
      </c>
      <c r="E1415" s="213"/>
      <c r="F1415" s="214" t="s">
        <v>4120</v>
      </c>
      <c r="G1415" s="215" t="s">
        <v>4121</v>
      </c>
      <c r="H1415" s="212" t="s">
        <v>259</v>
      </c>
      <c r="I1415" s="212" t="s">
        <v>1673</v>
      </c>
    </row>
    <row r="1416">
      <c r="A1416" s="216" t="s">
        <v>4122</v>
      </c>
      <c r="B1416" s="216" t="s">
        <v>4107</v>
      </c>
      <c r="C1416" s="216" t="s">
        <v>4108</v>
      </c>
      <c r="D1416" s="217">
        <v>45487.50001157408</v>
      </c>
      <c r="E1416" s="224"/>
      <c r="F1416" s="218" t="s">
        <v>391</v>
      </c>
      <c r="G1416" s="219" t="s">
        <v>877</v>
      </c>
      <c r="H1416" s="216" t="s">
        <v>398</v>
      </c>
      <c r="I1416" s="216" t="s">
        <v>1673</v>
      </c>
    </row>
    <row r="1417">
      <c r="A1417" s="212" t="s">
        <v>4123</v>
      </c>
      <c r="B1417" s="212" t="s">
        <v>4107</v>
      </c>
      <c r="C1417" s="212" t="s">
        <v>4108</v>
      </c>
      <c r="D1417" s="213">
        <v>45473.55972222222</v>
      </c>
      <c r="E1417" s="213"/>
      <c r="F1417" s="214" t="s">
        <v>1082</v>
      </c>
      <c r="G1417" s="215" t="s">
        <v>4124</v>
      </c>
      <c r="H1417" s="212" t="s">
        <v>398</v>
      </c>
      <c r="I1417" s="212" t="s">
        <v>1673</v>
      </c>
    </row>
    <row r="1418">
      <c r="A1418" s="216" t="s">
        <v>4125</v>
      </c>
      <c r="B1418" s="216" t="s">
        <v>4126</v>
      </c>
      <c r="C1418" s="216" t="s">
        <v>4127</v>
      </c>
      <c r="D1418" s="217">
        <v>45777.767905092594</v>
      </c>
      <c r="E1418" s="217">
        <v>45779.51398148148</v>
      </c>
      <c r="F1418" s="218" t="s">
        <v>281</v>
      </c>
      <c r="G1418" s="219" t="s">
        <v>281</v>
      </c>
      <c r="H1418" s="216" t="s">
        <v>1632</v>
      </c>
      <c r="I1418" s="216" t="s">
        <v>1633</v>
      </c>
    </row>
    <row r="1419">
      <c r="A1419" s="216" t="s">
        <v>4128</v>
      </c>
      <c r="B1419" s="216" t="s">
        <v>4129</v>
      </c>
      <c r="C1419" s="216" t="s">
        <v>4130</v>
      </c>
      <c r="D1419" s="217">
        <v>45713.54601851852</v>
      </c>
      <c r="E1419" s="217">
        <v>45713.62856481481</v>
      </c>
      <c r="F1419" s="218" t="s">
        <v>651</v>
      </c>
      <c r="G1419" s="219" t="s">
        <v>4054</v>
      </c>
      <c r="H1419" s="216" t="s">
        <v>265</v>
      </c>
      <c r="I1419" s="216" t="s">
        <v>461</v>
      </c>
    </row>
    <row r="1420">
      <c r="A1420" s="216" t="s">
        <v>4131</v>
      </c>
      <c r="B1420" s="216" t="s">
        <v>4132</v>
      </c>
      <c r="C1420" s="216" t="s">
        <v>4133</v>
      </c>
      <c r="D1420" s="217">
        <v>45447.82454861111</v>
      </c>
      <c r="E1420" s="217">
        <v>45448.31599537037</v>
      </c>
      <c r="F1420" s="218" t="s">
        <v>730</v>
      </c>
      <c r="G1420" s="219" t="s">
        <v>4134</v>
      </c>
      <c r="H1420" s="216" t="s">
        <v>265</v>
      </c>
      <c r="I1420" s="216" t="s">
        <v>461</v>
      </c>
    </row>
    <row r="1421">
      <c r="A1421" s="212" t="s">
        <v>4135</v>
      </c>
      <c r="B1421" s="212" t="s">
        <v>4136</v>
      </c>
      <c r="C1421" s="212" t="s">
        <v>4137</v>
      </c>
      <c r="D1421" s="213">
        <v>45738.7190162037</v>
      </c>
      <c r="E1421" s="213">
        <v>45738.73273148148</v>
      </c>
      <c r="F1421" s="214" t="s">
        <v>470</v>
      </c>
      <c r="G1421" s="215" t="s">
        <v>3654</v>
      </c>
      <c r="H1421" s="212" t="s">
        <v>337</v>
      </c>
      <c r="I1421" s="212" t="s">
        <v>578</v>
      </c>
    </row>
    <row r="1422">
      <c r="A1422" s="216" t="s">
        <v>4138</v>
      </c>
      <c r="B1422" s="216" t="s">
        <v>4136</v>
      </c>
      <c r="C1422" s="216" t="s">
        <v>4139</v>
      </c>
      <c r="D1422" s="217">
        <v>45738.71824074074</v>
      </c>
      <c r="E1422" s="217">
        <v>45738.73967592593</v>
      </c>
      <c r="F1422" s="218" t="s">
        <v>4140</v>
      </c>
      <c r="G1422" s="219" t="s">
        <v>4141</v>
      </c>
      <c r="H1422" s="216" t="s">
        <v>259</v>
      </c>
      <c r="I1422" s="216" t="s">
        <v>531</v>
      </c>
    </row>
    <row r="1423">
      <c r="A1423" s="212" t="s">
        <v>4142</v>
      </c>
      <c r="B1423" s="212" t="s">
        <v>4136</v>
      </c>
      <c r="C1423" s="212" t="s">
        <v>4143</v>
      </c>
      <c r="D1423" s="213">
        <v>45738.71693287037</v>
      </c>
      <c r="E1423" s="213">
        <v>45738.868113425924</v>
      </c>
      <c r="F1423" s="214" t="s">
        <v>291</v>
      </c>
      <c r="G1423" s="215" t="s">
        <v>4144</v>
      </c>
      <c r="H1423" s="212" t="s">
        <v>259</v>
      </c>
      <c r="I1423" s="212" t="s">
        <v>1493</v>
      </c>
    </row>
    <row r="1424">
      <c r="A1424" s="212" t="s">
        <v>4145</v>
      </c>
      <c r="B1424" s="212" t="s">
        <v>4146</v>
      </c>
      <c r="C1424" s="212" t="s">
        <v>4147</v>
      </c>
      <c r="D1424" s="213">
        <v>45703.81288194445</v>
      </c>
      <c r="E1424" s="213">
        <v>45703.86461805556</v>
      </c>
      <c r="F1424" s="214" t="s">
        <v>250</v>
      </c>
      <c r="G1424" s="215" t="s">
        <v>4148</v>
      </c>
      <c r="H1424" s="212" t="s">
        <v>259</v>
      </c>
      <c r="I1424" s="212" t="s">
        <v>2012</v>
      </c>
    </row>
    <row r="1425">
      <c r="A1425" s="216" t="s">
        <v>4149</v>
      </c>
      <c r="B1425" s="216" t="s">
        <v>4150</v>
      </c>
      <c r="C1425" s="216" t="s">
        <v>4151</v>
      </c>
      <c r="D1425" s="217">
        <v>45492.9008912037</v>
      </c>
      <c r="E1425" s="217"/>
      <c r="F1425" s="218" t="s">
        <v>3259</v>
      </c>
      <c r="G1425" s="219" t="s">
        <v>4152</v>
      </c>
      <c r="H1425" s="216" t="s">
        <v>265</v>
      </c>
      <c r="I1425" s="216" t="s">
        <v>3831</v>
      </c>
    </row>
    <row r="1426">
      <c r="A1426" s="212" t="s">
        <v>4149</v>
      </c>
      <c r="B1426" s="212" t="s">
        <v>4150</v>
      </c>
      <c r="C1426" s="212" t="s">
        <v>4151</v>
      </c>
      <c r="D1426" s="213">
        <v>45492.9008912037</v>
      </c>
      <c r="E1426" s="213"/>
      <c r="F1426" s="214" t="s">
        <v>3259</v>
      </c>
      <c r="G1426" s="215" t="s">
        <v>4152</v>
      </c>
      <c r="H1426" s="212" t="s">
        <v>265</v>
      </c>
      <c r="I1426" s="212" t="s">
        <v>3831</v>
      </c>
    </row>
    <row r="1427">
      <c r="A1427" s="212" t="s">
        <v>4149</v>
      </c>
      <c r="B1427" s="212" t="s">
        <v>4150</v>
      </c>
      <c r="C1427" s="212" t="s">
        <v>4151</v>
      </c>
      <c r="D1427" s="213">
        <v>45492.9008912037</v>
      </c>
      <c r="E1427" s="213"/>
      <c r="F1427" s="214" t="s">
        <v>3259</v>
      </c>
      <c r="G1427" s="215" t="s">
        <v>4152</v>
      </c>
      <c r="H1427" s="212" t="s">
        <v>265</v>
      </c>
      <c r="I1427" s="212" t="s">
        <v>3831</v>
      </c>
    </row>
    <row r="1428">
      <c r="A1428" s="212" t="s">
        <v>4153</v>
      </c>
      <c r="B1428" s="212" t="s">
        <v>4154</v>
      </c>
      <c r="C1428" s="212" t="s">
        <v>4155</v>
      </c>
      <c r="D1428" s="213">
        <v>45493.89179398148</v>
      </c>
      <c r="E1428" s="213"/>
      <c r="F1428" s="214" t="s">
        <v>4156</v>
      </c>
      <c r="G1428" s="215" t="s">
        <v>4157</v>
      </c>
      <c r="H1428" s="212" t="s">
        <v>259</v>
      </c>
      <c r="I1428" s="212" t="s">
        <v>1483</v>
      </c>
    </row>
    <row r="1429">
      <c r="A1429" s="216" t="s">
        <v>4158</v>
      </c>
      <c r="B1429" s="216" t="s">
        <v>4159</v>
      </c>
      <c r="C1429" s="216" t="s">
        <v>4160</v>
      </c>
      <c r="D1429" s="217">
        <v>45535.65390046296</v>
      </c>
      <c r="E1429" s="217"/>
      <c r="F1429" s="218" t="s">
        <v>470</v>
      </c>
      <c r="G1429" s="219" t="s">
        <v>4161</v>
      </c>
      <c r="H1429" s="216" t="s">
        <v>4162</v>
      </c>
      <c r="I1429" s="216" t="s">
        <v>578</v>
      </c>
    </row>
    <row r="1430">
      <c r="A1430" s="216" t="s">
        <v>4163</v>
      </c>
      <c r="B1430" s="216" t="s">
        <v>4164</v>
      </c>
      <c r="C1430" s="216" t="s">
        <v>4165</v>
      </c>
      <c r="D1430" s="217">
        <v>45709.697071759256</v>
      </c>
      <c r="E1430" s="217">
        <v>45709.73621527778</v>
      </c>
      <c r="F1430" s="218" t="s">
        <v>4166</v>
      </c>
      <c r="G1430" s="219" t="s">
        <v>4167</v>
      </c>
      <c r="H1430" s="216" t="s">
        <v>259</v>
      </c>
      <c r="I1430" s="216" t="s">
        <v>4168</v>
      </c>
    </row>
    <row r="1431">
      <c r="A1431" s="212" t="s">
        <v>4169</v>
      </c>
      <c r="B1431" s="212" t="s">
        <v>4164</v>
      </c>
      <c r="C1431" s="212" t="s">
        <v>4170</v>
      </c>
      <c r="D1431" s="213">
        <v>45709.69565972222</v>
      </c>
      <c r="E1431" s="213">
        <v>45709.77452546296</v>
      </c>
      <c r="F1431" s="214" t="s">
        <v>967</v>
      </c>
      <c r="G1431" s="215" t="s">
        <v>4171</v>
      </c>
      <c r="H1431" s="212" t="s">
        <v>259</v>
      </c>
      <c r="I1431" s="212" t="s">
        <v>4168</v>
      </c>
    </row>
    <row r="1432">
      <c r="A1432" s="216" t="s">
        <v>4172</v>
      </c>
      <c r="B1432" s="216" t="s">
        <v>4164</v>
      </c>
      <c r="C1432" s="216" t="s">
        <v>4170</v>
      </c>
      <c r="D1432" s="217">
        <v>45737.74628472222</v>
      </c>
      <c r="E1432" s="217">
        <v>45737.85774305555</v>
      </c>
      <c r="F1432" s="218" t="s">
        <v>2990</v>
      </c>
      <c r="G1432" s="219" t="s">
        <v>4173</v>
      </c>
      <c r="H1432" s="216" t="s">
        <v>259</v>
      </c>
      <c r="I1432" s="216" t="s">
        <v>4168</v>
      </c>
    </row>
    <row r="1433">
      <c r="A1433" s="216" t="s">
        <v>4174</v>
      </c>
      <c r="B1433" s="216" t="s">
        <v>4164</v>
      </c>
      <c r="C1433" s="216" t="s">
        <v>4165</v>
      </c>
      <c r="D1433" s="217">
        <v>45737.71498842593</v>
      </c>
      <c r="E1433" s="217">
        <v>45737.87513888889</v>
      </c>
      <c r="F1433" s="218" t="s">
        <v>730</v>
      </c>
      <c r="G1433" s="219" t="s">
        <v>476</v>
      </c>
      <c r="H1433" s="216" t="s">
        <v>259</v>
      </c>
      <c r="I1433" s="216" t="s">
        <v>4168</v>
      </c>
    </row>
    <row r="1434">
      <c r="A1434" s="212" t="s">
        <v>4175</v>
      </c>
      <c r="B1434" s="212" t="s">
        <v>4176</v>
      </c>
      <c r="C1434" s="212" t="s">
        <v>4177</v>
      </c>
      <c r="D1434" s="213">
        <v>45716.787511574075</v>
      </c>
      <c r="E1434" s="213">
        <v>45716.795324074075</v>
      </c>
      <c r="F1434" s="214" t="s">
        <v>291</v>
      </c>
      <c r="G1434" s="215" t="s">
        <v>4178</v>
      </c>
      <c r="H1434" s="212" t="s">
        <v>811</v>
      </c>
      <c r="I1434" s="212" t="s">
        <v>4179</v>
      </c>
    </row>
    <row r="1435">
      <c r="A1435" s="212" t="s">
        <v>4180</v>
      </c>
      <c r="B1435" s="212" t="s">
        <v>4176</v>
      </c>
      <c r="C1435" s="212" t="s">
        <v>4181</v>
      </c>
      <c r="D1435" s="213">
        <v>45737.628171296295</v>
      </c>
      <c r="E1435" s="213">
        <v>45737.63555555556</v>
      </c>
      <c r="F1435" s="214" t="s">
        <v>4182</v>
      </c>
      <c r="G1435" s="215" t="s">
        <v>4183</v>
      </c>
      <c r="H1435" s="212" t="s">
        <v>811</v>
      </c>
      <c r="I1435" s="212" t="s">
        <v>4179</v>
      </c>
    </row>
    <row r="1436">
      <c r="A1436" s="212" t="s">
        <v>4184</v>
      </c>
      <c r="B1436" s="212" t="s">
        <v>4185</v>
      </c>
      <c r="C1436" s="212" t="s">
        <v>4186</v>
      </c>
      <c r="D1436" s="213">
        <v>45542.85628472222</v>
      </c>
      <c r="E1436" s="213"/>
      <c r="F1436" s="214" t="s">
        <v>380</v>
      </c>
      <c r="G1436" s="215" t="s">
        <v>1161</v>
      </c>
      <c r="H1436" s="212" t="s">
        <v>259</v>
      </c>
      <c r="I1436" s="212" t="s">
        <v>449</v>
      </c>
    </row>
    <row r="1437">
      <c r="A1437" s="216" t="s">
        <v>4187</v>
      </c>
      <c r="B1437" s="216" t="s">
        <v>4188</v>
      </c>
      <c r="C1437" s="216" t="s">
        <v>4189</v>
      </c>
      <c r="D1437" s="217">
        <v>45746.745891203704</v>
      </c>
      <c r="E1437" s="217">
        <v>45746.7987037037</v>
      </c>
      <c r="F1437" s="218" t="s">
        <v>2279</v>
      </c>
      <c r="G1437" s="219" t="s">
        <v>2279</v>
      </c>
      <c r="H1437" s="216" t="s">
        <v>2001</v>
      </c>
      <c r="I1437" s="216" t="s">
        <v>2720</v>
      </c>
    </row>
    <row r="1438">
      <c r="A1438" s="212" t="s">
        <v>4190</v>
      </c>
      <c r="B1438" s="212" t="s">
        <v>4188</v>
      </c>
      <c r="C1438" s="212" t="s">
        <v>4191</v>
      </c>
      <c r="D1438" s="213">
        <v>45746.67376157407</v>
      </c>
      <c r="E1438" s="213">
        <v>45747.555601851855</v>
      </c>
      <c r="F1438" s="214" t="s">
        <v>2638</v>
      </c>
      <c r="G1438" s="215" t="s">
        <v>2638</v>
      </c>
      <c r="H1438" s="212" t="s">
        <v>2001</v>
      </c>
      <c r="I1438" s="212" t="s">
        <v>2720</v>
      </c>
    </row>
    <row r="1439">
      <c r="A1439" s="212" t="s">
        <v>4192</v>
      </c>
      <c r="B1439" s="212" t="s">
        <v>4193</v>
      </c>
      <c r="C1439" s="212" t="s">
        <v>4194</v>
      </c>
      <c r="D1439" s="213">
        <v>45520.7321875</v>
      </c>
      <c r="E1439" s="213"/>
      <c r="F1439" s="214" t="s">
        <v>465</v>
      </c>
      <c r="G1439" s="215" t="s">
        <v>4195</v>
      </c>
      <c r="H1439" s="212" t="s">
        <v>265</v>
      </c>
      <c r="I1439" s="212" t="s">
        <v>2342</v>
      </c>
    </row>
    <row r="1440">
      <c r="A1440" s="216" t="s">
        <v>4196</v>
      </c>
      <c r="B1440" s="216" t="s">
        <v>4193</v>
      </c>
      <c r="C1440" s="216" t="s">
        <v>4194</v>
      </c>
      <c r="D1440" s="217">
        <v>45506.75375</v>
      </c>
      <c r="E1440" s="217"/>
      <c r="F1440" s="218" t="s">
        <v>317</v>
      </c>
      <c r="G1440" s="219" t="s">
        <v>3630</v>
      </c>
      <c r="H1440" s="216" t="s">
        <v>265</v>
      </c>
      <c r="I1440" s="216" t="s">
        <v>2342</v>
      </c>
    </row>
    <row r="1441">
      <c r="A1441" s="212" t="s">
        <v>4197</v>
      </c>
      <c r="B1441" s="212" t="s">
        <v>4193</v>
      </c>
      <c r="C1441" s="212" t="s">
        <v>4198</v>
      </c>
      <c r="D1441" s="213">
        <v>45486.66930555556</v>
      </c>
      <c r="E1441" s="213"/>
      <c r="F1441" s="214" t="s">
        <v>1811</v>
      </c>
      <c r="G1441" s="215" t="s">
        <v>4199</v>
      </c>
      <c r="H1441" s="212" t="s">
        <v>632</v>
      </c>
      <c r="I1441" s="212" t="s">
        <v>2342</v>
      </c>
    </row>
    <row r="1442">
      <c r="A1442" s="216" t="s">
        <v>4200</v>
      </c>
      <c r="B1442" s="216" t="s">
        <v>4193</v>
      </c>
      <c r="C1442" s="216" t="s">
        <v>4194</v>
      </c>
      <c r="D1442" s="217">
        <v>45486.665925925925</v>
      </c>
      <c r="E1442" s="217"/>
      <c r="F1442" s="218" t="s">
        <v>465</v>
      </c>
      <c r="G1442" s="219" t="s">
        <v>4201</v>
      </c>
      <c r="H1442" s="216" t="s">
        <v>265</v>
      </c>
      <c r="I1442" s="216" t="s">
        <v>2342</v>
      </c>
    </row>
    <row r="1443">
      <c r="A1443" s="212" t="s">
        <v>4197</v>
      </c>
      <c r="B1443" s="212" t="s">
        <v>4193</v>
      </c>
      <c r="C1443" s="212" t="s">
        <v>4198</v>
      </c>
      <c r="D1443" s="213">
        <v>45486.66930555556</v>
      </c>
      <c r="E1443" s="213"/>
      <c r="F1443" s="214" t="s">
        <v>1811</v>
      </c>
      <c r="G1443" s="215" t="s">
        <v>4199</v>
      </c>
      <c r="H1443" s="212" t="s">
        <v>632</v>
      </c>
      <c r="I1443" s="212" t="s">
        <v>2342</v>
      </c>
    </row>
    <row r="1444">
      <c r="A1444" s="216" t="s">
        <v>4200</v>
      </c>
      <c r="B1444" s="216" t="s">
        <v>4193</v>
      </c>
      <c r="C1444" s="216" t="s">
        <v>4194</v>
      </c>
      <c r="D1444" s="217">
        <v>45486.665925925925</v>
      </c>
      <c r="E1444" s="217"/>
      <c r="F1444" s="218" t="s">
        <v>465</v>
      </c>
      <c r="G1444" s="219" t="s">
        <v>4201</v>
      </c>
      <c r="H1444" s="216" t="s">
        <v>265</v>
      </c>
      <c r="I1444" s="216" t="s">
        <v>2342</v>
      </c>
    </row>
    <row r="1445">
      <c r="A1445" s="212" t="s">
        <v>4202</v>
      </c>
      <c r="B1445" s="212" t="s">
        <v>4203</v>
      </c>
      <c r="C1445" s="212" t="s">
        <v>4204</v>
      </c>
      <c r="D1445" s="213">
        <v>45482.89849537037</v>
      </c>
      <c r="E1445" s="213"/>
      <c r="F1445" s="214" t="s">
        <v>645</v>
      </c>
      <c r="G1445" s="215" t="s">
        <v>4205</v>
      </c>
      <c r="H1445" s="212" t="s">
        <v>561</v>
      </c>
      <c r="I1445" s="212" t="s">
        <v>4206</v>
      </c>
    </row>
    <row r="1446">
      <c r="A1446" s="212" t="s">
        <v>4202</v>
      </c>
      <c r="B1446" s="212" t="s">
        <v>4203</v>
      </c>
      <c r="C1446" s="212" t="s">
        <v>4204</v>
      </c>
      <c r="D1446" s="213">
        <v>45482.89849537037</v>
      </c>
      <c r="E1446" s="213"/>
      <c r="F1446" s="214" t="s">
        <v>645</v>
      </c>
      <c r="G1446" s="215" t="s">
        <v>4205</v>
      </c>
      <c r="H1446" s="212" t="s">
        <v>561</v>
      </c>
      <c r="I1446" s="212" t="s">
        <v>4206</v>
      </c>
    </row>
    <row r="1447">
      <c r="A1447" s="216" t="s">
        <v>4207</v>
      </c>
      <c r="B1447" s="216" t="s">
        <v>4208</v>
      </c>
      <c r="C1447" s="216" t="s">
        <v>4209</v>
      </c>
      <c r="D1447" s="217">
        <v>45713.63015046297</v>
      </c>
      <c r="E1447" s="217">
        <v>45715.56275462963</v>
      </c>
      <c r="F1447" s="218" t="s">
        <v>4210</v>
      </c>
      <c r="G1447" s="219" t="s">
        <v>4211</v>
      </c>
      <c r="H1447" s="216" t="s">
        <v>346</v>
      </c>
      <c r="I1447" s="216" t="s">
        <v>3484</v>
      </c>
    </row>
    <row r="1448">
      <c r="A1448" s="212" t="s">
        <v>4212</v>
      </c>
      <c r="B1448" s="212" t="s">
        <v>4208</v>
      </c>
      <c r="C1448" s="212" t="s">
        <v>4213</v>
      </c>
      <c r="D1448" s="213">
        <v>45713.62846064815</v>
      </c>
      <c r="E1448" s="213">
        <v>45713.63893518518</v>
      </c>
      <c r="F1448" s="214" t="s">
        <v>4214</v>
      </c>
      <c r="G1448" s="215" t="s">
        <v>4215</v>
      </c>
      <c r="H1448" s="212" t="s">
        <v>811</v>
      </c>
      <c r="I1448" s="212" t="s">
        <v>3484</v>
      </c>
    </row>
    <row r="1449">
      <c r="A1449" s="216" t="s">
        <v>4216</v>
      </c>
      <c r="B1449" s="216" t="s">
        <v>4217</v>
      </c>
      <c r="C1449" s="216" t="s">
        <v>4218</v>
      </c>
      <c r="D1449" s="217">
        <v>45704.62032407407</v>
      </c>
      <c r="E1449" s="217">
        <v>45704.64278935185</v>
      </c>
      <c r="F1449" s="218" t="s">
        <v>706</v>
      </c>
      <c r="G1449" s="219" t="s">
        <v>1975</v>
      </c>
      <c r="H1449" s="216" t="s">
        <v>416</v>
      </c>
      <c r="I1449" s="216" t="s">
        <v>4219</v>
      </c>
    </row>
    <row r="1450">
      <c r="A1450" s="216" t="s">
        <v>4220</v>
      </c>
      <c r="B1450" s="216" t="s">
        <v>4221</v>
      </c>
      <c r="C1450" s="216" t="s">
        <v>4033</v>
      </c>
      <c r="D1450" s="217">
        <v>45537.48971064815</v>
      </c>
      <c r="E1450" s="217"/>
      <c r="F1450" s="218" t="s">
        <v>431</v>
      </c>
      <c r="G1450" s="219" t="s">
        <v>4222</v>
      </c>
      <c r="H1450" s="216" t="s">
        <v>398</v>
      </c>
      <c r="I1450" s="216" t="s">
        <v>2391</v>
      </c>
    </row>
    <row r="1451">
      <c r="A1451" s="216" t="s">
        <v>4223</v>
      </c>
      <c r="B1451" s="216" t="s">
        <v>4224</v>
      </c>
      <c r="C1451" s="216" t="s">
        <v>3710</v>
      </c>
      <c r="D1451" s="217">
        <v>45534.733935185184</v>
      </c>
      <c r="E1451" s="217"/>
      <c r="F1451" s="218" t="s">
        <v>470</v>
      </c>
      <c r="G1451" s="219" t="s">
        <v>4225</v>
      </c>
      <c r="H1451" s="216" t="s">
        <v>259</v>
      </c>
      <c r="I1451" s="216" t="s">
        <v>313</v>
      </c>
    </row>
    <row r="1452">
      <c r="A1452" s="216" t="s">
        <v>4226</v>
      </c>
      <c r="B1452" s="216" t="s">
        <v>4227</v>
      </c>
      <c r="C1452" s="216" t="s">
        <v>4228</v>
      </c>
      <c r="D1452" s="217">
        <v>45745.583020833335</v>
      </c>
      <c r="E1452" s="217">
        <v>45745.63549768519</v>
      </c>
      <c r="F1452" s="218" t="s">
        <v>4229</v>
      </c>
      <c r="G1452" s="219" t="s">
        <v>4230</v>
      </c>
      <c r="H1452" s="216" t="s">
        <v>259</v>
      </c>
      <c r="I1452" s="216" t="s">
        <v>313</v>
      </c>
    </row>
    <row r="1453">
      <c r="A1453" s="216" t="s">
        <v>4231</v>
      </c>
      <c r="B1453" s="216" t="s">
        <v>4232</v>
      </c>
      <c r="C1453" s="216" t="s">
        <v>4233</v>
      </c>
      <c r="D1453" s="217">
        <v>45479.62174768518</v>
      </c>
      <c r="E1453" s="217"/>
      <c r="F1453" s="218" t="s">
        <v>435</v>
      </c>
      <c r="G1453" s="219" t="s">
        <v>4234</v>
      </c>
      <c r="H1453" s="216" t="s">
        <v>265</v>
      </c>
      <c r="I1453" s="216" t="s">
        <v>755</v>
      </c>
    </row>
    <row r="1454">
      <c r="A1454" s="212" t="s">
        <v>4235</v>
      </c>
      <c r="B1454" s="212" t="s">
        <v>4232</v>
      </c>
      <c r="C1454" s="212" t="s">
        <v>4233</v>
      </c>
      <c r="D1454" s="213">
        <v>45473.601122685184</v>
      </c>
      <c r="E1454" s="213"/>
      <c r="F1454" s="214" t="s">
        <v>765</v>
      </c>
      <c r="G1454" s="215" t="s">
        <v>4236</v>
      </c>
      <c r="H1454" s="212" t="s">
        <v>265</v>
      </c>
      <c r="I1454" s="212" t="s">
        <v>755</v>
      </c>
    </row>
    <row r="1455">
      <c r="A1455" s="216" t="s">
        <v>4237</v>
      </c>
      <c r="B1455" s="216" t="s">
        <v>4232</v>
      </c>
      <c r="C1455" s="216" t="s">
        <v>4233</v>
      </c>
      <c r="D1455" s="217">
        <v>45466.868842592594</v>
      </c>
      <c r="E1455" s="217"/>
      <c r="F1455" s="218" t="s">
        <v>1199</v>
      </c>
      <c r="G1455" s="219" t="s">
        <v>4238</v>
      </c>
      <c r="H1455" s="216" t="s">
        <v>265</v>
      </c>
      <c r="I1455" s="216" t="s">
        <v>755</v>
      </c>
    </row>
    <row r="1456">
      <c r="A1456" s="212" t="s">
        <v>4239</v>
      </c>
      <c r="B1456" s="212" t="s">
        <v>4232</v>
      </c>
      <c r="C1456" s="212" t="s">
        <v>4233</v>
      </c>
      <c r="D1456" s="213">
        <v>45458.85859953704</v>
      </c>
      <c r="E1456" s="213">
        <v>45458.65980324074</v>
      </c>
      <c r="F1456" s="214" t="s">
        <v>765</v>
      </c>
      <c r="G1456" s="215" t="s">
        <v>4240</v>
      </c>
      <c r="H1456" s="212" t="s">
        <v>265</v>
      </c>
      <c r="I1456" s="212" t="s">
        <v>755</v>
      </c>
    </row>
    <row r="1457">
      <c r="A1457" s="216" t="s">
        <v>4241</v>
      </c>
      <c r="B1457" s="216" t="s">
        <v>4232</v>
      </c>
      <c r="C1457" s="216" t="s">
        <v>4233</v>
      </c>
      <c r="D1457" s="217">
        <v>45453.841631944444</v>
      </c>
      <c r="E1457" s="217">
        <v>45453.642592592594</v>
      </c>
      <c r="F1457" s="218" t="s">
        <v>435</v>
      </c>
      <c r="G1457" s="219" t="s">
        <v>4242</v>
      </c>
      <c r="H1457" s="216" t="s">
        <v>265</v>
      </c>
      <c r="I1457" s="216" t="s">
        <v>755</v>
      </c>
    </row>
    <row r="1458">
      <c r="A1458" s="212" t="s">
        <v>4243</v>
      </c>
      <c r="B1458" s="212" t="s">
        <v>4232</v>
      </c>
      <c r="C1458" s="212" t="s">
        <v>4233</v>
      </c>
      <c r="D1458" s="213">
        <v>45445.51908564815</v>
      </c>
      <c r="E1458" s="213">
        <v>45445.569502314815</v>
      </c>
      <c r="F1458" s="214" t="s">
        <v>658</v>
      </c>
      <c r="G1458" s="215" t="s">
        <v>4244</v>
      </c>
      <c r="H1458" s="212" t="s">
        <v>265</v>
      </c>
      <c r="I1458" s="212" t="s">
        <v>755</v>
      </c>
    </row>
    <row r="1459">
      <c r="A1459" s="212" t="s">
        <v>4245</v>
      </c>
      <c r="B1459" s="212" t="s">
        <v>4232</v>
      </c>
      <c r="C1459" s="212" t="s">
        <v>4246</v>
      </c>
      <c r="D1459" s="213">
        <v>45746.580717592595</v>
      </c>
      <c r="E1459" s="213">
        <v>45746.7153587963</v>
      </c>
      <c r="F1459" s="214" t="s">
        <v>431</v>
      </c>
      <c r="G1459" s="215" t="s">
        <v>432</v>
      </c>
      <c r="H1459" s="212" t="s">
        <v>472</v>
      </c>
      <c r="I1459" s="212" t="s">
        <v>755</v>
      </c>
    </row>
    <row r="1460">
      <c r="A1460" s="216" t="s">
        <v>4247</v>
      </c>
      <c r="B1460" s="216" t="s">
        <v>4232</v>
      </c>
      <c r="C1460" s="216" t="s">
        <v>4246</v>
      </c>
      <c r="D1460" s="217">
        <v>45774.60733796296</v>
      </c>
      <c r="E1460" s="217">
        <v>45774.95138888889</v>
      </c>
      <c r="F1460" s="218" t="s">
        <v>431</v>
      </c>
      <c r="G1460" s="219" t="s">
        <v>2101</v>
      </c>
      <c r="H1460" s="216" t="s">
        <v>472</v>
      </c>
      <c r="I1460" s="216" t="s">
        <v>755</v>
      </c>
    </row>
    <row r="1461">
      <c r="A1461" s="212" t="s">
        <v>4248</v>
      </c>
      <c r="B1461" s="212" t="s">
        <v>4232</v>
      </c>
      <c r="C1461" s="212" t="s">
        <v>4246</v>
      </c>
      <c r="D1461" s="213">
        <v>45760.64454861111</v>
      </c>
      <c r="E1461" s="213">
        <v>45760.94792824074</v>
      </c>
      <c r="F1461" s="214" t="s">
        <v>380</v>
      </c>
      <c r="G1461" s="215" t="s">
        <v>4249</v>
      </c>
      <c r="H1461" s="212" t="s">
        <v>472</v>
      </c>
      <c r="I1461" s="212" t="s">
        <v>755</v>
      </c>
    </row>
    <row r="1462">
      <c r="A1462" s="212" t="s">
        <v>4250</v>
      </c>
      <c r="B1462" s="212" t="s">
        <v>4251</v>
      </c>
      <c r="C1462" s="212" t="s">
        <v>4252</v>
      </c>
      <c r="D1462" s="213">
        <v>45466.8768287037</v>
      </c>
      <c r="E1462" s="213"/>
      <c r="F1462" s="214" t="s">
        <v>431</v>
      </c>
      <c r="G1462" s="215" t="s">
        <v>4253</v>
      </c>
      <c r="H1462" s="212" t="s">
        <v>754</v>
      </c>
      <c r="I1462" s="212" t="s">
        <v>755</v>
      </c>
    </row>
    <row r="1463">
      <c r="A1463" s="216" t="s">
        <v>4254</v>
      </c>
      <c r="B1463" s="216" t="s">
        <v>4251</v>
      </c>
      <c r="C1463" s="216" t="s">
        <v>4255</v>
      </c>
      <c r="D1463" s="217">
        <v>45466.86386574074</v>
      </c>
      <c r="E1463" s="217"/>
      <c r="F1463" s="218" t="s">
        <v>317</v>
      </c>
      <c r="G1463" s="219" t="s">
        <v>4256</v>
      </c>
      <c r="H1463" s="216" t="s">
        <v>265</v>
      </c>
      <c r="I1463" s="216" t="s">
        <v>755</v>
      </c>
    </row>
    <row r="1464">
      <c r="A1464" s="212" t="s">
        <v>4257</v>
      </c>
      <c r="B1464" s="212" t="s">
        <v>4251</v>
      </c>
      <c r="C1464" s="212" t="s">
        <v>4255</v>
      </c>
      <c r="D1464" s="213">
        <v>45453.840578703705</v>
      </c>
      <c r="E1464" s="213">
        <v>45453.64252314815</v>
      </c>
      <c r="F1464" s="214" t="s">
        <v>658</v>
      </c>
      <c r="G1464" s="215" t="s">
        <v>3972</v>
      </c>
      <c r="H1464" s="212" t="s">
        <v>265</v>
      </c>
      <c r="I1464" s="212" t="s">
        <v>755</v>
      </c>
    </row>
    <row r="1465">
      <c r="A1465" s="212" t="s">
        <v>4258</v>
      </c>
      <c r="B1465" s="212" t="s">
        <v>4259</v>
      </c>
      <c r="C1465" s="212" t="s">
        <v>2158</v>
      </c>
      <c r="D1465" s="213">
        <v>45761.83840277778</v>
      </c>
      <c r="E1465" s="213">
        <v>45762.48966435185</v>
      </c>
      <c r="F1465" s="214" t="s">
        <v>2351</v>
      </c>
      <c r="G1465" s="215" t="s">
        <v>4260</v>
      </c>
      <c r="H1465" s="212" t="s">
        <v>356</v>
      </c>
      <c r="I1465" s="212" t="s">
        <v>2160</v>
      </c>
    </row>
    <row r="1466">
      <c r="A1466" s="212" t="s">
        <v>4261</v>
      </c>
      <c r="B1466" s="212" t="s">
        <v>4262</v>
      </c>
      <c r="C1466" s="212" t="s">
        <v>4263</v>
      </c>
      <c r="D1466" s="213">
        <v>45544.757002314815</v>
      </c>
      <c r="E1466" s="213"/>
      <c r="F1466" s="214" t="s">
        <v>364</v>
      </c>
      <c r="G1466" s="215" t="s">
        <v>365</v>
      </c>
      <c r="H1466" s="212" t="s">
        <v>346</v>
      </c>
      <c r="I1466" s="212" t="s">
        <v>823</v>
      </c>
    </row>
    <row r="1467">
      <c r="A1467" s="216" t="s">
        <v>4264</v>
      </c>
      <c r="B1467" s="216" t="s">
        <v>4262</v>
      </c>
      <c r="C1467" s="216" t="s">
        <v>4265</v>
      </c>
      <c r="D1467" s="217">
        <v>45544.75635416667</v>
      </c>
      <c r="E1467" s="217"/>
      <c r="F1467" s="218" t="s">
        <v>4266</v>
      </c>
      <c r="G1467" s="219" t="s">
        <v>4267</v>
      </c>
      <c r="H1467" s="216" t="s">
        <v>346</v>
      </c>
      <c r="I1467" s="216" t="s">
        <v>823</v>
      </c>
    </row>
    <row r="1468">
      <c r="A1468" s="216" t="s">
        <v>4268</v>
      </c>
      <c r="B1468" s="216" t="s">
        <v>4262</v>
      </c>
      <c r="C1468" s="216" t="s">
        <v>4269</v>
      </c>
      <c r="D1468" s="217">
        <v>45523.81177083333</v>
      </c>
      <c r="E1468" s="217"/>
      <c r="F1468" s="218" t="s">
        <v>765</v>
      </c>
      <c r="G1468" s="219" t="s">
        <v>4270</v>
      </c>
      <c r="H1468" s="216" t="s">
        <v>265</v>
      </c>
      <c r="I1468" s="216" t="s">
        <v>2342</v>
      </c>
    </row>
    <row r="1469">
      <c r="A1469" s="216" t="s">
        <v>4268</v>
      </c>
      <c r="B1469" s="216" t="s">
        <v>4262</v>
      </c>
      <c r="C1469" s="216" t="s">
        <v>4269</v>
      </c>
      <c r="D1469" s="217">
        <v>45523.81177083333</v>
      </c>
      <c r="E1469" s="217"/>
      <c r="F1469" s="218" t="s">
        <v>765</v>
      </c>
      <c r="G1469" s="219" t="s">
        <v>4270</v>
      </c>
      <c r="H1469" s="216" t="s">
        <v>265</v>
      </c>
      <c r="I1469" s="216" t="s">
        <v>2342</v>
      </c>
    </row>
    <row r="1470">
      <c r="A1470" s="212" t="s">
        <v>4271</v>
      </c>
      <c r="B1470" s="212" t="s">
        <v>4262</v>
      </c>
      <c r="C1470" s="212" t="s">
        <v>4272</v>
      </c>
      <c r="D1470" s="213">
        <v>45522.83625</v>
      </c>
      <c r="E1470" s="213"/>
      <c r="F1470" s="214" t="s">
        <v>4156</v>
      </c>
      <c r="G1470" s="215" t="s">
        <v>4273</v>
      </c>
      <c r="H1470" s="212" t="s">
        <v>346</v>
      </c>
      <c r="I1470" s="212" t="s">
        <v>1714</v>
      </c>
    </row>
    <row r="1471">
      <c r="A1471" s="212" t="s">
        <v>4274</v>
      </c>
      <c r="B1471" s="212" t="s">
        <v>4262</v>
      </c>
      <c r="C1471" s="212" t="s">
        <v>4272</v>
      </c>
      <c r="D1471" s="213">
        <v>45522.6328587963</v>
      </c>
      <c r="E1471" s="213"/>
      <c r="F1471" s="214" t="s">
        <v>4275</v>
      </c>
      <c r="G1471" s="215" t="s">
        <v>4276</v>
      </c>
      <c r="H1471" s="212" t="s">
        <v>346</v>
      </c>
      <c r="I1471" s="212" t="s">
        <v>1714</v>
      </c>
    </row>
    <row r="1472">
      <c r="A1472" s="212" t="s">
        <v>4277</v>
      </c>
      <c r="B1472" s="212" t="s">
        <v>4262</v>
      </c>
      <c r="C1472" s="212" t="s">
        <v>4278</v>
      </c>
      <c r="D1472" s="213">
        <v>45517.418078703704</v>
      </c>
      <c r="E1472" s="213"/>
      <c r="F1472" s="214" t="s">
        <v>651</v>
      </c>
      <c r="G1472" s="215" t="s">
        <v>1560</v>
      </c>
      <c r="H1472" s="212" t="s">
        <v>283</v>
      </c>
      <c r="I1472" s="212" t="s">
        <v>823</v>
      </c>
    </row>
    <row r="1473">
      <c r="A1473" s="212" t="s">
        <v>4279</v>
      </c>
      <c r="B1473" s="212" t="s">
        <v>4262</v>
      </c>
      <c r="C1473" s="212" t="s">
        <v>1073</v>
      </c>
      <c r="D1473" s="213">
        <v>45487.81353009259</v>
      </c>
      <c r="E1473" s="213"/>
      <c r="F1473" s="214" t="s">
        <v>765</v>
      </c>
      <c r="G1473" s="215" t="s">
        <v>4280</v>
      </c>
      <c r="H1473" s="212" t="s">
        <v>265</v>
      </c>
      <c r="I1473" s="212" t="s">
        <v>1075</v>
      </c>
    </row>
    <row r="1474">
      <c r="A1474" s="212" t="s">
        <v>4279</v>
      </c>
      <c r="B1474" s="212" t="s">
        <v>4262</v>
      </c>
      <c r="C1474" s="212" t="s">
        <v>1073</v>
      </c>
      <c r="D1474" s="213">
        <v>45487.81353009259</v>
      </c>
      <c r="E1474" s="213"/>
      <c r="F1474" s="214" t="s">
        <v>765</v>
      </c>
      <c r="G1474" s="215" t="s">
        <v>4280</v>
      </c>
      <c r="H1474" s="212" t="s">
        <v>265</v>
      </c>
      <c r="I1474" s="212" t="s">
        <v>1075</v>
      </c>
    </row>
    <row r="1475">
      <c r="A1475" s="212" t="s">
        <v>4281</v>
      </c>
      <c r="B1475" s="212" t="s">
        <v>4282</v>
      </c>
      <c r="C1475" s="212" t="s">
        <v>4283</v>
      </c>
      <c r="D1475" s="213">
        <v>45549.79603009259</v>
      </c>
      <c r="E1475" s="213"/>
      <c r="F1475" s="214" t="s">
        <v>538</v>
      </c>
      <c r="G1475" s="215" t="s">
        <v>4284</v>
      </c>
      <c r="H1475" s="212" t="s">
        <v>337</v>
      </c>
      <c r="I1475" s="212" t="s">
        <v>260</v>
      </c>
    </row>
    <row r="1476">
      <c r="A1476" s="212" t="s">
        <v>4285</v>
      </c>
      <c r="B1476" s="212" t="s">
        <v>4282</v>
      </c>
      <c r="C1476" s="212" t="s">
        <v>4283</v>
      </c>
      <c r="D1476" s="213">
        <v>45536.51951388889</v>
      </c>
      <c r="E1476" s="213"/>
      <c r="F1476" s="214" t="s">
        <v>503</v>
      </c>
      <c r="G1476" s="215" t="s">
        <v>2428</v>
      </c>
      <c r="H1476" s="212" t="s">
        <v>337</v>
      </c>
      <c r="I1476" s="212" t="s">
        <v>260</v>
      </c>
    </row>
    <row r="1477">
      <c r="A1477" s="216" t="s">
        <v>4286</v>
      </c>
      <c r="B1477" s="216" t="s">
        <v>4282</v>
      </c>
      <c r="C1477" s="216" t="s">
        <v>4287</v>
      </c>
      <c r="D1477" s="217">
        <v>45536.51846064815</v>
      </c>
      <c r="E1477" s="217"/>
      <c r="F1477" s="218" t="s">
        <v>281</v>
      </c>
      <c r="G1477" s="219" t="s">
        <v>4288</v>
      </c>
      <c r="H1477" s="216" t="s">
        <v>265</v>
      </c>
      <c r="I1477" s="216" t="s">
        <v>260</v>
      </c>
    </row>
    <row r="1478">
      <c r="A1478" s="216" t="s">
        <v>4289</v>
      </c>
      <c r="B1478" s="216" t="s">
        <v>4282</v>
      </c>
      <c r="C1478" s="216" t="s">
        <v>4283</v>
      </c>
      <c r="D1478" s="217">
        <v>45702.88582175926</v>
      </c>
      <c r="E1478" s="217">
        <v>45702.89931712963</v>
      </c>
      <c r="F1478" s="218" t="s">
        <v>291</v>
      </c>
      <c r="G1478" s="219" t="s">
        <v>4290</v>
      </c>
      <c r="H1478" s="216" t="s">
        <v>337</v>
      </c>
      <c r="I1478" s="216" t="s">
        <v>260</v>
      </c>
    </row>
    <row r="1479">
      <c r="A1479" s="216" t="s">
        <v>4291</v>
      </c>
      <c r="B1479" s="216" t="s">
        <v>4292</v>
      </c>
      <c r="C1479" s="216" t="s">
        <v>4293</v>
      </c>
      <c r="D1479" s="217">
        <v>45501.49431712963</v>
      </c>
      <c r="E1479" s="217"/>
      <c r="F1479" s="218" t="s">
        <v>4294</v>
      </c>
      <c r="G1479" s="219" t="s">
        <v>4295</v>
      </c>
      <c r="H1479" s="216" t="s">
        <v>377</v>
      </c>
      <c r="I1479" s="216" t="s">
        <v>284</v>
      </c>
    </row>
    <row r="1480">
      <c r="A1480" s="212" t="s">
        <v>4296</v>
      </c>
      <c r="B1480" s="212" t="s">
        <v>4292</v>
      </c>
      <c r="C1480" s="212" t="s">
        <v>4297</v>
      </c>
      <c r="D1480" s="213">
        <v>45746.50460648148</v>
      </c>
      <c r="E1480" s="213">
        <v>45747.503587962965</v>
      </c>
      <c r="F1480" s="214" t="s">
        <v>4298</v>
      </c>
      <c r="G1480" s="215" t="s">
        <v>4299</v>
      </c>
      <c r="H1480" s="212" t="s">
        <v>377</v>
      </c>
      <c r="I1480" s="212" t="s">
        <v>284</v>
      </c>
    </row>
    <row r="1481">
      <c r="A1481" s="216" t="s">
        <v>4300</v>
      </c>
      <c r="B1481" s="216" t="s">
        <v>4301</v>
      </c>
      <c r="C1481" s="216" t="s">
        <v>4302</v>
      </c>
      <c r="D1481" s="217">
        <v>45536.63222222222</v>
      </c>
      <c r="E1481" s="225"/>
      <c r="F1481" s="218" t="s">
        <v>651</v>
      </c>
      <c r="G1481" s="219" t="s">
        <v>4303</v>
      </c>
      <c r="H1481" s="216" t="s">
        <v>259</v>
      </c>
      <c r="I1481" s="216" t="s">
        <v>1080</v>
      </c>
    </row>
    <row r="1482">
      <c r="A1482" s="212" t="s">
        <v>4304</v>
      </c>
      <c r="B1482" s="212" t="s">
        <v>4301</v>
      </c>
      <c r="C1482" s="212" t="s">
        <v>4305</v>
      </c>
      <c r="D1482" s="213">
        <v>45524.87211805556</v>
      </c>
      <c r="E1482" s="226"/>
      <c r="F1482" s="214" t="s">
        <v>3829</v>
      </c>
      <c r="G1482" s="215" t="s">
        <v>4306</v>
      </c>
      <c r="H1482" s="212" t="s">
        <v>632</v>
      </c>
      <c r="I1482" s="212" t="s">
        <v>1080</v>
      </c>
    </row>
    <row r="1483">
      <c r="A1483" s="216" t="s">
        <v>4307</v>
      </c>
      <c r="B1483" s="216" t="s">
        <v>4301</v>
      </c>
      <c r="C1483" s="216" t="s">
        <v>4302</v>
      </c>
      <c r="D1483" s="217">
        <v>45521.653449074074</v>
      </c>
      <c r="E1483" s="217"/>
      <c r="F1483" s="218" t="s">
        <v>4308</v>
      </c>
      <c r="G1483" s="219" t="s">
        <v>4309</v>
      </c>
      <c r="H1483" s="216" t="s">
        <v>259</v>
      </c>
      <c r="I1483" s="216" t="s">
        <v>1080</v>
      </c>
    </row>
    <row r="1484">
      <c r="A1484" s="216" t="s">
        <v>4310</v>
      </c>
      <c r="B1484" s="216" t="s">
        <v>4301</v>
      </c>
      <c r="C1484" s="216" t="s">
        <v>4302</v>
      </c>
      <c r="D1484" s="217">
        <v>45514.71255787037</v>
      </c>
      <c r="E1484" s="217"/>
      <c r="F1484" s="218" t="s">
        <v>2522</v>
      </c>
      <c r="G1484" s="219" t="s">
        <v>4311</v>
      </c>
      <c r="H1484" s="216" t="s">
        <v>259</v>
      </c>
      <c r="I1484" s="216" t="s">
        <v>1080</v>
      </c>
    </row>
    <row r="1485">
      <c r="A1485" s="212" t="s">
        <v>4312</v>
      </c>
      <c r="B1485" s="212" t="s">
        <v>4301</v>
      </c>
      <c r="C1485" s="212" t="s">
        <v>4302</v>
      </c>
      <c r="D1485" s="213">
        <v>45507.73541666667</v>
      </c>
      <c r="E1485" s="213"/>
      <c r="F1485" s="214" t="s">
        <v>4313</v>
      </c>
      <c r="G1485" s="215" t="s">
        <v>4314</v>
      </c>
      <c r="H1485" s="212" t="s">
        <v>259</v>
      </c>
      <c r="I1485" s="212" t="s">
        <v>1080</v>
      </c>
    </row>
    <row r="1486">
      <c r="A1486" s="216" t="s">
        <v>4315</v>
      </c>
      <c r="B1486" s="216" t="s">
        <v>4301</v>
      </c>
      <c r="C1486" s="216" t="s">
        <v>4302</v>
      </c>
      <c r="D1486" s="217">
        <v>45500.782430555555</v>
      </c>
      <c r="E1486" s="217"/>
      <c r="F1486" s="218" t="s">
        <v>4316</v>
      </c>
      <c r="G1486" s="219" t="s">
        <v>4317</v>
      </c>
      <c r="H1486" s="216" t="s">
        <v>259</v>
      </c>
      <c r="I1486" s="216" t="s">
        <v>1080</v>
      </c>
    </row>
    <row r="1487">
      <c r="A1487" s="216" t="s">
        <v>4318</v>
      </c>
      <c r="B1487" s="216" t="s">
        <v>4301</v>
      </c>
      <c r="C1487" s="216" t="s">
        <v>4302</v>
      </c>
      <c r="D1487" s="217">
        <v>45489.83100694444</v>
      </c>
      <c r="E1487" s="217"/>
      <c r="F1487" s="218" t="s">
        <v>4275</v>
      </c>
      <c r="G1487" s="219" t="s">
        <v>4319</v>
      </c>
      <c r="H1487" s="216" t="s">
        <v>259</v>
      </c>
      <c r="I1487" s="216" t="s">
        <v>1080</v>
      </c>
    </row>
    <row r="1488">
      <c r="A1488" s="216" t="s">
        <v>4320</v>
      </c>
      <c r="B1488" s="216" t="s">
        <v>4301</v>
      </c>
      <c r="C1488" s="216" t="s">
        <v>4302</v>
      </c>
      <c r="D1488" s="217">
        <v>45486.673113425924</v>
      </c>
      <c r="E1488" s="217"/>
      <c r="F1488" s="218" t="s">
        <v>4321</v>
      </c>
      <c r="G1488" s="219" t="s">
        <v>4322</v>
      </c>
      <c r="H1488" s="216" t="s">
        <v>259</v>
      </c>
      <c r="I1488" s="216" t="s">
        <v>1080</v>
      </c>
    </row>
    <row r="1489">
      <c r="A1489" s="216" t="s">
        <v>4318</v>
      </c>
      <c r="B1489" s="216" t="s">
        <v>4301</v>
      </c>
      <c r="C1489" s="216" t="s">
        <v>4302</v>
      </c>
      <c r="D1489" s="217">
        <v>45489.83100694444</v>
      </c>
      <c r="E1489" s="217"/>
      <c r="F1489" s="218" t="s">
        <v>4275</v>
      </c>
      <c r="G1489" s="219" t="s">
        <v>4319</v>
      </c>
      <c r="H1489" s="216" t="s">
        <v>259</v>
      </c>
      <c r="I1489" s="216" t="s">
        <v>1080</v>
      </c>
    </row>
    <row r="1490">
      <c r="A1490" s="216" t="s">
        <v>4320</v>
      </c>
      <c r="B1490" s="216" t="s">
        <v>4301</v>
      </c>
      <c r="C1490" s="216" t="s">
        <v>4302</v>
      </c>
      <c r="D1490" s="217">
        <v>45486.673113425924</v>
      </c>
      <c r="E1490" s="217"/>
      <c r="F1490" s="218" t="s">
        <v>4321</v>
      </c>
      <c r="G1490" s="219" t="s">
        <v>4322</v>
      </c>
      <c r="H1490" s="216" t="s">
        <v>259</v>
      </c>
      <c r="I1490" s="216" t="s">
        <v>1080</v>
      </c>
    </row>
    <row r="1491">
      <c r="A1491" s="212" t="s">
        <v>4323</v>
      </c>
      <c r="B1491" s="212" t="s">
        <v>4301</v>
      </c>
      <c r="C1491" s="212" t="s">
        <v>4302</v>
      </c>
      <c r="D1491" s="213">
        <v>45472.594722222224</v>
      </c>
      <c r="E1491" s="213"/>
      <c r="F1491" s="214" t="s">
        <v>4324</v>
      </c>
      <c r="G1491" s="215" t="s">
        <v>4325</v>
      </c>
      <c r="H1491" s="212" t="s">
        <v>259</v>
      </c>
      <c r="I1491" s="212" t="s">
        <v>1080</v>
      </c>
    </row>
    <row r="1492">
      <c r="A1492" s="216" t="s">
        <v>4326</v>
      </c>
      <c r="B1492" s="216" t="s">
        <v>4301</v>
      </c>
      <c r="C1492" s="216" t="s">
        <v>4302</v>
      </c>
      <c r="D1492" s="217">
        <v>45451.68730324074</v>
      </c>
      <c r="E1492" s="217">
        <v>45451.50025462963</v>
      </c>
      <c r="F1492" s="218" t="s">
        <v>4327</v>
      </c>
      <c r="G1492" s="219" t="s">
        <v>4328</v>
      </c>
      <c r="H1492" s="216" t="s">
        <v>259</v>
      </c>
      <c r="I1492" s="216" t="s">
        <v>1080</v>
      </c>
    </row>
    <row r="1493">
      <c r="A1493" s="216" t="s">
        <v>4329</v>
      </c>
      <c r="B1493" s="216" t="s">
        <v>4301</v>
      </c>
      <c r="C1493" s="216" t="s">
        <v>4302</v>
      </c>
      <c r="D1493" s="217">
        <v>45444.69210648148</v>
      </c>
      <c r="E1493" s="217">
        <v>45444.50356481481</v>
      </c>
      <c r="F1493" s="218" t="s">
        <v>4330</v>
      </c>
      <c r="G1493" s="219" t="s">
        <v>4331</v>
      </c>
      <c r="H1493" s="216" t="s">
        <v>259</v>
      </c>
      <c r="I1493" s="216" t="s">
        <v>1080</v>
      </c>
    </row>
    <row r="1494">
      <c r="A1494" s="216" t="s">
        <v>4332</v>
      </c>
      <c r="B1494" s="216" t="s">
        <v>4301</v>
      </c>
      <c r="C1494" s="216" t="s">
        <v>4302</v>
      </c>
      <c r="D1494" s="217">
        <v>45437.69210648148</v>
      </c>
      <c r="E1494" s="217">
        <v>45437.503587962965</v>
      </c>
      <c r="F1494" s="218" t="s">
        <v>435</v>
      </c>
      <c r="G1494" s="219" t="s">
        <v>4333</v>
      </c>
      <c r="H1494" s="216" t="s">
        <v>259</v>
      </c>
      <c r="I1494" s="216" t="s">
        <v>1080</v>
      </c>
    </row>
    <row r="1495">
      <c r="A1495" s="212" t="s">
        <v>4334</v>
      </c>
      <c r="B1495" s="212" t="s">
        <v>4335</v>
      </c>
      <c r="C1495" s="212" t="s">
        <v>4336</v>
      </c>
      <c r="D1495" s="213">
        <v>45550.736921296295</v>
      </c>
      <c r="E1495" s="213"/>
      <c r="F1495" s="214" t="s">
        <v>4337</v>
      </c>
      <c r="G1495" s="215" t="s">
        <v>4338</v>
      </c>
      <c r="H1495" s="212" t="s">
        <v>265</v>
      </c>
      <c r="I1495" s="212" t="s">
        <v>1094</v>
      </c>
    </row>
    <row r="1496">
      <c r="A1496" s="212" t="s">
        <v>4339</v>
      </c>
      <c r="B1496" s="212" t="s">
        <v>4335</v>
      </c>
      <c r="C1496" s="212" t="s">
        <v>4336</v>
      </c>
      <c r="D1496" s="213">
        <v>45494.55435185185</v>
      </c>
      <c r="E1496" s="213"/>
      <c r="F1496" s="214" t="s">
        <v>4340</v>
      </c>
      <c r="G1496" s="215" t="s">
        <v>4341</v>
      </c>
      <c r="H1496" s="212" t="s">
        <v>265</v>
      </c>
      <c r="I1496" s="212" t="s">
        <v>1094</v>
      </c>
    </row>
    <row r="1497">
      <c r="A1497" s="216" t="s">
        <v>4342</v>
      </c>
      <c r="B1497" s="216" t="s">
        <v>4335</v>
      </c>
      <c r="C1497" s="216" t="s">
        <v>4343</v>
      </c>
      <c r="D1497" s="217">
        <v>45746.83006944445</v>
      </c>
      <c r="E1497" s="217">
        <v>45746.84030092593</v>
      </c>
      <c r="F1497" s="218" t="s">
        <v>431</v>
      </c>
      <c r="G1497" s="219" t="s">
        <v>432</v>
      </c>
      <c r="H1497" s="216" t="s">
        <v>259</v>
      </c>
      <c r="I1497" s="216" t="s">
        <v>1094</v>
      </c>
    </row>
    <row r="1498">
      <c r="A1498" s="212" t="s">
        <v>4344</v>
      </c>
      <c r="B1498" s="212" t="s">
        <v>4335</v>
      </c>
      <c r="C1498" s="212" t="s">
        <v>4336</v>
      </c>
      <c r="D1498" s="213">
        <v>45746.82974537037</v>
      </c>
      <c r="E1498" s="213">
        <v>45746.8403125</v>
      </c>
      <c r="F1498" s="214" t="s">
        <v>250</v>
      </c>
      <c r="G1498" s="215" t="s">
        <v>455</v>
      </c>
      <c r="H1498" s="212" t="s">
        <v>265</v>
      </c>
      <c r="I1498" s="212" t="s">
        <v>1094</v>
      </c>
    </row>
    <row r="1499">
      <c r="A1499" s="212" t="s">
        <v>4345</v>
      </c>
      <c r="B1499" s="212" t="s">
        <v>4346</v>
      </c>
      <c r="C1499" s="212" t="s">
        <v>2704</v>
      </c>
      <c r="D1499" s="213">
        <v>45553.889328703706</v>
      </c>
      <c r="E1499" s="213"/>
      <c r="F1499" s="214" t="s">
        <v>297</v>
      </c>
      <c r="G1499" s="215" t="s">
        <v>4347</v>
      </c>
      <c r="H1499" s="212" t="s">
        <v>265</v>
      </c>
      <c r="I1499" s="212" t="s">
        <v>467</v>
      </c>
    </row>
    <row r="1500">
      <c r="A1500" s="212" t="s">
        <v>4348</v>
      </c>
      <c r="B1500" s="212" t="s">
        <v>4349</v>
      </c>
      <c r="C1500" s="212" t="s">
        <v>4350</v>
      </c>
      <c r="D1500" s="213">
        <v>45549.43085648148</v>
      </c>
      <c r="E1500" s="213"/>
      <c r="F1500" s="214" t="s">
        <v>311</v>
      </c>
      <c r="G1500" s="215" t="s">
        <v>4351</v>
      </c>
      <c r="H1500" s="212" t="s">
        <v>259</v>
      </c>
      <c r="I1500" s="212" t="s">
        <v>477</v>
      </c>
    </row>
    <row r="1501">
      <c r="A1501" s="212" t="s">
        <v>4352</v>
      </c>
      <c r="B1501" s="212" t="s">
        <v>4349</v>
      </c>
      <c r="C1501" s="212" t="s">
        <v>4350</v>
      </c>
      <c r="D1501" s="213">
        <v>45542.43070601852</v>
      </c>
      <c r="E1501" s="213"/>
      <c r="F1501" s="214" t="s">
        <v>4353</v>
      </c>
      <c r="G1501" s="215" t="s">
        <v>4354</v>
      </c>
      <c r="H1501" s="212" t="s">
        <v>398</v>
      </c>
      <c r="I1501" s="212" t="s">
        <v>477</v>
      </c>
    </row>
    <row r="1502">
      <c r="A1502" s="216" t="s">
        <v>4355</v>
      </c>
      <c r="B1502" s="216" t="s">
        <v>4349</v>
      </c>
      <c r="C1502" s="216" t="s">
        <v>4356</v>
      </c>
      <c r="D1502" s="217">
        <v>45542.4296875</v>
      </c>
      <c r="E1502" s="217"/>
      <c r="F1502" s="218" t="s">
        <v>4357</v>
      </c>
      <c r="G1502" s="219" t="s">
        <v>4358</v>
      </c>
      <c r="H1502" s="216" t="s">
        <v>259</v>
      </c>
      <c r="I1502" s="216" t="s">
        <v>477</v>
      </c>
    </row>
    <row r="1503">
      <c r="A1503" s="212" t="s">
        <v>4359</v>
      </c>
      <c r="B1503" s="212" t="s">
        <v>4349</v>
      </c>
      <c r="C1503" s="212" t="s">
        <v>4350</v>
      </c>
      <c r="D1503" s="213">
        <v>45500.441469907404</v>
      </c>
      <c r="E1503" s="213"/>
      <c r="F1503" s="214" t="s">
        <v>3836</v>
      </c>
      <c r="G1503" s="215" t="s">
        <v>2879</v>
      </c>
      <c r="H1503" s="212" t="s">
        <v>398</v>
      </c>
      <c r="I1503" s="212" t="s">
        <v>477</v>
      </c>
    </row>
    <row r="1504">
      <c r="A1504" s="216" t="s">
        <v>4360</v>
      </c>
      <c r="B1504" s="216" t="s">
        <v>4349</v>
      </c>
      <c r="C1504" s="216" t="s">
        <v>4356</v>
      </c>
      <c r="D1504" s="217">
        <v>45500.44075231482</v>
      </c>
      <c r="E1504" s="217"/>
      <c r="F1504" s="218" t="s">
        <v>3836</v>
      </c>
      <c r="G1504" s="219" t="s">
        <v>2879</v>
      </c>
      <c r="H1504" s="216" t="s">
        <v>259</v>
      </c>
      <c r="I1504" s="216" t="s">
        <v>477</v>
      </c>
    </row>
    <row r="1505">
      <c r="A1505" s="212" t="s">
        <v>4361</v>
      </c>
      <c r="B1505" s="212" t="s">
        <v>4349</v>
      </c>
      <c r="C1505" s="212" t="s">
        <v>4350</v>
      </c>
      <c r="D1505" s="213">
        <v>45496.911215277774</v>
      </c>
      <c r="E1505" s="213"/>
      <c r="F1505" s="214" t="s">
        <v>648</v>
      </c>
      <c r="G1505" s="215" t="s">
        <v>4362</v>
      </c>
      <c r="H1505" s="212" t="s">
        <v>259</v>
      </c>
      <c r="I1505" s="212" t="s">
        <v>477</v>
      </c>
    </row>
    <row r="1506">
      <c r="A1506" s="212" t="s">
        <v>4363</v>
      </c>
      <c r="B1506" s="212" t="s">
        <v>4349</v>
      </c>
      <c r="C1506" s="212" t="s">
        <v>4350</v>
      </c>
      <c r="D1506" s="213">
        <v>45439.57886574074</v>
      </c>
      <c r="E1506" s="213">
        <v>45439.44107638889</v>
      </c>
      <c r="F1506" s="214" t="s">
        <v>658</v>
      </c>
      <c r="G1506" s="215" t="s">
        <v>4364</v>
      </c>
      <c r="H1506" s="212" t="s">
        <v>259</v>
      </c>
      <c r="I1506" s="212" t="s">
        <v>477</v>
      </c>
    </row>
    <row r="1507">
      <c r="A1507" s="216" t="s">
        <v>4365</v>
      </c>
      <c r="B1507" s="216" t="s">
        <v>4349</v>
      </c>
      <c r="C1507" s="216" t="s">
        <v>4356</v>
      </c>
      <c r="D1507" s="217">
        <v>45760.77280092592</v>
      </c>
      <c r="E1507" s="217">
        <v>45762.54875</v>
      </c>
      <c r="F1507" s="218" t="s">
        <v>380</v>
      </c>
      <c r="G1507" s="219" t="s">
        <v>1178</v>
      </c>
      <c r="H1507" s="216" t="s">
        <v>259</v>
      </c>
      <c r="I1507" s="216" t="s">
        <v>477</v>
      </c>
    </row>
    <row r="1508">
      <c r="A1508" s="216" t="s">
        <v>4366</v>
      </c>
      <c r="B1508" s="216" t="s">
        <v>4367</v>
      </c>
      <c r="C1508" s="216" t="s">
        <v>4368</v>
      </c>
      <c r="D1508" s="217">
        <v>45738.53414351852</v>
      </c>
      <c r="E1508" s="217">
        <v>45740.53487268519</v>
      </c>
      <c r="F1508" s="218" t="s">
        <v>1779</v>
      </c>
      <c r="G1508" s="219" t="s">
        <v>4256</v>
      </c>
      <c r="H1508" s="216" t="s">
        <v>259</v>
      </c>
      <c r="I1508" s="216" t="s">
        <v>2647</v>
      </c>
    </row>
    <row r="1509">
      <c r="A1509" s="212" t="s">
        <v>4369</v>
      </c>
      <c r="B1509" s="212" t="s">
        <v>4370</v>
      </c>
      <c r="C1509" s="212" t="s">
        <v>4371</v>
      </c>
      <c r="D1509" s="213">
        <v>45523.75417824074</v>
      </c>
      <c r="E1509" s="213"/>
      <c r="F1509" s="214" t="s">
        <v>269</v>
      </c>
      <c r="G1509" s="215" t="s">
        <v>269</v>
      </c>
      <c r="H1509" s="212" t="s">
        <v>2001</v>
      </c>
      <c r="I1509" s="212" t="s">
        <v>2002</v>
      </c>
    </row>
    <row r="1510">
      <c r="A1510" s="216" t="s">
        <v>4372</v>
      </c>
      <c r="B1510" s="216" t="s">
        <v>4370</v>
      </c>
      <c r="C1510" s="216" t="s">
        <v>4373</v>
      </c>
      <c r="D1510" s="217">
        <v>45523.75380787037</v>
      </c>
      <c r="E1510" s="217"/>
      <c r="F1510" s="218" t="s">
        <v>269</v>
      </c>
      <c r="G1510" s="219" t="s">
        <v>269</v>
      </c>
      <c r="H1510" s="216" t="s">
        <v>2001</v>
      </c>
      <c r="I1510" s="216" t="s">
        <v>2002</v>
      </c>
    </row>
    <row r="1511">
      <c r="A1511" s="212" t="s">
        <v>4369</v>
      </c>
      <c r="B1511" s="212" t="s">
        <v>4370</v>
      </c>
      <c r="C1511" s="212" t="s">
        <v>4371</v>
      </c>
      <c r="D1511" s="213">
        <v>45523.75417824074</v>
      </c>
      <c r="E1511" s="213"/>
      <c r="F1511" s="214" t="s">
        <v>269</v>
      </c>
      <c r="G1511" s="215" t="s">
        <v>269</v>
      </c>
      <c r="H1511" s="212" t="s">
        <v>2001</v>
      </c>
      <c r="I1511" s="212" t="s">
        <v>2002</v>
      </c>
    </row>
    <row r="1512">
      <c r="A1512" s="216" t="s">
        <v>4372</v>
      </c>
      <c r="B1512" s="216" t="s">
        <v>4370</v>
      </c>
      <c r="C1512" s="216" t="s">
        <v>4373</v>
      </c>
      <c r="D1512" s="217">
        <v>45523.75380787037</v>
      </c>
      <c r="E1512" s="217"/>
      <c r="F1512" s="218" t="s">
        <v>269</v>
      </c>
      <c r="G1512" s="219" t="s">
        <v>269</v>
      </c>
      <c r="H1512" s="216" t="s">
        <v>2001</v>
      </c>
      <c r="I1512" s="216" t="s">
        <v>2002</v>
      </c>
    </row>
    <row r="1513">
      <c r="A1513" s="212" t="s">
        <v>4374</v>
      </c>
      <c r="B1513" s="212" t="s">
        <v>4375</v>
      </c>
      <c r="C1513" s="212" t="s">
        <v>4376</v>
      </c>
      <c r="D1513" s="213">
        <v>45542.82798611111</v>
      </c>
      <c r="E1513" s="213"/>
      <c r="F1513" s="214" t="s">
        <v>297</v>
      </c>
      <c r="G1513" s="215" t="s">
        <v>4377</v>
      </c>
      <c r="H1513" s="212" t="s">
        <v>811</v>
      </c>
      <c r="I1513" s="212" t="s">
        <v>357</v>
      </c>
    </row>
    <row r="1514">
      <c r="A1514" s="216" t="s">
        <v>4378</v>
      </c>
      <c r="B1514" s="216" t="s">
        <v>4375</v>
      </c>
      <c r="C1514" s="216" t="s">
        <v>4379</v>
      </c>
      <c r="D1514" s="217">
        <v>45465.63136574074</v>
      </c>
      <c r="E1514" s="217"/>
      <c r="F1514" s="218" t="s">
        <v>317</v>
      </c>
      <c r="G1514" s="219" t="s">
        <v>4380</v>
      </c>
      <c r="H1514" s="216" t="s">
        <v>811</v>
      </c>
      <c r="I1514" s="216" t="s">
        <v>357</v>
      </c>
    </row>
    <row r="1515">
      <c r="A1515" s="216" t="s">
        <v>4381</v>
      </c>
      <c r="B1515" s="216" t="s">
        <v>4375</v>
      </c>
      <c r="C1515" s="216" t="s">
        <v>4376</v>
      </c>
      <c r="D1515" s="217">
        <v>45704.65574074074</v>
      </c>
      <c r="E1515" s="217">
        <v>45705.732881944445</v>
      </c>
      <c r="F1515" s="218" t="s">
        <v>291</v>
      </c>
      <c r="G1515" s="219" t="s">
        <v>4382</v>
      </c>
      <c r="H1515" s="216" t="s">
        <v>811</v>
      </c>
      <c r="I1515" s="216" t="s">
        <v>357</v>
      </c>
    </row>
    <row r="1516">
      <c r="A1516" s="216" t="s">
        <v>4383</v>
      </c>
      <c r="B1516" s="216" t="s">
        <v>4375</v>
      </c>
      <c r="C1516" s="216" t="s">
        <v>4376</v>
      </c>
      <c r="D1516" s="217">
        <v>45738.71513888889</v>
      </c>
      <c r="E1516" s="217">
        <v>45741.65640046296</v>
      </c>
      <c r="F1516" s="218" t="s">
        <v>317</v>
      </c>
      <c r="G1516" s="219" t="s">
        <v>4384</v>
      </c>
      <c r="H1516" s="216" t="s">
        <v>811</v>
      </c>
      <c r="I1516" s="216" t="s">
        <v>357</v>
      </c>
    </row>
    <row r="1517">
      <c r="A1517" s="212" t="s">
        <v>4385</v>
      </c>
      <c r="B1517" s="212" t="s">
        <v>4375</v>
      </c>
      <c r="C1517" s="212" t="s">
        <v>4376</v>
      </c>
      <c r="D1517" s="213">
        <v>45774.60818287037</v>
      </c>
      <c r="E1517" s="213">
        <v>45775.694560185184</v>
      </c>
      <c r="F1517" s="214" t="s">
        <v>470</v>
      </c>
      <c r="G1517" s="215" t="s">
        <v>4386</v>
      </c>
      <c r="H1517" s="212" t="s">
        <v>811</v>
      </c>
      <c r="I1517" s="212" t="s">
        <v>357</v>
      </c>
    </row>
    <row r="1518">
      <c r="A1518" s="216" t="s">
        <v>4387</v>
      </c>
      <c r="B1518" s="216" t="s">
        <v>4388</v>
      </c>
      <c r="C1518" s="216" t="s">
        <v>4389</v>
      </c>
      <c r="D1518" s="217">
        <v>45541.829375</v>
      </c>
      <c r="E1518" s="217"/>
      <c r="F1518" s="218" t="s">
        <v>4390</v>
      </c>
      <c r="G1518" s="219" t="s">
        <v>4391</v>
      </c>
      <c r="H1518" s="216" t="s">
        <v>259</v>
      </c>
      <c r="I1518" s="216" t="s">
        <v>399</v>
      </c>
    </row>
    <row r="1519">
      <c r="A1519" s="216" t="s">
        <v>4392</v>
      </c>
      <c r="B1519" s="216" t="s">
        <v>4388</v>
      </c>
      <c r="C1519" s="216" t="s">
        <v>4389</v>
      </c>
      <c r="D1519" s="217">
        <v>45527.82440972222</v>
      </c>
      <c r="E1519" s="217"/>
      <c r="F1519" s="218" t="s">
        <v>291</v>
      </c>
      <c r="G1519" s="219" t="s">
        <v>1296</v>
      </c>
      <c r="H1519" s="216" t="s">
        <v>259</v>
      </c>
      <c r="I1519" s="216" t="s">
        <v>399</v>
      </c>
    </row>
    <row r="1520">
      <c r="A1520" s="212" t="s">
        <v>4393</v>
      </c>
      <c r="B1520" s="212" t="s">
        <v>4388</v>
      </c>
      <c r="C1520" s="212" t="s">
        <v>4394</v>
      </c>
      <c r="D1520" s="213">
        <v>45521.618622685186</v>
      </c>
      <c r="E1520" s="213"/>
      <c r="F1520" s="214" t="s">
        <v>4395</v>
      </c>
      <c r="G1520" s="215" t="s">
        <v>4396</v>
      </c>
      <c r="H1520" s="212" t="s">
        <v>535</v>
      </c>
      <c r="I1520" s="212" t="s">
        <v>399</v>
      </c>
    </row>
    <row r="1521">
      <c r="A1521" s="216" t="s">
        <v>4397</v>
      </c>
      <c r="B1521" s="216" t="s">
        <v>4388</v>
      </c>
      <c r="C1521" s="216" t="s">
        <v>4389</v>
      </c>
      <c r="D1521" s="217">
        <v>45521.61766203704</v>
      </c>
      <c r="E1521" s="217"/>
      <c r="F1521" s="218" t="s">
        <v>291</v>
      </c>
      <c r="G1521" s="219" t="s">
        <v>880</v>
      </c>
      <c r="H1521" s="216" t="s">
        <v>259</v>
      </c>
      <c r="I1521" s="216" t="s">
        <v>399</v>
      </c>
    </row>
    <row r="1522">
      <c r="A1522" s="212" t="s">
        <v>4398</v>
      </c>
      <c r="B1522" s="212" t="s">
        <v>4388</v>
      </c>
      <c r="C1522" s="212" t="s">
        <v>4389</v>
      </c>
      <c r="D1522" s="213">
        <v>45509.87694444445</v>
      </c>
      <c r="E1522" s="213"/>
      <c r="F1522" s="214" t="s">
        <v>1300</v>
      </c>
      <c r="G1522" s="215" t="s">
        <v>4399</v>
      </c>
      <c r="H1522" s="212" t="s">
        <v>259</v>
      </c>
      <c r="I1522" s="212" t="s">
        <v>399</v>
      </c>
    </row>
    <row r="1523">
      <c r="A1523" s="216" t="s">
        <v>4400</v>
      </c>
      <c r="B1523" s="216" t="s">
        <v>4388</v>
      </c>
      <c r="C1523" s="216" t="s">
        <v>4389</v>
      </c>
      <c r="D1523" s="217">
        <v>45506.82372685185</v>
      </c>
      <c r="E1523" s="217"/>
      <c r="F1523" s="218" t="s">
        <v>4401</v>
      </c>
      <c r="G1523" s="219" t="s">
        <v>4402</v>
      </c>
      <c r="H1523" s="216" t="s">
        <v>265</v>
      </c>
      <c r="I1523" s="216" t="s">
        <v>399</v>
      </c>
    </row>
    <row r="1524">
      <c r="A1524" s="212" t="s">
        <v>4403</v>
      </c>
      <c r="B1524" s="212" t="s">
        <v>4388</v>
      </c>
      <c r="C1524" s="212" t="s">
        <v>4394</v>
      </c>
      <c r="D1524" s="213">
        <v>45485.8671412037</v>
      </c>
      <c r="E1524" s="213"/>
      <c r="F1524" s="214" t="s">
        <v>914</v>
      </c>
      <c r="G1524" s="215" t="s">
        <v>4404</v>
      </c>
      <c r="H1524" s="212" t="s">
        <v>535</v>
      </c>
      <c r="I1524" s="212" t="s">
        <v>399</v>
      </c>
    </row>
    <row r="1525">
      <c r="A1525" s="216" t="s">
        <v>4405</v>
      </c>
      <c r="B1525" s="216" t="s">
        <v>4388</v>
      </c>
      <c r="C1525" s="216" t="s">
        <v>4389</v>
      </c>
      <c r="D1525" s="217">
        <v>45485.86587962963</v>
      </c>
      <c r="E1525" s="217"/>
      <c r="F1525" s="218" t="s">
        <v>459</v>
      </c>
      <c r="G1525" s="219" t="s">
        <v>4406</v>
      </c>
      <c r="H1525" s="216" t="s">
        <v>265</v>
      </c>
      <c r="I1525" s="216" t="s">
        <v>399</v>
      </c>
    </row>
    <row r="1526">
      <c r="A1526" s="212" t="s">
        <v>4403</v>
      </c>
      <c r="B1526" s="212" t="s">
        <v>4388</v>
      </c>
      <c r="C1526" s="212" t="s">
        <v>4394</v>
      </c>
      <c r="D1526" s="213">
        <v>45485.8671412037</v>
      </c>
      <c r="E1526" s="213"/>
      <c r="F1526" s="214" t="s">
        <v>914</v>
      </c>
      <c r="G1526" s="215" t="s">
        <v>4404</v>
      </c>
      <c r="H1526" s="212" t="s">
        <v>535</v>
      </c>
      <c r="I1526" s="212" t="s">
        <v>399</v>
      </c>
    </row>
    <row r="1527">
      <c r="A1527" s="216" t="s">
        <v>4405</v>
      </c>
      <c r="B1527" s="216" t="s">
        <v>4388</v>
      </c>
      <c r="C1527" s="216" t="s">
        <v>4389</v>
      </c>
      <c r="D1527" s="217">
        <v>45485.86587962963</v>
      </c>
      <c r="E1527" s="217"/>
      <c r="F1527" s="218" t="s">
        <v>459</v>
      </c>
      <c r="G1527" s="219" t="s">
        <v>4406</v>
      </c>
      <c r="H1527" s="216" t="s">
        <v>265</v>
      </c>
      <c r="I1527" s="216" t="s">
        <v>399</v>
      </c>
    </row>
    <row r="1528">
      <c r="A1528" s="212" t="s">
        <v>4407</v>
      </c>
      <c r="B1528" s="212" t="s">
        <v>4388</v>
      </c>
      <c r="C1528" s="212" t="s">
        <v>4394</v>
      </c>
      <c r="D1528" s="213">
        <v>45473.599328703705</v>
      </c>
      <c r="E1528" s="213"/>
      <c r="F1528" s="214" t="s">
        <v>3259</v>
      </c>
      <c r="G1528" s="215" t="s">
        <v>4408</v>
      </c>
      <c r="H1528" s="212" t="s">
        <v>535</v>
      </c>
      <c r="I1528" s="212" t="s">
        <v>399</v>
      </c>
    </row>
    <row r="1529">
      <c r="A1529" s="212" t="s">
        <v>4409</v>
      </c>
      <c r="B1529" s="212" t="s">
        <v>4388</v>
      </c>
      <c r="C1529" s="212" t="s">
        <v>4389</v>
      </c>
      <c r="D1529" s="213">
        <v>45457.880277777775</v>
      </c>
      <c r="E1529" s="213">
        <v>45458.33704861111</v>
      </c>
      <c r="F1529" s="214" t="s">
        <v>339</v>
      </c>
      <c r="G1529" s="215" t="s">
        <v>4410</v>
      </c>
      <c r="H1529" s="212" t="s">
        <v>265</v>
      </c>
      <c r="I1529" s="212" t="s">
        <v>399</v>
      </c>
    </row>
    <row r="1530">
      <c r="A1530" s="216" t="s">
        <v>4411</v>
      </c>
      <c r="B1530" s="216" t="s">
        <v>4388</v>
      </c>
      <c r="C1530" s="216" t="s">
        <v>4389</v>
      </c>
      <c r="D1530" s="217">
        <v>45450.745034722226</v>
      </c>
      <c r="E1530" s="217">
        <v>45451.31275462963</v>
      </c>
      <c r="F1530" s="218" t="s">
        <v>988</v>
      </c>
      <c r="G1530" s="219" t="s">
        <v>553</v>
      </c>
      <c r="H1530" s="216" t="s">
        <v>265</v>
      </c>
      <c r="I1530" s="216" t="s">
        <v>399</v>
      </c>
    </row>
    <row r="1531">
      <c r="A1531" s="212" t="s">
        <v>4412</v>
      </c>
      <c r="B1531" s="212" t="s">
        <v>4388</v>
      </c>
      <c r="C1531" s="212" t="s">
        <v>4389</v>
      </c>
      <c r="D1531" s="213">
        <v>45443.85989583333</v>
      </c>
      <c r="E1531" s="213">
        <v>45444.316157407404</v>
      </c>
      <c r="F1531" s="214" t="s">
        <v>770</v>
      </c>
      <c r="G1531" s="215" t="s">
        <v>4413</v>
      </c>
      <c r="H1531" s="212" t="s">
        <v>259</v>
      </c>
      <c r="I1531" s="212" t="s">
        <v>399</v>
      </c>
    </row>
    <row r="1532">
      <c r="A1532" s="216" t="s">
        <v>4414</v>
      </c>
      <c r="B1532" s="216" t="s">
        <v>4388</v>
      </c>
      <c r="C1532" s="216" t="s">
        <v>4389</v>
      </c>
      <c r="D1532" s="217">
        <v>45437.44840277778</v>
      </c>
      <c r="E1532" s="224"/>
      <c r="F1532" s="218" t="s">
        <v>459</v>
      </c>
      <c r="G1532" s="219" t="s">
        <v>4415</v>
      </c>
      <c r="H1532" s="216" t="s">
        <v>265</v>
      </c>
      <c r="I1532" s="216" t="s">
        <v>399</v>
      </c>
    </row>
    <row r="1533">
      <c r="A1533" s="216" t="s">
        <v>4416</v>
      </c>
      <c r="B1533" s="216" t="s">
        <v>4388</v>
      </c>
      <c r="C1533" s="216" t="s">
        <v>4389</v>
      </c>
      <c r="D1533" s="217">
        <v>45704.534537037034</v>
      </c>
      <c r="E1533" s="217">
        <v>45705.5278587963</v>
      </c>
      <c r="F1533" s="218" t="s">
        <v>291</v>
      </c>
      <c r="G1533" s="219" t="s">
        <v>1686</v>
      </c>
      <c r="H1533" s="216" t="s">
        <v>265</v>
      </c>
      <c r="I1533" s="216" t="s">
        <v>399</v>
      </c>
    </row>
    <row r="1534">
      <c r="A1534" s="212" t="s">
        <v>4417</v>
      </c>
      <c r="B1534" s="212" t="s">
        <v>4388</v>
      </c>
      <c r="C1534" s="212" t="s">
        <v>4389</v>
      </c>
      <c r="D1534" s="213">
        <v>45737.81706018518</v>
      </c>
      <c r="E1534" s="213">
        <v>45738.58363425926</v>
      </c>
      <c r="F1534" s="214" t="s">
        <v>3436</v>
      </c>
      <c r="G1534" s="215" t="s">
        <v>4418</v>
      </c>
      <c r="H1534" s="212" t="s">
        <v>265</v>
      </c>
      <c r="I1534" s="212" t="s">
        <v>399</v>
      </c>
    </row>
    <row r="1535">
      <c r="A1535" s="216" t="s">
        <v>4419</v>
      </c>
      <c r="B1535" s="216" t="s">
        <v>4420</v>
      </c>
      <c r="C1535" s="216" t="s">
        <v>4421</v>
      </c>
      <c r="D1535" s="217">
        <v>45704.56679398148</v>
      </c>
      <c r="E1535" s="217">
        <v>45704.60429398148</v>
      </c>
      <c r="F1535" s="218" t="s">
        <v>509</v>
      </c>
      <c r="G1535" s="219" t="s">
        <v>4422</v>
      </c>
      <c r="H1535" s="216" t="s">
        <v>377</v>
      </c>
      <c r="I1535" s="216" t="s">
        <v>4423</v>
      </c>
    </row>
    <row r="1536">
      <c r="A1536" s="216" t="s">
        <v>4424</v>
      </c>
      <c r="B1536" s="216" t="s">
        <v>4425</v>
      </c>
      <c r="C1536" s="216" t="s">
        <v>4425</v>
      </c>
      <c r="D1536" s="217">
        <v>45550.81150462963</v>
      </c>
      <c r="E1536" s="217"/>
      <c r="F1536" s="218" t="s">
        <v>1450</v>
      </c>
      <c r="G1536" s="219" t="s">
        <v>4426</v>
      </c>
      <c r="H1536" s="216" t="s">
        <v>259</v>
      </c>
      <c r="I1536" s="216" t="s">
        <v>626</v>
      </c>
    </row>
    <row r="1537">
      <c r="A1537" s="216" t="s">
        <v>4427</v>
      </c>
      <c r="B1537" s="216" t="s">
        <v>4425</v>
      </c>
      <c r="C1537" s="216" t="s">
        <v>4425</v>
      </c>
      <c r="D1537" s="217">
        <v>45543.79756944445</v>
      </c>
      <c r="E1537" s="217"/>
      <c r="F1537" s="218" t="s">
        <v>435</v>
      </c>
      <c r="G1537" s="219" t="s">
        <v>3188</v>
      </c>
      <c r="H1537" s="216" t="s">
        <v>259</v>
      </c>
      <c r="I1537" s="216" t="s">
        <v>626</v>
      </c>
    </row>
    <row r="1538">
      <c r="A1538" s="212" t="s">
        <v>4428</v>
      </c>
      <c r="B1538" s="212" t="s">
        <v>4425</v>
      </c>
      <c r="C1538" s="212" t="s">
        <v>4425</v>
      </c>
      <c r="D1538" s="213">
        <v>45530.88034722222</v>
      </c>
      <c r="E1538" s="213"/>
      <c r="F1538" s="214" t="s">
        <v>658</v>
      </c>
      <c r="G1538" s="215" t="s">
        <v>1226</v>
      </c>
      <c r="H1538" s="212" t="s">
        <v>259</v>
      </c>
      <c r="I1538" s="212" t="s">
        <v>626</v>
      </c>
    </row>
    <row r="1539">
      <c r="A1539" s="216" t="s">
        <v>4429</v>
      </c>
      <c r="B1539" s="216" t="s">
        <v>4425</v>
      </c>
      <c r="C1539" s="216" t="s">
        <v>4425</v>
      </c>
      <c r="D1539" s="217">
        <v>45501.534895833334</v>
      </c>
      <c r="E1539" s="217"/>
      <c r="F1539" s="218" t="s">
        <v>1209</v>
      </c>
      <c r="G1539" s="219" t="s">
        <v>4430</v>
      </c>
      <c r="H1539" s="216" t="s">
        <v>259</v>
      </c>
      <c r="I1539" s="216" t="s">
        <v>626</v>
      </c>
    </row>
    <row r="1540">
      <c r="A1540" s="212" t="s">
        <v>4431</v>
      </c>
      <c r="B1540" s="212" t="s">
        <v>4425</v>
      </c>
      <c r="C1540" s="212" t="s">
        <v>4425</v>
      </c>
      <c r="D1540" s="213">
        <v>45501.532858796294</v>
      </c>
      <c r="E1540" s="226"/>
      <c r="F1540" s="214" t="s">
        <v>391</v>
      </c>
      <c r="G1540" s="215" t="s">
        <v>877</v>
      </c>
      <c r="H1540" s="212" t="s">
        <v>259</v>
      </c>
      <c r="I1540" s="212" t="s">
        <v>626</v>
      </c>
    </row>
    <row r="1541">
      <c r="A1541" s="216" t="s">
        <v>4432</v>
      </c>
      <c r="B1541" s="216" t="s">
        <v>4425</v>
      </c>
      <c r="C1541" s="216" t="s">
        <v>4425</v>
      </c>
      <c r="D1541" s="217">
        <v>45493.81113425926</v>
      </c>
      <c r="E1541" s="217"/>
      <c r="F1541" s="218" t="s">
        <v>317</v>
      </c>
      <c r="G1541" s="219" t="s">
        <v>4433</v>
      </c>
      <c r="H1541" s="216" t="s">
        <v>259</v>
      </c>
      <c r="I1541" s="216" t="s">
        <v>626</v>
      </c>
    </row>
    <row r="1542">
      <c r="A1542" s="216" t="s">
        <v>4434</v>
      </c>
      <c r="B1542" s="216" t="s">
        <v>4425</v>
      </c>
      <c r="C1542" s="216" t="s">
        <v>4425</v>
      </c>
      <c r="D1542" s="217">
        <v>45458.821701388886</v>
      </c>
      <c r="E1542" s="217">
        <v>45458.62511574074</v>
      </c>
      <c r="F1542" s="218" t="s">
        <v>250</v>
      </c>
      <c r="G1542" s="219" t="s">
        <v>3866</v>
      </c>
      <c r="H1542" s="216" t="s">
        <v>259</v>
      </c>
      <c r="I1542" s="216" t="s">
        <v>626</v>
      </c>
    </row>
    <row r="1543">
      <c r="A1543" s="212" t="s">
        <v>4435</v>
      </c>
      <c r="B1543" s="212" t="s">
        <v>4425</v>
      </c>
      <c r="C1543" s="212" t="s">
        <v>4425</v>
      </c>
      <c r="D1543" s="213">
        <v>45452.65039351852</v>
      </c>
      <c r="E1543" s="213">
        <v>45452.45148148148</v>
      </c>
      <c r="F1543" s="214" t="s">
        <v>470</v>
      </c>
      <c r="G1543" s="215" t="s">
        <v>3009</v>
      </c>
      <c r="H1543" s="212" t="s">
        <v>259</v>
      </c>
      <c r="I1543" s="212" t="s">
        <v>626</v>
      </c>
    </row>
    <row r="1544">
      <c r="A1544" s="216" t="s">
        <v>4436</v>
      </c>
      <c r="B1544" s="216" t="s">
        <v>4425</v>
      </c>
      <c r="C1544" s="216" t="s">
        <v>4425</v>
      </c>
      <c r="D1544" s="217">
        <v>45744.87337962963</v>
      </c>
      <c r="E1544" s="217">
        <v>45744.882002314815</v>
      </c>
      <c r="F1544" s="218" t="s">
        <v>470</v>
      </c>
      <c r="G1544" s="219" t="s">
        <v>4437</v>
      </c>
      <c r="H1544" s="216" t="s">
        <v>259</v>
      </c>
      <c r="I1544" s="216" t="s">
        <v>626</v>
      </c>
    </row>
    <row r="1545">
      <c r="A1545" s="216" t="s">
        <v>4438</v>
      </c>
      <c r="B1545" s="216" t="s">
        <v>4425</v>
      </c>
      <c r="C1545" s="216" t="s">
        <v>4425</v>
      </c>
      <c r="D1545" s="217">
        <v>45774.788773148146</v>
      </c>
      <c r="E1545" s="217">
        <v>45774.79866898148</v>
      </c>
      <c r="F1545" s="218" t="s">
        <v>503</v>
      </c>
      <c r="G1545" s="219" t="s">
        <v>4439</v>
      </c>
      <c r="H1545" s="216" t="s">
        <v>259</v>
      </c>
      <c r="I1545" s="216" t="s">
        <v>626</v>
      </c>
    </row>
    <row r="1546">
      <c r="A1546" s="212" t="s">
        <v>4440</v>
      </c>
      <c r="B1546" s="212" t="s">
        <v>4425</v>
      </c>
      <c r="C1546" s="212" t="s">
        <v>4425</v>
      </c>
      <c r="D1546" s="213">
        <v>45760.574375</v>
      </c>
      <c r="E1546" s="213">
        <v>45760.58361111111</v>
      </c>
      <c r="F1546" s="214" t="s">
        <v>339</v>
      </c>
      <c r="G1546" s="215" t="s">
        <v>4441</v>
      </c>
      <c r="H1546" s="212" t="s">
        <v>259</v>
      </c>
      <c r="I1546" s="212" t="s">
        <v>626</v>
      </c>
    </row>
    <row r="1547">
      <c r="A1547" s="216" t="s">
        <v>4442</v>
      </c>
      <c r="B1547" s="216" t="s">
        <v>4443</v>
      </c>
      <c r="C1547" s="216" t="s">
        <v>4394</v>
      </c>
      <c r="D1547" s="217">
        <v>45549.58645833333</v>
      </c>
      <c r="E1547" s="217"/>
      <c r="F1547" s="218" t="s">
        <v>4444</v>
      </c>
      <c r="G1547" s="219" t="s">
        <v>4445</v>
      </c>
      <c r="H1547" s="216" t="s">
        <v>535</v>
      </c>
      <c r="I1547" s="216" t="s">
        <v>399</v>
      </c>
    </row>
    <row r="1548">
      <c r="A1548" s="212" t="s">
        <v>4446</v>
      </c>
      <c r="B1548" s="212" t="s">
        <v>4443</v>
      </c>
      <c r="C1548" s="212" t="s">
        <v>4394</v>
      </c>
      <c r="D1548" s="213">
        <v>45527.82528935185</v>
      </c>
      <c r="E1548" s="213"/>
      <c r="F1548" s="214" t="s">
        <v>4395</v>
      </c>
      <c r="G1548" s="215" t="s">
        <v>4447</v>
      </c>
      <c r="H1548" s="212" t="s">
        <v>535</v>
      </c>
      <c r="I1548" s="212" t="s">
        <v>399</v>
      </c>
    </row>
    <row r="1549">
      <c r="A1549" s="212" t="s">
        <v>4448</v>
      </c>
      <c r="B1549" s="212" t="s">
        <v>4443</v>
      </c>
      <c r="C1549" s="212" t="s">
        <v>4394</v>
      </c>
      <c r="D1549" s="213">
        <v>45464.86675925926</v>
      </c>
      <c r="E1549" s="213"/>
      <c r="F1549" s="214" t="s">
        <v>3259</v>
      </c>
      <c r="G1549" s="215" t="s">
        <v>4449</v>
      </c>
      <c r="H1549" s="212" t="s">
        <v>535</v>
      </c>
      <c r="I1549" s="212" t="s">
        <v>399</v>
      </c>
    </row>
    <row r="1550">
      <c r="A1550" s="216" t="s">
        <v>4450</v>
      </c>
      <c r="B1550" s="216" t="s">
        <v>4443</v>
      </c>
      <c r="C1550" s="216" t="s">
        <v>4394</v>
      </c>
      <c r="D1550" s="217">
        <v>45457.882199074076</v>
      </c>
      <c r="E1550" s="217">
        <v>45459.4862037037</v>
      </c>
      <c r="F1550" s="218" t="s">
        <v>3259</v>
      </c>
      <c r="G1550" s="219" t="s">
        <v>4451</v>
      </c>
      <c r="H1550" s="216" t="s">
        <v>535</v>
      </c>
      <c r="I1550" s="216" t="s">
        <v>399</v>
      </c>
    </row>
    <row r="1551">
      <c r="A1551" s="212" t="s">
        <v>4452</v>
      </c>
      <c r="B1551" s="212" t="s">
        <v>4443</v>
      </c>
      <c r="C1551" s="212" t="s">
        <v>4394</v>
      </c>
      <c r="D1551" s="213">
        <v>45450.74560185185</v>
      </c>
      <c r="E1551" s="213">
        <v>45450.61849537037</v>
      </c>
      <c r="F1551" s="214" t="s">
        <v>3259</v>
      </c>
      <c r="G1551" s="215" t="s">
        <v>4453</v>
      </c>
      <c r="H1551" s="212" t="s">
        <v>535</v>
      </c>
      <c r="I1551" s="212" t="s">
        <v>399</v>
      </c>
    </row>
    <row r="1552">
      <c r="A1552" s="212" t="s">
        <v>4454</v>
      </c>
      <c r="B1552" s="212" t="s">
        <v>4455</v>
      </c>
      <c r="C1552" s="212" t="s">
        <v>4456</v>
      </c>
      <c r="D1552" s="213">
        <v>45516.828668981485</v>
      </c>
      <c r="E1552" s="213"/>
      <c r="F1552" s="214" t="s">
        <v>651</v>
      </c>
      <c r="G1552" s="215" t="s">
        <v>4457</v>
      </c>
      <c r="H1552" s="212" t="s">
        <v>283</v>
      </c>
      <c r="I1552" s="212" t="s">
        <v>823</v>
      </c>
    </row>
    <row r="1553">
      <c r="A1553" s="212" t="s">
        <v>4458</v>
      </c>
      <c r="B1553" s="212" t="s">
        <v>4459</v>
      </c>
      <c r="C1553" s="212" t="s">
        <v>4460</v>
      </c>
      <c r="D1553" s="213">
        <v>45505.88704861111</v>
      </c>
      <c r="E1553" s="213"/>
      <c r="F1553" s="214" t="s">
        <v>4461</v>
      </c>
      <c r="G1553" s="215" t="s">
        <v>4462</v>
      </c>
      <c r="H1553" s="212" t="s">
        <v>265</v>
      </c>
      <c r="I1553" s="212" t="s">
        <v>260</v>
      </c>
    </row>
    <row r="1554">
      <c r="A1554" s="212" t="s">
        <v>4463</v>
      </c>
      <c r="B1554" s="212" t="s">
        <v>4459</v>
      </c>
      <c r="C1554" s="212" t="s">
        <v>4460</v>
      </c>
      <c r="D1554" s="213">
        <v>45497.846597222226</v>
      </c>
      <c r="E1554" s="213"/>
      <c r="F1554" s="214" t="s">
        <v>4464</v>
      </c>
      <c r="G1554" s="215" t="s">
        <v>4465</v>
      </c>
      <c r="H1554" s="212" t="s">
        <v>265</v>
      </c>
      <c r="I1554" s="212" t="s">
        <v>260</v>
      </c>
    </row>
    <row r="1555">
      <c r="A1555" s="212" t="s">
        <v>4466</v>
      </c>
      <c r="B1555" s="212" t="s">
        <v>4459</v>
      </c>
      <c r="C1555" s="212" t="s">
        <v>4460</v>
      </c>
      <c r="D1555" s="213">
        <v>45487.73952546297</v>
      </c>
      <c r="E1555" s="213"/>
      <c r="F1555" s="214" t="s">
        <v>291</v>
      </c>
      <c r="G1555" s="215" t="s">
        <v>4467</v>
      </c>
      <c r="H1555" s="212" t="s">
        <v>265</v>
      </c>
      <c r="I1555" s="212" t="s">
        <v>260</v>
      </c>
    </row>
    <row r="1556">
      <c r="A1556" s="212" t="s">
        <v>4468</v>
      </c>
      <c r="B1556" s="212" t="s">
        <v>4459</v>
      </c>
      <c r="C1556" s="212" t="s">
        <v>4460</v>
      </c>
      <c r="D1556" s="213">
        <v>45485.78655092593</v>
      </c>
      <c r="E1556" s="213"/>
      <c r="F1556" s="214" t="s">
        <v>470</v>
      </c>
      <c r="G1556" s="215" t="s">
        <v>4469</v>
      </c>
      <c r="H1556" s="212" t="s">
        <v>265</v>
      </c>
      <c r="I1556" s="212" t="s">
        <v>260</v>
      </c>
    </row>
    <row r="1557">
      <c r="A1557" s="212" t="s">
        <v>4466</v>
      </c>
      <c r="B1557" s="212" t="s">
        <v>4459</v>
      </c>
      <c r="C1557" s="212" t="s">
        <v>4460</v>
      </c>
      <c r="D1557" s="213">
        <v>45487.73952546297</v>
      </c>
      <c r="E1557" s="213"/>
      <c r="F1557" s="214" t="s">
        <v>291</v>
      </c>
      <c r="G1557" s="215" t="s">
        <v>4467</v>
      </c>
      <c r="H1557" s="212" t="s">
        <v>265</v>
      </c>
      <c r="I1557" s="212" t="s">
        <v>260</v>
      </c>
    </row>
    <row r="1558">
      <c r="A1558" s="212" t="s">
        <v>4468</v>
      </c>
      <c r="B1558" s="212" t="s">
        <v>4459</v>
      </c>
      <c r="C1558" s="212" t="s">
        <v>4460</v>
      </c>
      <c r="D1558" s="213">
        <v>45485.78655092593</v>
      </c>
      <c r="E1558" s="213"/>
      <c r="F1558" s="214" t="s">
        <v>470</v>
      </c>
      <c r="G1558" s="215" t="s">
        <v>4469</v>
      </c>
      <c r="H1558" s="212" t="s">
        <v>265</v>
      </c>
      <c r="I1558" s="212" t="s">
        <v>260</v>
      </c>
    </row>
    <row r="1559">
      <c r="A1559" s="212" t="s">
        <v>4470</v>
      </c>
      <c r="B1559" s="212" t="s">
        <v>4471</v>
      </c>
      <c r="C1559" s="212" t="s">
        <v>4472</v>
      </c>
      <c r="D1559" s="213">
        <v>45541.845347222225</v>
      </c>
      <c r="E1559" s="213"/>
      <c r="F1559" s="214" t="s">
        <v>4473</v>
      </c>
      <c r="G1559" s="215" t="s">
        <v>4474</v>
      </c>
      <c r="H1559" s="212" t="s">
        <v>265</v>
      </c>
      <c r="I1559" s="212" t="s">
        <v>461</v>
      </c>
    </row>
    <row r="1560">
      <c r="A1560" s="212" t="s">
        <v>4475</v>
      </c>
      <c r="B1560" s="212" t="s">
        <v>4471</v>
      </c>
      <c r="C1560" s="212" t="s">
        <v>4476</v>
      </c>
      <c r="D1560" s="213">
        <v>45524.83688657408</v>
      </c>
      <c r="E1560" s="213"/>
      <c r="F1560" s="214" t="s">
        <v>498</v>
      </c>
      <c r="G1560" s="215" t="s">
        <v>4477</v>
      </c>
      <c r="H1560" s="212" t="s">
        <v>561</v>
      </c>
      <c r="I1560" s="212" t="s">
        <v>461</v>
      </c>
    </row>
    <row r="1561">
      <c r="A1561" s="216" t="s">
        <v>4478</v>
      </c>
      <c r="B1561" s="216" t="s">
        <v>4471</v>
      </c>
      <c r="C1561" s="216" t="s">
        <v>4479</v>
      </c>
      <c r="D1561" s="217">
        <v>45524.83627314815</v>
      </c>
      <c r="E1561" s="217"/>
      <c r="F1561" s="218" t="s">
        <v>1047</v>
      </c>
      <c r="G1561" s="219" t="s">
        <v>4480</v>
      </c>
      <c r="H1561" s="216" t="s">
        <v>398</v>
      </c>
      <c r="I1561" s="216" t="s">
        <v>461</v>
      </c>
    </row>
    <row r="1562">
      <c r="A1562" s="216" t="s">
        <v>4481</v>
      </c>
      <c r="B1562" s="216" t="s">
        <v>4471</v>
      </c>
      <c r="C1562" s="216" t="s">
        <v>4482</v>
      </c>
      <c r="D1562" s="217">
        <v>45703.824791666666</v>
      </c>
      <c r="E1562" s="217">
        <v>45704.73275462963</v>
      </c>
      <c r="F1562" s="218" t="s">
        <v>538</v>
      </c>
      <c r="G1562" s="219" t="s">
        <v>3294</v>
      </c>
      <c r="H1562" s="216" t="s">
        <v>398</v>
      </c>
      <c r="I1562" s="216" t="s">
        <v>461</v>
      </c>
    </row>
    <row r="1563">
      <c r="A1563" s="212" t="s">
        <v>4483</v>
      </c>
      <c r="B1563" s="212" t="s">
        <v>4471</v>
      </c>
      <c r="C1563" s="212" t="s">
        <v>4484</v>
      </c>
      <c r="D1563" s="213">
        <v>45775.831342592595</v>
      </c>
      <c r="E1563" s="227"/>
      <c r="F1563" s="214" t="s">
        <v>872</v>
      </c>
      <c r="G1563" s="215" t="s">
        <v>4485</v>
      </c>
      <c r="H1563" s="212" t="s">
        <v>398</v>
      </c>
      <c r="I1563" s="212" t="s">
        <v>461</v>
      </c>
    </row>
    <row r="1564">
      <c r="A1564" s="212" t="s">
        <v>4486</v>
      </c>
      <c r="B1564" s="212" t="s">
        <v>4471</v>
      </c>
      <c r="C1564" s="212" t="s">
        <v>4484</v>
      </c>
      <c r="D1564" s="213">
        <v>45761.82530092593</v>
      </c>
      <c r="E1564" s="213">
        <v>45762.76393518518</v>
      </c>
      <c r="F1564" s="214" t="s">
        <v>715</v>
      </c>
      <c r="G1564" s="215" t="s">
        <v>3313</v>
      </c>
      <c r="H1564" s="212" t="s">
        <v>398</v>
      </c>
      <c r="I1564" s="212" t="s">
        <v>461</v>
      </c>
    </row>
    <row r="1565">
      <c r="A1565" s="212" t="s">
        <v>4487</v>
      </c>
      <c r="B1565" s="212" t="s">
        <v>4488</v>
      </c>
      <c r="C1565" s="212" t="s">
        <v>4489</v>
      </c>
      <c r="D1565" s="213">
        <v>45476.86597222222</v>
      </c>
      <c r="E1565" s="213"/>
      <c r="F1565" s="214" t="s">
        <v>470</v>
      </c>
      <c r="G1565" s="215" t="s">
        <v>4490</v>
      </c>
      <c r="H1565" s="212" t="s">
        <v>346</v>
      </c>
      <c r="I1565" s="212" t="s">
        <v>4491</v>
      </c>
    </row>
    <row r="1566">
      <c r="A1566" s="216" t="s">
        <v>4492</v>
      </c>
      <c r="B1566" s="216" t="s">
        <v>4488</v>
      </c>
      <c r="C1566" s="216" t="s">
        <v>4493</v>
      </c>
      <c r="D1566" s="217">
        <v>45476.86508101852</v>
      </c>
      <c r="E1566" s="217"/>
      <c r="F1566" s="218" t="s">
        <v>4494</v>
      </c>
      <c r="G1566" s="219" t="s">
        <v>4495</v>
      </c>
      <c r="H1566" s="216" t="s">
        <v>811</v>
      </c>
      <c r="I1566" s="216" t="s">
        <v>4491</v>
      </c>
    </row>
    <row r="1567">
      <c r="A1567" s="216" t="s">
        <v>4496</v>
      </c>
      <c r="B1567" s="216" t="s">
        <v>4497</v>
      </c>
      <c r="C1567" s="216" t="s">
        <v>4498</v>
      </c>
      <c r="D1567" s="217">
        <v>45553.81825231481</v>
      </c>
      <c r="E1567" s="217"/>
      <c r="F1567" s="218" t="s">
        <v>2030</v>
      </c>
      <c r="G1567" s="219" t="s">
        <v>4499</v>
      </c>
      <c r="H1567" s="216" t="s">
        <v>561</v>
      </c>
      <c r="I1567" s="216" t="s">
        <v>4500</v>
      </c>
    </row>
    <row r="1568">
      <c r="A1568" s="216" t="s">
        <v>4501</v>
      </c>
      <c r="B1568" s="216" t="s">
        <v>4497</v>
      </c>
      <c r="C1568" s="216" t="s">
        <v>4498</v>
      </c>
      <c r="D1568" s="217">
        <v>45549.86519675926</v>
      </c>
      <c r="E1568" s="217"/>
      <c r="F1568" s="218" t="s">
        <v>297</v>
      </c>
      <c r="G1568" s="219" t="s">
        <v>4502</v>
      </c>
      <c r="H1568" s="216" t="s">
        <v>561</v>
      </c>
      <c r="I1568" s="216" t="s">
        <v>4500</v>
      </c>
    </row>
    <row r="1569">
      <c r="A1569" s="216" t="s">
        <v>4503</v>
      </c>
      <c r="B1569" s="216" t="s">
        <v>4504</v>
      </c>
      <c r="C1569" s="216" t="s">
        <v>4505</v>
      </c>
      <c r="D1569" s="217">
        <v>45549.43724537037</v>
      </c>
      <c r="E1569" s="217"/>
      <c r="F1569" s="218" t="s">
        <v>291</v>
      </c>
      <c r="G1569" s="219" t="s">
        <v>4506</v>
      </c>
      <c r="H1569" s="216" t="s">
        <v>259</v>
      </c>
      <c r="I1569" s="216" t="s">
        <v>626</v>
      </c>
    </row>
    <row r="1570">
      <c r="A1570" s="212" t="s">
        <v>4507</v>
      </c>
      <c r="B1570" s="212" t="s">
        <v>4504</v>
      </c>
      <c r="C1570" s="212" t="s">
        <v>4505</v>
      </c>
      <c r="D1570" s="213">
        <v>45539.838587962964</v>
      </c>
      <c r="E1570" s="213"/>
      <c r="F1570" s="214" t="s">
        <v>250</v>
      </c>
      <c r="G1570" s="215" t="s">
        <v>676</v>
      </c>
      <c r="H1570" s="212" t="s">
        <v>259</v>
      </c>
      <c r="I1570" s="212" t="s">
        <v>626</v>
      </c>
    </row>
    <row r="1571">
      <c r="A1571" s="216" t="s">
        <v>4508</v>
      </c>
      <c r="B1571" s="216" t="s">
        <v>4509</v>
      </c>
      <c r="C1571" s="216" t="s">
        <v>4510</v>
      </c>
      <c r="D1571" s="217">
        <v>45543.60040509259</v>
      </c>
      <c r="E1571" s="217"/>
      <c r="F1571" s="218" t="s">
        <v>339</v>
      </c>
      <c r="G1571" s="219" t="s">
        <v>4511</v>
      </c>
      <c r="H1571" s="216" t="s">
        <v>398</v>
      </c>
      <c r="I1571" s="216" t="s">
        <v>449</v>
      </c>
    </row>
    <row r="1572">
      <c r="A1572" s="212" t="s">
        <v>4512</v>
      </c>
      <c r="B1572" s="212" t="s">
        <v>4509</v>
      </c>
      <c r="C1572" s="212" t="s">
        <v>4510</v>
      </c>
      <c r="D1572" s="213">
        <v>45543.59788194444</v>
      </c>
      <c r="E1572" s="226"/>
      <c r="F1572" s="214" t="s">
        <v>391</v>
      </c>
      <c r="G1572" s="215" t="s">
        <v>877</v>
      </c>
      <c r="H1572" s="212" t="s">
        <v>259</v>
      </c>
      <c r="I1572" s="212" t="s">
        <v>449</v>
      </c>
    </row>
    <row r="1573">
      <c r="A1573" s="212" t="s">
        <v>4513</v>
      </c>
      <c r="B1573" s="212" t="s">
        <v>4509</v>
      </c>
      <c r="C1573" s="212" t="s">
        <v>4510</v>
      </c>
      <c r="D1573" s="213">
        <v>45528.75944444445</v>
      </c>
      <c r="E1573" s="213"/>
      <c r="F1573" s="214" t="s">
        <v>470</v>
      </c>
      <c r="G1573" s="215" t="s">
        <v>4514</v>
      </c>
      <c r="H1573" s="212" t="s">
        <v>259</v>
      </c>
      <c r="I1573" s="212" t="s">
        <v>449</v>
      </c>
    </row>
    <row r="1574">
      <c r="A1574" s="216" t="s">
        <v>4515</v>
      </c>
      <c r="B1574" s="216" t="s">
        <v>4509</v>
      </c>
      <c r="C1574" s="216" t="s">
        <v>4510</v>
      </c>
      <c r="D1574" s="217">
        <v>45522.50431712963</v>
      </c>
      <c r="E1574" s="217"/>
      <c r="F1574" s="218" t="s">
        <v>250</v>
      </c>
      <c r="G1574" s="219" t="s">
        <v>4516</v>
      </c>
      <c r="H1574" s="216" t="s">
        <v>259</v>
      </c>
      <c r="I1574" s="216" t="s">
        <v>449</v>
      </c>
    </row>
    <row r="1575">
      <c r="A1575" s="216" t="s">
        <v>4517</v>
      </c>
      <c r="B1575" s="216" t="s">
        <v>4509</v>
      </c>
      <c r="C1575" s="216" t="s">
        <v>4510</v>
      </c>
      <c r="D1575" s="217">
        <v>45516.91203703704</v>
      </c>
      <c r="E1575" s="217"/>
      <c r="F1575" s="218" t="s">
        <v>317</v>
      </c>
      <c r="G1575" s="219" t="s">
        <v>4518</v>
      </c>
      <c r="H1575" s="216" t="s">
        <v>259</v>
      </c>
      <c r="I1575" s="216" t="s">
        <v>449</v>
      </c>
    </row>
    <row r="1576">
      <c r="A1576" s="212" t="s">
        <v>4519</v>
      </c>
      <c r="B1576" s="212" t="s">
        <v>4509</v>
      </c>
      <c r="C1576" s="212" t="s">
        <v>4520</v>
      </c>
      <c r="D1576" s="213">
        <v>45514.67789351852</v>
      </c>
      <c r="E1576" s="213"/>
      <c r="F1576" s="214" t="s">
        <v>967</v>
      </c>
      <c r="G1576" s="215" t="s">
        <v>4521</v>
      </c>
      <c r="H1576" s="212" t="s">
        <v>561</v>
      </c>
      <c r="I1576" s="212" t="s">
        <v>449</v>
      </c>
    </row>
    <row r="1577">
      <c r="A1577" s="212" t="s">
        <v>4522</v>
      </c>
      <c r="B1577" s="212" t="s">
        <v>4509</v>
      </c>
      <c r="C1577" s="212" t="s">
        <v>4510</v>
      </c>
      <c r="D1577" s="213">
        <v>45500.792905092596</v>
      </c>
      <c r="E1577" s="213"/>
      <c r="F1577" s="214" t="s">
        <v>470</v>
      </c>
      <c r="G1577" s="215" t="s">
        <v>4523</v>
      </c>
      <c r="H1577" s="212" t="s">
        <v>398</v>
      </c>
      <c r="I1577" s="212" t="s">
        <v>449</v>
      </c>
    </row>
    <row r="1578">
      <c r="A1578" s="212" t="s">
        <v>4524</v>
      </c>
      <c r="B1578" s="212" t="s">
        <v>4509</v>
      </c>
      <c r="C1578" s="212" t="s">
        <v>4525</v>
      </c>
      <c r="D1578" s="213">
        <v>45494.88315972222</v>
      </c>
      <c r="E1578" s="213"/>
      <c r="F1578" s="214" t="s">
        <v>2786</v>
      </c>
      <c r="G1578" s="215" t="s">
        <v>4526</v>
      </c>
      <c r="H1578" s="212" t="s">
        <v>265</v>
      </c>
      <c r="I1578" s="212" t="s">
        <v>449</v>
      </c>
    </row>
    <row r="1579">
      <c r="A1579" s="212" t="s">
        <v>4527</v>
      </c>
      <c r="B1579" s="212" t="s">
        <v>4509</v>
      </c>
      <c r="C1579" s="212" t="s">
        <v>4510</v>
      </c>
      <c r="D1579" s="213">
        <v>45494.52009259259</v>
      </c>
      <c r="E1579" s="213"/>
      <c r="F1579" s="214" t="s">
        <v>470</v>
      </c>
      <c r="G1579" s="215" t="s">
        <v>4528</v>
      </c>
      <c r="H1579" s="212" t="s">
        <v>398</v>
      </c>
      <c r="I1579" s="212" t="s">
        <v>449</v>
      </c>
    </row>
    <row r="1580">
      <c r="A1580" s="212" t="s">
        <v>4529</v>
      </c>
      <c r="B1580" s="212" t="s">
        <v>4509</v>
      </c>
      <c r="C1580" s="212" t="s">
        <v>4510</v>
      </c>
      <c r="D1580" s="213">
        <v>45479.75782407408</v>
      </c>
      <c r="E1580" s="213"/>
      <c r="F1580" s="214" t="s">
        <v>470</v>
      </c>
      <c r="G1580" s="215" t="s">
        <v>3009</v>
      </c>
      <c r="H1580" s="212" t="s">
        <v>398</v>
      </c>
      <c r="I1580" s="212" t="s">
        <v>449</v>
      </c>
    </row>
    <row r="1581">
      <c r="A1581" s="212" t="s">
        <v>4530</v>
      </c>
      <c r="B1581" s="212" t="s">
        <v>4509</v>
      </c>
      <c r="C1581" s="212" t="s">
        <v>4531</v>
      </c>
      <c r="D1581" s="213">
        <v>45465.76498842592</v>
      </c>
      <c r="E1581" s="213"/>
      <c r="F1581" s="214" t="s">
        <v>431</v>
      </c>
      <c r="G1581" s="215" t="s">
        <v>3868</v>
      </c>
      <c r="H1581" s="212" t="s">
        <v>398</v>
      </c>
      <c r="I1581" s="212" t="s">
        <v>449</v>
      </c>
    </row>
    <row r="1582">
      <c r="A1582" s="216" t="s">
        <v>4532</v>
      </c>
      <c r="B1582" s="216" t="s">
        <v>4509</v>
      </c>
      <c r="C1582" s="216" t="s">
        <v>4520</v>
      </c>
      <c r="D1582" s="217">
        <v>45458.91075231481</v>
      </c>
      <c r="E1582" s="217">
        <v>45458.71528935185</v>
      </c>
      <c r="F1582" s="218" t="s">
        <v>831</v>
      </c>
      <c r="G1582" s="219" t="s">
        <v>4533</v>
      </c>
      <c r="H1582" s="216" t="s">
        <v>561</v>
      </c>
      <c r="I1582" s="216" t="s">
        <v>449</v>
      </c>
    </row>
    <row r="1583">
      <c r="A1583" s="212" t="s">
        <v>4534</v>
      </c>
      <c r="B1583" s="212" t="s">
        <v>4509</v>
      </c>
      <c r="C1583" s="212" t="s">
        <v>4510</v>
      </c>
      <c r="D1583" s="213">
        <v>45458.90828703704</v>
      </c>
      <c r="E1583" s="213">
        <v>45459.29880787037</v>
      </c>
      <c r="F1583" s="214" t="s">
        <v>470</v>
      </c>
      <c r="G1583" s="215" t="s">
        <v>4535</v>
      </c>
      <c r="H1583" s="212" t="s">
        <v>398</v>
      </c>
      <c r="I1583" s="212" t="s">
        <v>449</v>
      </c>
    </row>
    <row r="1584">
      <c r="A1584" s="212" t="s">
        <v>4536</v>
      </c>
      <c r="B1584" s="212" t="s">
        <v>4509</v>
      </c>
      <c r="C1584" s="212" t="s">
        <v>4510</v>
      </c>
      <c r="D1584" s="213">
        <v>45451.78107638889</v>
      </c>
      <c r="E1584" s="213">
        <v>45451.66328703704</v>
      </c>
      <c r="F1584" s="214" t="s">
        <v>250</v>
      </c>
      <c r="G1584" s="215" t="s">
        <v>3776</v>
      </c>
      <c r="H1584" s="212" t="s">
        <v>398</v>
      </c>
      <c r="I1584" s="212" t="s">
        <v>449</v>
      </c>
    </row>
    <row r="1585">
      <c r="A1585" s="212" t="s">
        <v>4537</v>
      </c>
      <c r="B1585" s="212" t="s">
        <v>4509</v>
      </c>
      <c r="C1585" s="212" t="s">
        <v>4510</v>
      </c>
      <c r="D1585" s="213">
        <v>45444.89355324074</v>
      </c>
      <c r="E1585" s="213">
        <v>45445.36466435185</v>
      </c>
      <c r="F1585" s="214" t="s">
        <v>503</v>
      </c>
      <c r="G1585" s="215" t="s">
        <v>4538</v>
      </c>
      <c r="H1585" s="212" t="s">
        <v>398</v>
      </c>
      <c r="I1585" s="212" t="s">
        <v>449</v>
      </c>
    </row>
    <row r="1586">
      <c r="A1586" s="212" t="s">
        <v>4539</v>
      </c>
      <c r="B1586" s="212" t="s">
        <v>4509</v>
      </c>
      <c r="C1586" s="212" t="s">
        <v>4510</v>
      </c>
      <c r="D1586" s="213">
        <v>45437.65261574074</v>
      </c>
      <c r="E1586" s="213">
        <v>45437.70141203704</v>
      </c>
      <c r="F1586" s="214" t="s">
        <v>470</v>
      </c>
      <c r="G1586" s="215" t="s">
        <v>4540</v>
      </c>
      <c r="H1586" s="212" t="s">
        <v>398</v>
      </c>
      <c r="I1586" s="212" t="s">
        <v>449</v>
      </c>
    </row>
    <row r="1587">
      <c r="A1587" s="216" t="s">
        <v>4541</v>
      </c>
      <c r="B1587" s="216" t="s">
        <v>4509</v>
      </c>
      <c r="C1587" s="216" t="s">
        <v>4510</v>
      </c>
      <c r="D1587" s="217">
        <v>45711.71487268519</v>
      </c>
      <c r="E1587" s="217">
        <v>45711.878483796296</v>
      </c>
      <c r="F1587" s="218" t="s">
        <v>503</v>
      </c>
      <c r="G1587" s="219" t="s">
        <v>4542</v>
      </c>
      <c r="H1587" s="216" t="s">
        <v>398</v>
      </c>
      <c r="I1587" s="216" t="s">
        <v>449</v>
      </c>
    </row>
    <row r="1588">
      <c r="A1588" s="216" t="s">
        <v>4543</v>
      </c>
      <c r="B1588" s="216" t="s">
        <v>4509</v>
      </c>
      <c r="C1588" s="216" t="s">
        <v>4531</v>
      </c>
      <c r="D1588" s="217">
        <v>45776.87331018518</v>
      </c>
      <c r="E1588" s="217">
        <v>45776.90975694444</v>
      </c>
      <c r="F1588" s="218" t="s">
        <v>431</v>
      </c>
      <c r="G1588" s="219" t="s">
        <v>4544</v>
      </c>
      <c r="H1588" s="216" t="s">
        <v>398</v>
      </c>
      <c r="I1588" s="216" t="s">
        <v>449</v>
      </c>
    </row>
    <row r="1589">
      <c r="A1589" s="212" t="s">
        <v>4545</v>
      </c>
      <c r="B1589" s="212" t="s">
        <v>4509</v>
      </c>
      <c r="C1589" s="212" t="s">
        <v>4531</v>
      </c>
      <c r="D1589" s="213">
        <v>45776.87195601852</v>
      </c>
      <c r="E1589" s="227"/>
      <c r="F1589" s="214" t="s">
        <v>391</v>
      </c>
      <c r="G1589" s="215" t="s">
        <v>877</v>
      </c>
      <c r="H1589" s="212" t="s">
        <v>259</v>
      </c>
      <c r="I1589" s="212" t="s">
        <v>449</v>
      </c>
    </row>
    <row r="1590">
      <c r="A1590" s="212" t="s">
        <v>4546</v>
      </c>
      <c r="B1590" s="212" t="s">
        <v>4509</v>
      </c>
      <c r="C1590" s="212" t="s">
        <v>4531</v>
      </c>
      <c r="D1590" s="213">
        <v>45774.903599537036</v>
      </c>
      <c r="E1590" s="213">
        <v>45775.472280092596</v>
      </c>
      <c r="F1590" s="214" t="s">
        <v>281</v>
      </c>
      <c r="G1590" s="215" t="s">
        <v>1202</v>
      </c>
      <c r="H1590" s="212" t="s">
        <v>259</v>
      </c>
      <c r="I1590" s="212" t="s">
        <v>449</v>
      </c>
    </row>
    <row r="1591">
      <c r="A1591" s="216" t="s">
        <v>4547</v>
      </c>
      <c r="B1591" s="216" t="s">
        <v>4509</v>
      </c>
      <c r="C1591" s="216" t="s">
        <v>4510</v>
      </c>
      <c r="D1591" s="217">
        <v>45774.90109953703</v>
      </c>
      <c r="E1591" s="217">
        <v>45775.493159722224</v>
      </c>
      <c r="F1591" s="218" t="s">
        <v>1259</v>
      </c>
      <c r="G1591" s="219" t="s">
        <v>1351</v>
      </c>
      <c r="H1591" s="216" t="s">
        <v>259</v>
      </c>
      <c r="I1591" s="216" t="s">
        <v>449</v>
      </c>
    </row>
    <row r="1592">
      <c r="A1592" s="216" t="s">
        <v>4548</v>
      </c>
      <c r="B1592" s="216" t="s">
        <v>4549</v>
      </c>
      <c r="C1592" s="216" t="s">
        <v>4550</v>
      </c>
      <c r="D1592" s="217">
        <v>45529.66484953704</v>
      </c>
      <c r="E1592" s="217"/>
      <c r="F1592" s="218" t="s">
        <v>658</v>
      </c>
      <c r="G1592" s="219" t="s">
        <v>1226</v>
      </c>
      <c r="H1592" s="216" t="s">
        <v>259</v>
      </c>
      <c r="I1592" s="216" t="s">
        <v>4551</v>
      </c>
    </row>
    <row r="1593">
      <c r="A1593" s="212" t="s">
        <v>4552</v>
      </c>
      <c r="B1593" s="212" t="s">
        <v>4549</v>
      </c>
      <c r="C1593" s="212" t="s">
        <v>4553</v>
      </c>
      <c r="D1593" s="213">
        <v>45514.59142361111</v>
      </c>
      <c r="E1593" s="213"/>
      <c r="F1593" s="214" t="s">
        <v>503</v>
      </c>
      <c r="G1593" s="215" t="s">
        <v>1742</v>
      </c>
      <c r="H1593" s="212" t="s">
        <v>259</v>
      </c>
      <c r="I1593" s="212" t="s">
        <v>4551</v>
      </c>
    </row>
    <row r="1594">
      <c r="A1594" s="216" t="s">
        <v>4554</v>
      </c>
      <c r="B1594" s="216" t="s">
        <v>4555</v>
      </c>
      <c r="C1594" s="216" t="s">
        <v>4556</v>
      </c>
      <c r="D1594" s="217">
        <v>45542.82879629629</v>
      </c>
      <c r="E1594" s="217"/>
      <c r="F1594" s="218" t="s">
        <v>431</v>
      </c>
      <c r="G1594" s="219" t="s">
        <v>4557</v>
      </c>
      <c r="H1594" s="216" t="s">
        <v>356</v>
      </c>
      <c r="I1594" s="216" t="s">
        <v>4179</v>
      </c>
    </row>
    <row r="1595">
      <c r="A1595" s="212" t="s">
        <v>4558</v>
      </c>
      <c r="B1595" s="212" t="s">
        <v>4555</v>
      </c>
      <c r="C1595" s="212" t="s">
        <v>4559</v>
      </c>
      <c r="D1595" s="213">
        <v>45541.85824074074</v>
      </c>
      <c r="E1595" s="213"/>
      <c r="F1595" s="214" t="s">
        <v>759</v>
      </c>
      <c r="G1595" s="215" t="s">
        <v>4560</v>
      </c>
      <c r="H1595" s="212" t="s">
        <v>811</v>
      </c>
      <c r="I1595" s="212" t="s">
        <v>4179</v>
      </c>
    </row>
    <row r="1596">
      <c r="A1596" s="216" t="s">
        <v>4561</v>
      </c>
      <c r="B1596" s="216" t="s">
        <v>4555</v>
      </c>
      <c r="C1596" s="216" t="s">
        <v>4559</v>
      </c>
      <c r="D1596" s="217">
        <v>45493.736284722225</v>
      </c>
      <c r="E1596" s="217"/>
      <c r="F1596" s="218" t="s">
        <v>3477</v>
      </c>
      <c r="G1596" s="219" t="s">
        <v>3478</v>
      </c>
      <c r="H1596" s="216" t="s">
        <v>811</v>
      </c>
      <c r="I1596" s="216" t="s">
        <v>4179</v>
      </c>
    </row>
    <row r="1597">
      <c r="A1597" s="212" t="s">
        <v>4562</v>
      </c>
      <c r="B1597" s="212" t="s">
        <v>4555</v>
      </c>
      <c r="C1597" s="212" t="s">
        <v>4563</v>
      </c>
      <c r="D1597" s="213">
        <v>45468.914722222224</v>
      </c>
      <c r="E1597" s="213"/>
      <c r="F1597" s="214" t="s">
        <v>4390</v>
      </c>
      <c r="G1597" s="215" t="s">
        <v>4564</v>
      </c>
      <c r="H1597" s="212" t="s">
        <v>356</v>
      </c>
      <c r="I1597" s="212" t="s">
        <v>4179</v>
      </c>
    </row>
    <row r="1598">
      <c r="A1598" s="212" t="s">
        <v>4565</v>
      </c>
      <c r="B1598" s="212" t="s">
        <v>4555</v>
      </c>
      <c r="C1598" s="212" t="s">
        <v>4559</v>
      </c>
      <c r="D1598" s="213">
        <v>45746.60805555555</v>
      </c>
      <c r="E1598" s="213">
        <v>45748.475810185184</v>
      </c>
      <c r="F1598" s="214" t="s">
        <v>1428</v>
      </c>
      <c r="G1598" s="215" t="s">
        <v>4566</v>
      </c>
      <c r="H1598" s="212" t="s">
        <v>811</v>
      </c>
      <c r="I1598" s="212" t="s">
        <v>4179</v>
      </c>
    </row>
    <row r="1599">
      <c r="A1599" s="216" t="s">
        <v>4567</v>
      </c>
      <c r="B1599" s="216" t="s">
        <v>4555</v>
      </c>
      <c r="C1599" s="216" t="s">
        <v>4556</v>
      </c>
      <c r="D1599" s="217">
        <v>45760.45819444444</v>
      </c>
      <c r="E1599" s="217">
        <v>45760.4687962963</v>
      </c>
      <c r="F1599" s="218" t="s">
        <v>4568</v>
      </c>
      <c r="G1599" s="219" t="s">
        <v>4569</v>
      </c>
      <c r="H1599" s="216" t="s">
        <v>356</v>
      </c>
      <c r="I1599" s="216" t="s">
        <v>4179</v>
      </c>
    </row>
    <row r="1600">
      <c r="A1600" s="212" t="s">
        <v>4570</v>
      </c>
      <c r="B1600" s="212" t="s">
        <v>4555</v>
      </c>
      <c r="C1600" s="212" t="s">
        <v>4571</v>
      </c>
      <c r="D1600" s="213">
        <v>45760.45648148148</v>
      </c>
      <c r="E1600" s="213">
        <v>45760.46545138889</v>
      </c>
      <c r="F1600" s="214" t="s">
        <v>2473</v>
      </c>
      <c r="G1600" s="215" t="s">
        <v>4572</v>
      </c>
      <c r="H1600" s="212" t="s">
        <v>388</v>
      </c>
      <c r="I1600" s="212" t="s">
        <v>1061</v>
      </c>
    </row>
    <row r="1601">
      <c r="A1601" s="212" t="s">
        <v>4573</v>
      </c>
      <c r="B1601" s="212" t="s">
        <v>4574</v>
      </c>
      <c r="C1601" s="212" t="s">
        <v>4575</v>
      </c>
      <c r="D1601" s="213">
        <v>45710.82173611111</v>
      </c>
      <c r="E1601" s="213">
        <v>45710.833391203705</v>
      </c>
      <c r="F1601" s="214" t="s">
        <v>431</v>
      </c>
      <c r="G1601" s="215" t="s">
        <v>432</v>
      </c>
      <c r="H1601" s="212" t="s">
        <v>265</v>
      </c>
      <c r="I1601" s="212" t="s">
        <v>4576</v>
      </c>
    </row>
    <row r="1602">
      <c r="A1602" s="216" t="s">
        <v>4577</v>
      </c>
      <c r="B1602" s="216" t="s">
        <v>4574</v>
      </c>
      <c r="C1602" s="216" t="s">
        <v>3003</v>
      </c>
      <c r="D1602" s="217">
        <v>45774.60118055555</v>
      </c>
      <c r="E1602" s="217">
        <v>45776.75356481481</v>
      </c>
      <c r="F1602" s="218" t="s">
        <v>503</v>
      </c>
      <c r="G1602" s="219" t="s">
        <v>2104</v>
      </c>
      <c r="H1602" s="216" t="s">
        <v>265</v>
      </c>
      <c r="I1602" s="216" t="s">
        <v>1673</v>
      </c>
    </row>
    <row r="1603">
      <c r="A1603" s="212" t="s">
        <v>4578</v>
      </c>
      <c r="B1603" s="212" t="s">
        <v>4579</v>
      </c>
      <c r="C1603" s="212" t="s">
        <v>4580</v>
      </c>
      <c r="D1603" s="213">
        <v>45708.63079861111</v>
      </c>
      <c r="E1603" s="213">
        <v>45710.38893518518</v>
      </c>
      <c r="F1603" s="214" t="s">
        <v>470</v>
      </c>
      <c r="G1603" s="215" t="s">
        <v>471</v>
      </c>
      <c r="H1603" s="212" t="s">
        <v>259</v>
      </c>
      <c r="I1603" s="212" t="s">
        <v>449</v>
      </c>
    </row>
    <row r="1604">
      <c r="A1604" s="212" t="s">
        <v>4581</v>
      </c>
      <c r="B1604" s="212" t="s">
        <v>4579</v>
      </c>
      <c r="C1604" s="212" t="s">
        <v>4582</v>
      </c>
      <c r="D1604" s="213">
        <v>45703.56318287037</v>
      </c>
      <c r="E1604" s="213">
        <v>45703.86116898148</v>
      </c>
      <c r="F1604" s="214" t="s">
        <v>4583</v>
      </c>
      <c r="G1604" s="215" t="s">
        <v>4584</v>
      </c>
      <c r="H1604" s="212" t="s">
        <v>259</v>
      </c>
      <c r="I1604" s="212" t="s">
        <v>449</v>
      </c>
    </row>
    <row r="1605">
      <c r="A1605" s="212" t="s">
        <v>4585</v>
      </c>
      <c r="B1605" s="212" t="s">
        <v>4579</v>
      </c>
      <c r="C1605" s="212" t="s">
        <v>4586</v>
      </c>
      <c r="D1605" s="213">
        <v>45745.58186342593</v>
      </c>
      <c r="E1605" s="213">
        <v>45745.68414351852</v>
      </c>
      <c r="F1605" s="214" t="s">
        <v>4587</v>
      </c>
      <c r="G1605" s="215" t="s">
        <v>4588</v>
      </c>
      <c r="H1605" s="212" t="s">
        <v>259</v>
      </c>
      <c r="I1605" s="212" t="s">
        <v>313</v>
      </c>
    </row>
    <row r="1606">
      <c r="A1606" s="212" t="s">
        <v>4589</v>
      </c>
      <c r="B1606" s="212" t="s">
        <v>4590</v>
      </c>
      <c r="C1606" s="212" t="s">
        <v>4591</v>
      </c>
      <c r="D1606" s="213">
        <v>45551.860810185186</v>
      </c>
      <c r="E1606" s="213"/>
      <c r="F1606" s="214" t="s">
        <v>470</v>
      </c>
      <c r="G1606" s="215" t="s">
        <v>2594</v>
      </c>
      <c r="H1606" s="212" t="s">
        <v>259</v>
      </c>
      <c r="I1606" s="212" t="s">
        <v>461</v>
      </c>
    </row>
    <row r="1607">
      <c r="A1607" s="216" t="s">
        <v>4592</v>
      </c>
      <c r="B1607" s="216" t="s">
        <v>4590</v>
      </c>
      <c r="C1607" s="216" t="s">
        <v>4591</v>
      </c>
      <c r="D1607" s="217">
        <v>45543.59744212963</v>
      </c>
      <c r="E1607" s="217"/>
      <c r="F1607" s="218" t="s">
        <v>470</v>
      </c>
      <c r="G1607" s="219" t="s">
        <v>4593</v>
      </c>
      <c r="H1607" s="216" t="s">
        <v>259</v>
      </c>
      <c r="I1607" s="216" t="s">
        <v>461</v>
      </c>
    </row>
    <row r="1608">
      <c r="A1608" s="216" t="s">
        <v>4594</v>
      </c>
      <c r="B1608" s="216" t="s">
        <v>4590</v>
      </c>
      <c r="C1608" s="216" t="s">
        <v>4591</v>
      </c>
      <c r="D1608" s="217">
        <v>45528.758472222224</v>
      </c>
      <c r="E1608" s="217"/>
      <c r="F1608" s="218" t="s">
        <v>250</v>
      </c>
      <c r="G1608" s="219" t="s">
        <v>4002</v>
      </c>
      <c r="H1608" s="216" t="s">
        <v>259</v>
      </c>
      <c r="I1608" s="216" t="s">
        <v>461</v>
      </c>
    </row>
    <row r="1609">
      <c r="A1609" s="212" t="s">
        <v>4595</v>
      </c>
      <c r="B1609" s="212" t="s">
        <v>4590</v>
      </c>
      <c r="C1609" s="212" t="s">
        <v>4591</v>
      </c>
      <c r="D1609" s="213">
        <v>45522.50577546296</v>
      </c>
      <c r="E1609" s="213"/>
      <c r="F1609" s="214" t="s">
        <v>250</v>
      </c>
      <c r="G1609" s="215" t="s">
        <v>4516</v>
      </c>
      <c r="H1609" s="212" t="s">
        <v>259</v>
      </c>
      <c r="I1609" s="212" t="s">
        <v>461</v>
      </c>
    </row>
    <row r="1610">
      <c r="A1610" s="216" t="s">
        <v>4596</v>
      </c>
      <c r="B1610" s="216" t="s">
        <v>4590</v>
      </c>
      <c r="C1610" s="216" t="s">
        <v>4591</v>
      </c>
      <c r="D1610" s="217">
        <v>45509.88329861111</v>
      </c>
      <c r="E1610" s="217"/>
      <c r="F1610" s="218" t="s">
        <v>250</v>
      </c>
      <c r="G1610" s="219" t="s">
        <v>4597</v>
      </c>
      <c r="H1610" s="216" t="s">
        <v>259</v>
      </c>
      <c r="I1610" s="216" t="s">
        <v>461</v>
      </c>
    </row>
    <row r="1611">
      <c r="A1611" s="212" t="s">
        <v>4598</v>
      </c>
      <c r="B1611" s="212" t="s">
        <v>4590</v>
      </c>
      <c r="C1611" s="212" t="s">
        <v>4591</v>
      </c>
      <c r="D1611" s="213">
        <v>45509.88253472222</v>
      </c>
      <c r="E1611" s="226"/>
      <c r="F1611" s="214" t="s">
        <v>391</v>
      </c>
      <c r="G1611" s="215" t="s">
        <v>877</v>
      </c>
      <c r="H1611" s="212" t="s">
        <v>259</v>
      </c>
      <c r="I1611" s="212" t="s">
        <v>461</v>
      </c>
    </row>
    <row r="1612">
      <c r="A1612" s="216" t="s">
        <v>4599</v>
      </c>
      <c r="B1612" s="216" t="s">
        <v>4590</v>
      </c>
      <c r="C1612" s="216" t="s">
        <v>4591</v>
      </c>
      <c r="D1612" s="217">
        <v>45509.88182870371</v>
      </c>
      <c r="E1612" s="225"/>
      <c r="F1612" s="218" t="s">
        <v>391</v>
      </c>
      <c r="G1612" s="219" t="s">
        <v>877</v>
      </c>
      <c r="H1612" s="216" t="s">
        <v>259</v>
      </c>
      <c r="I1612" s="216" t="s">
        <v>461</v>
      </c>
    </row>
    <row r="1613">
      <c r="A1613" s="216" t="s">
        <v>4600</v>
      </c>
      <c r="B1613" s="216" t="s">
        <v>4590</v>
      </c>
      <c r="C1613" s="216" t="s">
        <v>4591</v>
      </c>
      <c r="D1613" s="217">
        <v>45500.79451388889</v>
      </c>
      <c r="E1613" s="217"/>
      <c r="F1613" s="218" t="s">
        <v>250</v>
      </c>
      <c r="G1613" s="219" t="s">
        <v>4601</v>
      </c>
      <c r="H1613" s="216" t="s">
        <v>259</v>
      </c>
      <c r="I1613" s="216" t="s">
        <v>461</v>
      </c>
    </row>
    <row r="1614">
      <c r="A1614" s="212" t="s">
        <v>4602</v>
      </c>
      <c r="B1614" s="212" t="s">
        <v>4590</v>
      </c>
      <c r="C1614" s="212" t="s">
        <v>4591</v>
      </c>
      <c r="D1614" s="213">
        <v>45494.51020833333</v>
      </c>
      <c r="E1614" s="213"/>
      <c r="F1614" s="214" t="s">
        <v>250</v>
      </c>
      <c r="G1614" s="215" t="s">
        <v>4603</v>
      </c>
      <c r="H1614" s="212" t="s">
        <v>259</v>
      </c>
      <c r="I1614" s="212" t="s">
        <v>461</v>
      </c>
    </row>
    <row r="1615">
      <c r="A1615" s="216" t="s">
        <v>4604</v>
      </c>
      <c r="B1615" s="216" t="s">
        <v>4590</v>
      </c>
      <c r="C1615" s="216" t="s">
        <v>4591</v>
      </c>
      <c r="D1615" s="217">
        <v>45486.78123842592</v>
      </c>
      <c r="E1615" s="217"/>
      <c r="F1615" s="218" t="s">
        <v>250</v>
      </c>
      <c r="G1615" s="219" t="s">
        <v>2456</v>
      </c>
      <c r="H1615" s="216" t="s">
        <v>259</v>
      </c>
      <c r="I1615" s="216" t="s">
        <v>461</v>
      </c>
    </row>
    <row r="1616">
      <c r="A1616" s="216" t="s">
        <v>4604</v>
      </c>
      <c r="B1616" s="216" t="s">
        <v>4590</v>
      </c>
      <c r="C1616" s="216" t="s">
        <v>4591</v>
      </c>
      <c r="D1616" s="217">
        <v>45486.78123842592</v>
      </c>
      <c r="E1616" s="217"/>
      <c r="F1616" s="218" t="s">
        <v>250</v>
      </c>
      <c r="G1616" s="219" t="s">
        <v>2456</v>
      </c>
      <c r="H1616" s="216" t="s">
        <v>259</v>
      </c>
      <c r="I1616" s="216" t="s">
        <v>461</v>
      </c>
    </row>
    <row r="1617">
      <c r="A1617" s="216" t="s">
        <v>4605</v>
      </c>
      <c r="B1617" s="216" t="s">
        <v>4590</v>
      </c>
      <c r="C1617" s="216" t="s">
        <v>4591</v>
      </c>
      <c r="D1617" s="217">
        <v>45479.75969907407</v>
      </c>
      <c r="E1617" s="217"/>
      <c r="F1617" s="218" t="s">
        <v>250</v>
      </c>
      <c r="G1617" s="219" t="s">
        <v>2574</v>
      </c>
      <c r="H1617" s="216" t="s">
        <v>259</v>
      </c>
      <c r="I1617" s="216" t="s">
        <v>461</v>
      </c>
    </row>
    <row r="1618">
      <c r="A1618" s="212" t="s">
        <v>4606</v>
      </c>
      <c r="B1618" s="212" t="s">
        <v>4590</v>
      </c>
      <c r="C1618" s="212" t="s">
        <v>4591</v>
      </c>
      <c r="D1618" s="213">
        <v>45471.91947916667</v>
      </c>
      <c r="E1618" s="213"/>
      <c r="F1618" s="214" t="s">
        <v>250</v>
      </c>
      <c r="G1618" s="215" t="s">
        <v>4601</v>
      </c>
      <c r="H1618" s="212" t="s">
        <v>259</v>
      </c>
      <c r="I1618" s="212" t="s">
        <v>461</v>
      </c>
    </row>
    <row r="1619">
      <c r="A1619" s="216" t="s">
        <v>4607</v>
      </c>
      <c r="B1619" s="216" t="s">
        <v>4590</v>
      </c>
      <c r="C1619" s="216" t="s">
        <v>4591</v>
      </c>
      <c r="D1619" s="217">
        <v>45465.48119212963</v>
      </c>
      <c r="E1619" s="217"/>
      <c r="F1619" s="218" t="s">
        <v>250</v>
      </c>
      <c r="G1619" s="219" t="s">
        <v>2574</v>
      </c>
      <c r="H1619" s="216" t="s">
        <v>259</v>
      </c>
      <c r="I1619" s="216" t="s">
        <v>461</v>
      </c>
    </row>
    <row r="1620">
      <c r="A1620" s="212" t="s">
        <v>4608</v>
      </c>
      <c r="B1620" s="212" t="s">
        <v>4590</v>
      </c>
      <c r="C1620" s="212" t="s">
        <v>4591</v>
      </c>
      <c r="D1620" s="213">
        <v>45458.91425925926</v>
      </c>
      <c r="E1620" s="213">
        <v>45459.319548611114</v>
      </c>
      <c r="F1620" s="214" t="s">
        <v>250</v>
      </c>
      <c r="G1620" s="215" t="s">
        <v>3866</v>
      </c>
      <c r="H1620" s="212" t="s">
        <v>259</v>
      </c>
      <c r="I1620" s="212" t="s">
        <v>461</v>
      </c>
    </row>
    <row r="1621">
      <c r="A1621" s="216" t="s">
        <v>4609</v>
      </c>
      <c r="B1621" s="216" t="s">
        <v>4590</v>
      </c>
      <c r="C1621" s="216" t="s">
        <v>4591</v>
      </c>
      <c r="D1621" s="217">
        <v>45450.61518518518</v>
      </c>
      <c r="E1621" s="217">
        <v>45450.56621527778</v>
      </c>
      <c r="F1621" s="218" t="s">
        <v>250</v>
      </c>
      <c r="G1621" s="219" t="s">
        <v>2083</v>
      </c>
      <c r="H1621" s="216" t="s">
        <v>259</v>
      </c>
      <c r="I1621" s="216" t="s">
        <v>461</v>
      </c>
    </row>
    <row r="1622">
      <c r="A1622" s="216" t="s">
        <v>4610</v>
      </c>
      <c r="B1622" s="216" t="s">
        <v>4590</v>
      </c>
      <c r="C1622" s="216" t="s">
        <v>4591</v>
      </c>
      <c r="D1622" s="217">
        <v>45444.89512731481</v>
      </c>
      <c r="E1622" s="217">
        <v>45445.40640046296</v>
      </c>
      <c r="F1622" s="218" t="s">
        <v>470</v>
      </c>
      <c r="G1622" s="219" t="s">
        <v>4611</v>
      </c>
      <c r="H1622" s="216" t="s">
        <v>259</v>
      </c>
      <c r="I1622" s="216" t="s">
        <v>461</v>
      </c>
    </row>
    <row r="1623">
      <c r="A1623" s="212" t="s">
        <v>4612</v>
      </c>
      <c r="B1623" s="212" t="s">
        <v>4590</v>
      </c>
      <c r="C1623" s="212" t="s">
        <v>4591</v>
      </c>
      <c r="D1623" s="213">
        <v>45437.65640046296</v>
      </c>
      <c r="E1623" s="213">
        <v>45438.586875</v>
      </c>
      <c r="F1623" s="214" t="s">
        <v>470</v>
      </c>
      <c r="G1623" s="215" t="s">
        <v>4613</v>
      </c>
      <c r="H1623" s="212" t="s">
        <v>259</v>
      </c>
      <c r="I1623" s="212" t="s">
        <v>461</v>
      </c>
    </row>
    <row r="1624">
      <c r="A1624" s="216" t="s">
        <v>4614</v>
      </c>
      <c r="B1624" s="216" t="s">
        <v>4590</v>
      </c>
      <c r="C1624" s="216" t="s">
        <v>4591</v>
      </c>
      <c r="D1624" s="217">
        <v>45713.89493055556</v>
      </c>
      <c r="E1624" s="217">
        <v>45714.70141203704</v>
      </c>
      <c r="F1624" s="218" t="s">
        <v>503</v>
      </c>
      <c r="G1624" s="219" t="s">
        <v>4615</v>
      </c>
      <c r="H1624" s="216" t="s">
        <v>259</v>
      </c>
      <c r="I1624" s="216" t="s">
        <v>461</v>
      </c>
    </row>
    <row r="1625">
      <c r="A1625" s="212" t="s">
        <v>4616</v>
      </c>
      <c r="B1625" s="212" t="s">
        <v>4617</v>
      </c>
      <c r="C1625" s="212" t="s">
        <v>4108</v>
      </c>
      <c r="D1625" s="213">
        <v>45747.87855324074</v>
      </c>
      <c r="E1625" s="213">
        <v>45748.43409722222</v>
      </c>
      <c r="F1625" s="214" t="s">
        <v>538</v>
      </c>
      <c r="G1625" s="215" t="s">
        <v>3294</v>
      </c>
      <c r="H1625" s="212" t="s">
        <v>398</v>
      </c>
      <c r="I1625" s="212" t="s">
        <v>1673</v>
      </c>
    </row>
    <row r="1626">
      <c r="A1626" s="216" t="s">
        <v>4618</v>
      </c>
      <c r="B1626" s="216" t="s">
        <v>4617</v>
      </c>
      <c r="C1626" s="216" t="s">
        <v>4108</v>
      </c>
      <c r="D1626" s="217">
        <v>45774.49637731481</v>
      </c>
      <c r="E1626" s="217">
        <v>45774.56959490741</v>
      </c>
      <c r="F1626" s="218" t="s">
        <v>380</v>
      </c>
      <c r="G1626" s="219" t="s">
        <v>2390</v>
      </c>
      <c r="H1626" s="216" t="s">
        <v>398</v>
      </c>
      <c r="I1626" s="216" t="s">
        <v>1673</v>
      </c>
    </row>
    <row r="1627">
      <c r="A1627" s="216" t="s">
        <v>4619</v>
      </c>
      <c r="B1627" s="216" t="s">
        <v>4617</v>
      </c>
      <c r="C1627" s="216" t="s">
        <v>4108</v>
      </c>
      <c r="D1627" s="217">
        <v>45759.87310185185</v>
      </c>
      <c r="E1627" s="217">
        <v>45760.43766203704</v>
      </c>
      <c r="F1627" s="218" t="s">
        <v>339</v>
      </c>
      <c r="G1627" s="219" t="s">
        <v>996</v>
      </c>
      <c r="H1627" s="216" t="s">
        <v>398</v>
      </c>
      <c r="I1627" s="216" t="s">
        <v>1673</v>
      </c>
    </row>
    <row r="1628">
      <c r="A1628" s="216" t="s">
        <v>4620</v>
      </c>
      <c r="B1628" s="216" t="s">
        <v>4621</v>
      </c>
      <c r="C1628" s="216" t="s">
        <v>4622</v>
      </c>
      <c r="D1628" s="217">
        <v>45478.713692129626</v>
      </c>
      <c r="E1628" s="217"/>
      <c r="F1628" s="218" t="s">
        <v>431</v>
      </c>
      <c r="G1628" s="219" t="s">
        <v>720</v>
      </c>
      <c r="H1628" s="216" t="s">
        <v>265</v>
      </c>
      <c r="I1628" s="216" t="s">
        <v>449</v>
      </c>
    </row>
    <row r="1629">
      <c r="A1629" s="212" t="s">
        <v>4623</v>
      </c>
      <c r="B1629" s="212" t="s">
        <v>4621</v>
      </c>
      <c r="C1629" s="212" t="s">
        <v>4624</v>
      </c>
      <c r="D1629" s="213">
        <v>45470.85743055555</v>
      </c>
      <c r="E1629" s="213"/>
      <c r="F1629" s="214" t="s">
        <v>706</v>
      </c>
      <c r="G1629" s="215" t="s">
        <v>4625</v>
      </c>
      <c r="H1629" s="212" t="s">
        <v>754</v>
      </c>
      <c r="I1629" s="212" t="s">
        <v>449</v>
      </c>
    </row>
    <row r="1630">
      <c r="A1630" s="216" t="s">
        <v>4626</v>
      </c>
      <c r="B1630" s="216" t="s">
        <v>4621</v>
      </c>
      <c r="C1630" s="216" t="s">
        <v>4627</v>
      </c>
      <c r="D1630" s="217">
        <v>45470.856782407405</v>
      </c>
      <c r="E1630" s="217"/>
      <c r="F1630" s="218" t="s">
        <v>698</v>
      </c>
      <c r="G1630" s="219" t="s">
        <v>4628</v>
      </c>
      <c r="H1630" s="216" t="s">
        <v>265</v>
      </c>
      <c r="I1630" s="216" t="s">
        <v>449</v>
      </c>
    </row>
    <row r="1631">
      <c r="A1631" s="212" t="s">
        <v>4629</v>
      </c>
      <c r="B1631" s="212" t="s">
        <v>4621</v>
      </c>
      <c r="C1631" s="212" t="s">
        <v>4622</v>
      </c>
      <c r="D1631" s="213">
        <v>45470.854895833334</v>
      </c>
      <c r="E1631" s="213"/>
      <c r="F1631" s="214" t="s">
        <v>706</v>
      </c>
      <c r="G1631" s="215" t="s">
        <v>4630</v>
      </c>
      <c r="H1631" s="212" t="s">
        <v>265</v>
      </c>
      <c r="I1631" s="212" t="s">
        <v>449</v>
      </c>
    </row>
    <row r="1632">
      <c r="A1632" s="216" t="s">
        <v>4631</v>
      </c>
      <c r="B1632" s="216" t="s">
        <v>4621</v>
      </c>
      <c r="C1632" s="216" t="s">
        <v>4622</v>
      </c>
      <c r="D1632" s="217">
        <v>45464.88459490741</v>
      </c>
      <c r="E1632" s="217"/>
      <c r="F1632" s="218" t="s">
        <v>722</v>
      </c>
      <c r="G1632" s="219" t="s">
        <v>4632</v>
      </c>
      <c r="H1632" s="216" t="s">
        <v>265</v>
      </c>
      <c r="I1632" s="216" t="s">
        <v>449</v>
      </c>
    </row>
    <row r="1633">
      <c r="A1633" s="212" t="s">
        <v>4633</v>
      </c>
      <c r="B1633" s="212" t="s">
        <v>4621</v>
      </c>
      <c r="C1633" s="212" t="s">
        <v>4627</v>
      </c>
      <c r="D1633" s="213">
        <v>45464.88355324074</v>
      </c>
      <c r="E1633" s="213"/>
      <c r="F1633" s="214" t="s">
        <v>706</v>
      </c>
      <c r="G1633" s="215" t="s">
        <v>4634</v>
      </c>
      <c r="H1633" s="212" t="s">
        <v>265</v>
      </c>
      <c r="I1633" s="212" t="s">
        <v>449</v>
      </c>
    </row>
    <row r="1634">
      <c r="A1634" s="216" t="s">
        <v>4635</v>
      </c>
      <c r="B1634" s="216" t="s">
        <v>4621</v>
      </c>
      <c r="C1634" s="216" t="s">
        <v>4624</v>
      </c>
      <c r="D1634" s="217">
        <v>45464.88255787037</v>
      </c>
      <c r="E1634" s="217"/>
      <c r="F1634" s="218" t="s">
        <v>706</v>
      </c>
      <c r="G1634" s="219" t="s">
        <v>4634</v>
      </c>
      <c r="H1634" s="216" t="s">
        <v>754</v>
      </c>
      <c r="I1634" s="216" t="s">
        <v>449</v>
      </c>
    </row>
    <row r="1635">
      <c r="A1635" s="216" t="s">
        <v>4636</v>
      </c>
      <c r="B1635" s="216" t="s">
        <v>4621</v>
      </c>
      <c r="C1635" s="216" t="s">
        <v>4622</v>
      </c>
      <c r="D1635" s="217">
        <v>45456.906747685185</v>
      </c>
      <c r="E1635" s="217">
        <v>45457.43412037037</v>
      </c>
      <c r="F1635" s="218" t="s">
        <v>645</v>
      </c>
      <c r="G1635" s="219" t="s">
        <v>4637</v>
      </c>
      <c r="H1635" s="216" t="s">
        <v>265</v>
      </c>
      <c r="I1635" s="216" t="s">
        <v>449</v>
      </c>
    </row>
    <row r="1636">
      <c r="A1636" s="212" t="s">
        <v>4638</v>
      </c>
      <c r="B1636" s="212" t="s">
        <v>4621</v>
      </c>
      <c r="C1636" s="212" t="s">
        <v>4627</v>
      </c>
      <c r="D1636" s="213">
        <v>45456.9053587963</v>
      </c>
      <c r="E1636" s="213">
        <v>45460.51068287037</v>
      </c>
      <c r="F1636" s="214" t="s">
        <v>431</v>
      </c>
      <c r="G1636" s="215" t="s">
        <v>4639</v>
      </c>
      <c r="H1636" s="212" t="s">
        <v>265</v>
      </c>
      <c r="I1636" s="212" t="s">
        <v>449</v>
      </c>
    </row>
    <row r="1637">
      <c r="A1637" s="216" t="s">
        <v>4640</v>
      </c>
      <c r="B1637" s="216" t="s">
        <v>4621</v>
      </c>
      <c r="C1637" s="216" t="s">
        <v>4624</v>
      </c>
      <c r="D1637" s="217">
        <v>45456.90482638889</v>
      </c>
      <c r="E1637" s="217">
        <v>45457.39939814815</v>
      </c>
      <c r="F1637" s="218" t="s">
        <v>706</v>
      </c>
      <c r="G1637" s="219" t="s">
        <v>4641</v>
      </c>
      <c r="H1637" s="216" t="s">
        <v>754</v>
      </c>
      <c r="I1637" s="216" t="s">
        <v>449</v>
      </c>
    </row>
    <row r="1638">
      <c r="A1638" s="212" t="s">
        <v>4642</v>
      </c>
      <c r="B1638" s="212" t="s">
        <v>4621</v>
      </c>
      <c r="C1638" s="212" t="s">
        <v>4622</v>
      </c>
      <c r="D1638" s="213">
        <v>45434.83138888889</v>
      </c>
      <c r="E1638" s="213">
        <v>45435.51392361111</v>
      </c>
      <c r="F1638" s="214" t="s">
        <v>431</v>
      </c>
      <c r="G1638" s="215" t="s">
        <v>4643</v>
      </c>
      <c r="H1638" s="212" t="s">
        <v>265</v>
      </c>
      <c r="I1638" s="212" t="s">
        <v>449</v>
      </c>
    </row>
    <row r="1639">
      <c r="A1639" s="216" t="s">
        <v>4644</v>
      </c>
      <c r="B1639" s="216" t="s">
        <v>4645</v>
      </c>
      <c r="C1639" s="216" t="s">
        <v>4646</v>
      </c>
      <c r="D1639" s="217">
        <v>45457.690416666665</v>
      </c>
      <c r="E1639" s="217">
        <v>45458.253587962965</v>
      </c>
      <c r="F1639" s="218" t="s">
        <v>435</v>
      </c>
      <c r="G1639" s="219" t="s">
        <v>4647</v>
      </c>
      <c r="H1639" s="216" t="s">
        <v>259</v>
      </c>
      <c r="I1639" s="216" t="s">
        <v>260</v>
      </c>
    </row>
    <row r="1640">
      <c r="A1640" s="212" t="s">
        <v>4648</v>
      </c>
      <c r="B1640" s="212" t="s">
        <v>4645</v>
      </c>
      <c r="C1640" s="212" t="s">
        <v>4649</v>
      </c>
      <c r="D1640" s="213">
        <v>45431.57166666666</v>
      </c>
      <c r="E1640" s="213">
        <v>45433.26392361111</v>
      </c>
      <c r="F1640" s="214" t="s">
        <v>281</v>
      </c>
      <c r="G1640" s="215" t="s">
        <v>4650</v>
      </c>
      <c r="H1640" s="212" t="s">
        <v>259</v>
      </c>
      <c r="I1640" s="212" t="s">
        <v>260</v>
      </c>
    </row>
    <row r="1641">
      <c r="A1641" s="216" t="s">
        <v>4651</v>
      </c>
      <c r="B1641" s="216" t="s">
        <v>4652</v>
      </c>
      <c r="C1641" s="216" t="s">
        <v>4653</v>
      </c>
      <c r="D1641" s="217">
        <v>45712.89778935185</v>
      </c>
      <c r="E1641" s="224"/>
      <c r="F1641" s="218" t="s">
        <v>391</v>
      </c>
      <c r="G1641" s="219" t="s">
        <v>485</v>
      </c>
      <c r="H1641" s="216" t="s">
        <v>356</v>
      </c>
      <c r="I1641" s="216" t="s">
        <v>2160</v>
      </c>
    </row>
    <row r="1642">
      <c r="A1642" s="216" t="s">
        <v>4654</v>
      </c>
      <c r="B1642" s="216" t="s">
        <v>4655</v>
      </c>
      <c r="C1642" s="216" t="s">
        <v>4656</v>
      </c>
      <c r="D1642" s="217">
        <v>45482.74186342592</v>
      </c>
      <c r="E1642" s="217"/>
      <c r="F1642" s="218" t="s">
        <v>281</v>
      </c>
      <c r="G1642" s="219" t="s">
        <v>4657</v>
      </c>
      <c r="H1642" s="216" t="s">
        <v>265</v>
      </c>
      <c r="I1642" s="216" t="s">
        <v>640</v>
      </c>
    </row>
    <row r="1643">
      <c r="A1643" s="216" t="s">
        <v>4658</v>
      </c>
      <c r="B1643" s="216" t="s">
        <v>4659</v>
      </c>
      <c r="C1643" s="216" t="s">
        <v>2701</v>
      </c>
      <c r="D1643" s="217">
        <v>45553.85372685185</v>
      </c>
      <c r="E1643" s="217"/>
      <c r="F1643" s="218" t="s">
        <v>730</v>
      </c>
      <c r="G1643" s="219" t="s">
        <v>4660</v>
      </c>
      <c r="H1643" s="216" t="s">
        <v>632</v>
      </c>
      <c r="I1643" s="216" t="s">
        <v>2342</v>
      </c>
    </row>
    <row r="1644">
      <c r="A1644" s="212" t="s">
        <v>4661</v>
      </c>
      <c r="B1644" s="212" t="s">
        <v>4659</v>
      </c>
      <c r="C1644" s="212" t="s">
        <v>2701</v>
      </c>
      <c r="D1644" s="213">
        <v>45533.6006712963</v>
      </c>
      <c r="E1644" s="213"/>
      <c r="F1644" s="214" t="s">
        <v>730</v>
      </c>
      <c r="G1644" s="215" t="s">
        <v>4662</v>
      </c>
      <c r="H1644" s="212" t="s">
        <v>632</v>
      </c>
      <c r="I1644" s="212" t="s">
        <v>2342</v>
      </c>
    </row>
    <row r="1645">
      <c r="A1645" s="212" t="s">
        <v>4663</v>
      </c>
      <c r="B1645" s="212" t="s">
        <v>4659</v>
      </c>
      <c r="C1645" s="212" t="s">
        <v>2701</v>
      </c>
      <c r="D1645" s="213">
        <v>45746.775300925925</v>
      </c>
      <c r="E1645" s="213">
        <v>45746.78822916667</v>
      </c>
      <c r="F1645" s="214" t="s">
        <v>281</v>
      </c>
      <c r="G1645" s="215" t="s">
        <v>3025</v>
      </c>
      <c r="H1645" s="212" t="s">
        <v>632</v>
      </c>
      <c r="I1645" s="212" t="s">
        <v>2342</v>
      </c>
    </row>
    <row r="1646">
      <c r="A1646" s="216" t="s">
        <v>4664</v>
      </c>
      <c r="B1646" s="216" t="s">
        <v>4659</v>
      </c>
      <c r="C1646" s="216" t="s">
        <v>2701</v>
      </c>
      <c r="D1646" s="217">
        <v>45737.599375</v>
      </c>
      <c r="E1646" s="217">
        <v>45737.611180555556</v>
      </c>
      <c r="F1646" s="218" t="s">
        <v>291</v>
      </c>
      <c r="G1646" s="219" t="s">
        <v>1415</v>
      </c>
      <c r="H1646" s="216" t="s">
        <v>632</v>
      </c>
      <c r="I1646" s="216" t="s">
        <v>2342</v>
      </c>
    </row>
    <row r="1647">
      <c r="A1647" s="216" t="s">
        <v>4665</v>
      </c>
      <c r="B1647" s="216" t="s">
        <v>4659</v>
      </c>
      <c r="C1647" s="216" t="s">
        <v>2701</v>
      </c>
      <c r="D1647" s="217">
        <v>45774.76572916667</v>
      </c>
      <c r="E1647" s="217">
        <v>45774.77787037037</v>
      </c>
      <c r="F1647" s="218" t="s">
        <v>730</v>
      </c>
      <c r="G1647" s="219" t="s">
        <v>4666</v>
      </c>
      <c r="H1647" s="216" t="s">
        <v>632</v>
      </c>
      <c r="I1647" s="216" t="s">
        <v>2342</v>
      </c>
    </row>
    <row r="1648">
      <c r="A1648" s="212" t="s">
        <v>4667</v>
      </c>
      <c r="B1648" s="212" t="s">
        <v>4668</v>
      </c>
      <c r="C1648" s="212" t="s">
        <v>4669</v>
      </c>
      <c r="D1648" s="213">
        <v>45548.56182870371</v>
      </c>
      <c r="E1648" s="213"/>
      <c r="F1648" s="214" t="s">
        <v>503</v>
      </c>
      <c r="G1648" s="215" t="s">
        <v>4670</v>
      </c>
      <c r="H1648" s="212" t="s">
        <v>259</v>
      </c>
      <c r="I1648" s="212" t="s">
        <v>549</v>
      </c>
    </row>
    <row r="1649">
      <c r="A1649" s="216" t="s">
        <v>4671</v>
      </c>
      <c r="B1649" s="216" t="s">
        <v>4668</v>
      </c>
      <c r="C1649" s="216" t="s">
        <v>4672</v>
      </c>
      <c r="D1649" s="217">
        <v>45543.771782407406</v>
      </c>
      <c r="E1649" s="217"/>
      <c r="F1649" s="218" t="s">
        <v>431</v>
      </c>
      <c r="G1649" s="219" t="s">
        <v>1973</v>
      </c>
      <c r="H1649" s="216" t="s">
        <v>259</v>
      </c>
      <c r="I1649" s="216" t="s">
        <v>578</v>
      </c>
    </row>
    <row r="1650">
      <c r="A1650" s="212" t="s">
        <v>4673</v>
      </c>
      <c r="B1650" s="212" t="s">
        <v>4668</v>
      </c>
      <c r="C1650" s="212" t="s">
        <v>4674</v>
      </c>
      <c r="D1650" s="213">
        <v>45543.770520833335</v>
      </c>
      <c r="E1650" s="213"/>
      <c r="F1650" s="214" t="s">
        <v>435</v>
      </c>
      <c r="G1650" s="215" t="s">
        <v>3188</v>
      </c>
      <c r="H1650" s="212" t="s">
        <v>293</v>
      </c>
      <c r="I1650" s="212" t="s">
        <v>549</v>
      </c>
    </row>
    <row r="1651">
      <c r="A1651" s="216" t="s">
        <v>4675</v>
      </c>
      <c r="B1651" s="216" t="s">
        <v>4668</v>
      </c>
      <c r="C1651" s="216" t="s">
        <v>4674</v>
      </c>
      <c r="D1651" s="217">
        <v>45535.724074074074</v>
      </c>
      <c r="E1651" s="217"/>
      <c r="F1651" s="218" t="s">
        <v>435</v>
      </c>
      <c r="G1651" s="219" t="s">
        <v>4676</v>
      </c>
      <c r="H1651" s="216" t="s">
        <v>293</v>
      </c>
      <c r="I1651" s="216" t="s">
        <v>549</v>
      </c>
    </row>
    <row r="1652">
      <c r="A1652" s="212" t="s">
        <v>4677</v>
      </c>
      <c r="B1652" s="212" t="s">
        <v>4668</v>
      </c>
      <c r="C1652" s="212" t="s">
        <v>4669</v>
      </c>
      <c r="D1652" s="213">
        <v>45516.53061342592</v>
      </c>
      <c r="E1652" s="213"/>
      <c r="F1652" s="214" t="s">
        <v>503</v>
      </c>
      <c r="G1652" s="215" t="s">
        <v>4678</v>
      </c>
      <c r="H1652" s="212" t="s">
        <v>259</v>
      </c>
      <c r="I1652" s="212" t="s">
        <v>549</v>
      </c>
    </row>
    <row r="1653">
      <c r="A1653" s="212" t="s">
        <v>4679</v>
      </c>
      <c r="B1653" s="212" t="s">
        <v>4668</v>
      </c>
      <c r="C1653" s="212" t="s">
        <v>4669</v>
      </c>
      <c r="D1653" s="213">
        <v>45506.57335648148</v>
      </c>
      <c r="E1653" s="213"/>
      <c r="F1653" s="214" t="s">
        <v>1553</v>
      </c>
      <c r="G1653" s="215" t="s">
        <v>4680</v>
      </c>
      <c r="H1653" s="212" t="s">
        <v>259</v>
      </c>
      <c r="I1653" s="212" t="s">
        <v>549</v>
      </c>
    </row>
    <row r="1654">
      <c r="A1654" s="212" t="s">
        <v>4681</v>
      </c>
      <c r="B1654" s="212" t="s">
        <v>4668</v>
      </c>
      <c r="C1654" s="212" t="s">
        <v>4669</v>
      </c>
      <c r="D1654" s="213">
        <v>45499.41957175926</v>
      </c>
      <c r="E1654" s="213"/>
      <c r="F1654" s="214" t="s">
        <v>503</v>
      </c>
      <c r="G1654" s="215" t="s">
        <v>4682</v>
      </c>
      <c r="H1654" s="212" t="s">
        <v>259</v>
      </c>
      <c r="I1654" s="212" t="s">
        <v>549</v>
      </c>
    </row>
    <row r="1655">
      <c r="A1655" s="212" t="s">
        <v>4683</v>
      </c>
      <c r="B1655" s="212" t="s">
        <v>4668</v>
      </c>
      <c r="C1655" s="212" t="s">
        <v>4669</v>
      </c>
      <c r="D1655" s="213">
        <v>45483.51797453704</v>
      </c>
      <c r="E1655" s="213"/>
      <c r="F1655" s="214" t="s">
        <v>503</v>
      </c>
      <c r="G1655" s="215" t="s">
        <v>4684</v>
      </c>
      <c r="H1655" s="212" t="s">
        <v>259</v>
      </c>
      <c r="I1655" s="212" t="s">
        <v>549</v>
      </c>
    </row>
    <row r="1656">
      <c r="A1656" s="212" t="s">
        <v>4683</v>
      </c>
      <c r="B1656" s="212" t="s">
        <v>4668</v>
      </c>
      <c r="C1656" s="212" t="s">
        <v>4669</v>
      </c>
      <c r="D1656" s="213">
        <v>45483.51797453704</v>
      </c>
      <c r="E1656" s="213"/>
      <c r="F1656" s="214" t="s">
        <v>503</v>
      </c>
      <c r="G1656" s="215" t="s">
        <v>4684</v>
      </c>
      <c r="H1656" s="212" t="s">
        <v>259</v>
      </c>
      <c r="I1656" s="212" t="s">
        <v>549</v>
      </c>
    </row>
    <row r="1657">
      <c r="A1657" s="216" t="s">
        <v>4685</v>
      </c>
      <c r="B1657" s="216" t="s">
        <v>4668</v>
      </c>
      <c r="C1657" s="216" t="s">
        <v>4686</v>
      </c>
      <c r="D1657" s="217">
        <v>45470.88394675926</v>
      </c>
      <c r="E1657" s="217"/>
      <c r="F1657" s="218" t="s">
        <v>542</v>
      </c>
      <c r="G1657" s="219" t="s">
        <v>4687</v>
      </c>
      <c r="H1657" s="216" t="s">
        <v>265</v>
      </c>
      <c r="I1657" s="216" t="s">
        <v>578</v>
      </c>
    </row>
    <row r="1658">
      <c r="A1658" s="216" t="s">
        <v>4688</v>
      </c>
      <c r="B1658" s="216" t="s">
        <v>4668</v>
      </c>
      <c r="C1658" s="216" t="s">
        <v>4669</v>
      </c>
      <c r="D1658" s="217">
        <v>45469.42628472222</v>
      </c>
      <c r="E1658" s="217"/>
      <c r="F1658" s="218" t="s">
        <v>538</v>
      </c>
      <c r="G1658" s="219" t="s">
        <v>2672</v>
      </c>
      <c r="H1658" s="216" t="s">
        <v>259</v>
      </c>
      <c r="I1658" s="216" t="s">
        <v>549</v>
      </c>
    </row>
    <row r="1659">
      <c r="A1659" s="212" t="s">
        <v>4689</v>
      </c>
      <c r="B1659" s="212" t="s">
        <v>4668</v>
      </c>
      <c r="C1659" s="212" t="s">
        <v>4672</v>
      </c>
      <c r="D1659" s="213">
        <v>45458.745833333334</v>
      </c>
      <c r="E1659" s="213">
        <v>45458.70490740741</v>
      </c>
      <c r="F1659" s="214" t="s">
        <v>431</v>
      </c>
      <c r="G1659" s="215" t="s">
        <v>4690</v>
      </c>
      <c r="H1659" s="212" t="s">
        <v>535</v>
      </c>
      <c r="I1659" s="212" t="s">
        <v>578</v>
      </c>
    </row>
    <row r="1660">
      <c r="A1660" s="216" t="s">
        <v>4691</v>
      </c>
      <c r="B1660" s="216" t="s">
        <v>4668</v>
      </c>
      <c r="C1660" s="216" t="s">
        <v>4669</v>
      </c>
      <c r="D1660" s="217">
        <v>45442.44541666667</v>
      </c>
      <c r="E1660" s="217">
        <v>45442.24658564815</v>
      </c>
      <c r="F1660" s="218" t="s">
        <v>503</v>
      </c>
      <c r="G1660" s="219" t="s">
        <v>4692</v>
      </c>
      <c r="H1660" s="216" t="s">
        <v>259</v>
      </c>
      <c r="I1660" s="216" t="s">
        <v>549</v>
      </c>
    </row>
    <row r="1661">
      <c r="A1661" s="216" t="s">
        <v>4693</v>
      </c>
      <c r="B1661" s="216" t="s">
        <v>4668</v>
      </c>
      <c r="C1661" s="216" t="s">
        <v>559</v>
      </c>
      <c r="D1661" s="217">
        <v>45441.58016203704</v>
      </c>
      <c r="E1661" s="217">
        <v>45441.642384259256</v>
      </c>
      <c r="F1661" s="218" t="s">
        <v>503</v>
      </c>
      <c r="G1661" s="219" t="s">
        <v>4694</v>
      </c>
      <c r="H1661" s="216" t="s">
        <v>259</v>
      </c>
      <c r="I1661" s="216" t="s">
        <v>399</v>
      </c>
    </row>
    <row r="1662">
      <c r="A1662" s="212" t="s">
        <v>4695</v>
      </c>
      <c r="B1662" s="212" t="s">
        <v>4668</v>
      </c>
      <c r="C1662" s="212" t="s">
        <v>4669</v>
      </c>
      <c r="D1662" s="213">
        <v>45710.780810185184</v>
      </c>
      <c r="E1662" s="213">
        <v>45710.79174768519</v>
      </c>
      <c r="F1662" s="214" t="s">
        <v>538</v>
      </c>
      <c r="G1662" s="215" t="s">
        <v>3294</v>
      </c>
      <c r="H1662" s="212" t="s">
        <v>259</v>
      </c>
      <c r="I1662" s="212" t="s">
        <v>549</v>
      </c>
    </row>
    <row r="1663">
      <c r="A1663" s="216" t="s">
        <v>4696</v>
      </c>
      <c r="B1663" s="216" t="s">
        <v>4697</v>
      </c>
      <c r="C1663" s="216" t="s">
        <v>4698</v>
      </c>
      <c r="D1663" s="217">
        <v>45473.60532407407</v>
      </c>
      <c r="E1663" s="217"/>
      <c r="F1663" s="218" t="s">
        <v>1553</v>
      </c>
      <c r="G1663" s="219" t="s">
        <v>4699</v>
      </c>
      <c r="H1663" s="216" t="s">
        <v>259</v>
      </c>
      <c r="I1663" s="216" t="s">
        <v>781</v>
      </c>
    </row>
    <row r="1664">
      <c r="A1664" s="216" t="s">
        <v>4700</v>
      </c>
      <c r="B1664" s="216" t="s">
        <v>4701</v>
      </c>
      <c r="C1664" s="216" t="s">
        <v>4702</v>
      </c>
      <c r="D1664" s="217">
        <v>45745.45128472222</v>
      </c>
      <c r="E1664" s="217">
        <v>45745.68415509259</v>
      </c>
      <c r="F1664" s="218" t="s">
        <v>580</v>
      </c>
      <c r="G1664" s="219" t="s">
        <v>4703</v>
      </c>
      <c r="H1664" s="216" t="s">
        <v>259</v>
      </c>
      <c r="I1664" s="216" t="s">
        <v>467</v>
      </c>
    </row>
    <row r="1665">
      <c r="A1665" s="216" t="s">
        <v>4704</v>
      </c>
      <c r="B1665" s="216" t="s">
        <v>4705</v>
      </c>
      <c r="C1665" s="216" t="s">
        <v>4706</v>
      </c>
      <c r="D1665" s="217">
        <v>45737.75369212963</v>
      </c>
      <c r="E1665" s="217">
        <v>45738.59038194444</v>
      </c>
      <c r="F1665" s="218" t="s">
        <v>503</v>
      </c>
      <c r="G1665" s="219" t="s">
        <v>2883</v>
      </c>
      <c r="H1665" s="216" t="s">
        <v>259</v>
      </c>
      <c r="I1665" s="216" t="s">
        <v>1673</v>
      </c>
    </row>
    <row r="1666">
      <c r="A1666" s="216" t="s">
        <v>4707</v>
      </c>
      <c r="B1666" s="216" t="s">
        <v>4708</v>
      </c>
      <c r="C1666" s="216" t="s">
        <v>4709</v>
      </c>
      <c r="D1666" s="217">
        <v>45777.8434375</v>
      </c>
      <c r="E1666" s="217">
        <v>45779.701469907406</v>
      </c>
      <c r="F1666" s="218" t="s">
        <v>4710</v>
      </c>
      <c r="G1666" s="219" t="s">
        <v>4711</v>
      </c>
      <c r="H1666" s="216" t="s">
        <v>472</v>
      </c>
      <c r="I1666" s="216" t="s">
        <v>626</v>
      </c>
    </row>
    <row r="1667">
      <c r="A1667" s="216" t="s">
        <v>4712</v>
      </c>
      <c r="B1667" s="216" t="s">
        <v>4713</v>
      </c>
      <c r="C1667" s="216" t="s">
        <v>4714</v>
      </c>
      <c r="D1667" s="217">
        <v>45520.69105324074</v>
      </c>
      <c r="E1667" s="217"/>
      <c r="F1667" s="218" t="s">
        <v>281</v>
      </c>
      <c r="G1667" s="219" t="s">
        <v>3021</v>
      </c>
      <c r="H1667" s="216" t="s">
        <v>293</v>
      </c>
      <c r="I1667" s="216" t="s">
        <v>4715</v>
      </c>
    </row>
    <row r="1668">
      <c r="A1668" s="216" t="s">
        <v>4716</v>
      </c>
      <c r="B1668" s="216" t="s">
        <v>4717</v>
      </c>
      <c r="C1668" s="216" t="s">
        <v>4718</v>
      </c>
      <c r="D1668" s="217">
        <v>45548.86314814815</v>
      </c>
      <c r="E1668" s="217"/>
      <c r="F1668" s="218" t="s">
        <v>250</v>
      </c>
      <c r="G1668" s="219" t="s">
        <v>548</v>
      </c>
      <c r="H1668" s="216" t="s">
        <v>259</v>
      </c>
      <c r="I1668" s="216" t="s">
        <v>461</v>
      </c>
    </row>
    <row r="1669">
      <c r="A1669" s="216" t="s">
        <v>4719</v>
      </c>
      <c r="B1669" s="216" t="s">
        <v>4717</v>
      </c>
      <c r="C1669" s="216" t="s">
        <v>4718</v>
      </c>
      <c r="D1669" s="217">
        <v>45527.861759259256</v>
      </c>
      <c r="E1669" s="217"/>
      <c r="F1669" s="218" t="s">
        <v>503</v>
      </c>
      <c r="G1669" s="219" t="s">
        <v>1718</v>
      </c>
      <c r="H1669" s="216" t="s">
        <v>259</v>
      </c>
      <c r="I1669" s="216" t="s">
        <v>461</v>
      </c>
    </row>
    <row r="1670">
      <c r="A1670" s="212" t="s">
        <v>4720</v>
      </c>
      <c r="B1670" s="212" t="s">
        <v>4717</v>
      </c>
      <c r="C1670" s="212" t="s">
        <v>4718</v>
      </c>
      <c r="D1670" s="213">
        <v>45492.901412037034</v>
      </c>
      <c r="E1670" s="213"/>
      <c r="F1670" s="214" t="s">
        <v>470</v>
      </c>
      <c r="G1670" s="215" t="s">
        <v>4528</v>
      </c>
      <c r="H1670" s="212" t="s">
        <v>259</v>
      </c>
      <c r="I1670" s="212" t="s">
        <v>461</v>
      </c>
    </row>
    <row r="1671">
      <c r="A1671" s="216" t="s">
        <v>4720</v>
      </c>
      <c r="B1671" s="216" t="s">
        <v>4717</v>
      </c>
      <c r="C1671" s="216" t="s">
        <v>4718</v>
      </c>
      <c r="D1671" s="217">
        <v>45492.901412037034</v>
      </c>
      <c r="E1671" s="217"/>
      <c r="F1671" s="218" t="s">
        <v>470</v>
      </c>
      <c r="G1671" s="219" t="s">
        <v>4528</v>
      </c>
      <c r="H1671" s="216" t="s">
        <v>259</v>
      </c>
      <c r="I1671" s="216" t="s">
        <v>461</v>
      </c>
    </row>
    <row r="1672">
      <c r="A1672" s="216" t="s">
        <v>4720</v>
      </c>
      <c r="B1672" s="216" t="s">
        <v>4717</v>
      </c>
      <c r="C1672" s="216" t="s">
        <v>4718</v>
      </c>
      <c r="D1672" s="217">
        <v>45492.901412037034</v>
      </c>
      <c r="E1672" s="217"/>
      <c r="F1672" s="218" t="s">
        <v>470</v>
      </c>
      <c r="G1672" s="219" t="s">
        <v>4528</v>
      </c>
      <c r="H1672" s="216" t="s">
        <v>259</v>
      </c>
      <c r="I1672" s="216" t="s">
        <v>461</v>
      </c>
    </row>
    <row r="1673">
      <c r="A1673" s="216" t="s">
        <v>4721</v>
      </c>
      <c r="B1673" s="216" t="s">
        <v>4717</v>
      </c>
      <c r="C1673" s="216" t="s">
        <v>4718</v>
      </c>
      <c r="D1673" s="217">
        <v>45478.92796296296</v>
      </c>
      <c r="E1673" s="217"/>
      <c r="F1673" s="218" t="s">
        <v>538</v>
      </c>
      <c r="G1673" s="219" t="s">
        <v>2672</v>
      </c>
      <c r="H1673" s="216" t="s">
        <v>259</v>
      </c>
      <c r="I1673" s="216" t="s">
        <v>461</v>
      </c>
    </row>
    <row r="1674">
      <c r="A1674" s="212" t="s">
        <v>4722</v>
      </c>
      <c r="B1674" s="212" t="s">
        <v>4717</v>
      </c>
      <c r="C1674" s="212" t="s">
        <v>4718</v>
      </c>
      <c r="D1674" s="213">
        <v>45703.800208333334</v>
      </c>
      <c r="E1674" s="213">
        <v>45703.80912037037</v>
      </c>
      <c r="F1674" s="214" t="s">
        <v>2920</v>
      </c>
      <c r="G1674" s="215" t="s">
        <v>4723</v>
      </c>
      <c r="H1674" s="212" t="s">
        <v>259</v>
      </c>
      <c r="I1674" s="212" t="s">
        <v>461</v>
      </c>
    </row>
    <row r="1675">
      <c r="A1675" s="212" t="s">
        <v>4724</v>
      </c>
      <c r="B1675" s="212" t="s">
        <v>4717</v>
      </c>
      <c r="C1675" s="212" t="s">
        <v>4718</v>
      </c>
      <c r="D1675" s="213">
        <v>45737.84877314815</v>
      </c>
      <c r="E1675" s="213">
        <v>45737.85773148148</v>
      </c>
      <c r="F1675" s="214" t="s">
        <v>470</v>
      </c>
      <c r="G1675" s="215" t="s">
        <v>587</v>
      </c>
      <c r="H1675" s="212" t="s">
        <v>259</v>
      </c>
      <c r="I1675" s="212" t="s">
        <v>461</v>
      </c>
    </row>
    <row r="1676">
      <c r="A1676" s="212" t="s">
        <v>4725</v>
      </c>
      <c r="B1676" s="212" t="s">
        <v>4717</v>
      </c>
      <c r="C1676" s="212" t="s">
        <v>4718</v>
      </c>
      <c r="D1676" s="213">
        <v>45760.581655092596</v>
      </c>
      <c r="E1676" s="213">
        <v>45760.59042824074</v>
      </c>
      <c r="F1676" s="214" t="s">
        <v>470</v>
      </c>
      <c r="G1676" s="215" t="s">
        <v>790</v>
      </c>
      <c r="H1676" s="212" t="s">
        <v>259</v>
      </c>
      <c r="I1676" s="212" t="s">
        <v>461</v>
      </c>
    </row>
    <row r="1677">
      <c r="A1677" s="212" t="s">
        <v>4726</v>
      </c>
      <c r="B1677" s="212" t="s">
        <v>4727</v>
      </c>
      <c r="C1677" s="212" t="s">
        <v>4728</v>
      </c>
      <c r="D1677" s="213">
        <v>45509.83530092592</v>
      </c>
      <c r="E1677" s="213"/>
      <c r="F1677" s="214" t="s">
        <v>330</v>
      </c>
      <c r="G1677" s="215" t="s">
        <v>4729</v>
      </c>
      <c r="H1677" s="212" t="s">
        <v>416</v>
      </c>
      <c r="I1677" s="212" t="s">
        <v>3039</v>
      </c>
    </row>
    <row r="1678">
      <c r="A1678" s="212" t="s">
        <v>4730</v>
      </c>
      <c r="B1678" s="212" t="s">
        <v>4727</v>
      </c>
      <c r="C1678" s="212" t="s">
        <v>4728</v>
      </c>
      <c r="D1678" s="213">
        <v>45489.82273148148</v>
      </c>
      <c r="E1678" s="213"/>
      <c r="F1678" s="214" t="s">
        <v>431</v>
      </c>
      <c r="G1678" s="215" t="s">
        <v>4731</v>
      </c>
      <c r="H1678" s="212" t="s">
        <v>416</v>
      </c>
      <c r="I1678" s="212" t="s">
        <v>3039</v>
      </c>
    </row>
    <row r="1679">
      <c r="A1679" s="212" t="s">
        <v>4730</v>
      </c>
      <c r="B1679" s="212" t="s">
        <v>4727</v>
      </c>
      <c r="C1679" s="212" t="s">
        <v>4728</v>
      </c>
      <c r="D1679" s="213">
        <v>45489.82273148148</v>
      </c>
      <c r="E1679" s="213"/>
      <c r="F1679" s="214" t="s">
        <v>431</v>
      </c>
      <c r="G1679" s="215" t="s">
        <v>4731</v>
      </c>
      <c r="H1679" s="212" t="s">
        <v>416</v>
      </c>
      <c r="I1679" s="212" t="s">
        <v>3039</v>
      </c>
    </row>
    <row r="1680">
      <c r="A1680" s="216" t="s">
        <v>4732</v>
      </c>
      <c r="B1680" s="216" t="s">
        <v>4733</v>
      </c>
      <c r="C1680" s="216" t="s">
        <v>4734</v>
      </c>
      <c r="D1680" s="217">
        <v>45542.63402777778</v>
      </c>
      <c r="E1680" s="217"/>
      <c r="F1680" s="218" t="s">
        <v>431</v>
      </c>
      <c r="G1680" s="219" t="s">
        <v>1900</v>
      </c>
      <c r="H1680" s="216" t="s">
        <v>346</v>
      </c>
      <c r="I1680" s="216" t="s">
        <v>823</v>
      </c>
    </row>
    <row r="1681">
      <c r="A1681" s="212" t="s">
        <v>4735</v>
      </c>
      <c r="B1681" s="212" t="s">
        <v>4733</v>
      </c>
      <c r="C1681" s="212" t="s">
        <v>4736</v>
      </c>
      <c r="D1681" s="213">
        <v>45523.75052083333</v>
      </c>
      <c r="E1681" s="213"/>
      <c r="F1681" s="214" t="s">
        <v>431</v>
      </c>
      <c r="G1681" s="215" t="s">
        <v>1900</v>
      </c>
      <c r="H1681" s="212" t="s">
        <v>346</v>
      </c>
      <c r="I1681" s="212" t="s">
        <v>1932</v>
      </c>
    </row>
    <row r="1682">
      <c r="A1682" s="212" t="s">
        <v>4735</v>
      </c>
      <c r="B1682" s="212" t="s">
        <v>4733</v>
      </c>
      <c r="C1682" s="212" t="s">
        <v>4736</v>
      </c>
      <c r="D1682" s="213">
        <v>45523.75052083333</v>
      </c>
      <c r="E1682" s="213"/>
      <c r="F1682" s="214" t="s">
        <v>431</v>
      </c>
      <c r="G1682" s="215" t="s">
        <v>1900</v>
      </c>
      <c r="H1682" s="212" t="s">
        <v>346</v>
      </c>
      <c r="I1682" s="212" t="s">
        <v>1932</v>
      </c>
    </row>
    <row r="1683">
      <c r="A1683" s="212" t="s">
        <v>4737</v>
      </c>
      <c r="B1683" s="212" t="s">
        <v>4733</v>
      </c>
      <c r="C1683" s="212" t="s">
        <v>4734</v>
      </c>
      <c r="D1683" s="213">
        <v>45491.75959490741</v>
      </c>
      <c r="E1683" s="213"/>
      <c r="F1683" s="214" t="s">
        <v>503</v>
      </c>
      <c r="G1683" s="215" t="s">
        <v>4738</v>
      </c>
      <c r="H1683" s="212" t="s">
        <v>346</v>
      </c>
      <c r="I1683" s="212" t="s">
        <v>823</v>
      </c>
    </row>
    <row r="1684">
      <c r="A1684" s="212" t="s">
        <v>4739</v>
      </c>
      <c r="B1684" s="212" t="s">
        <v>4733</v>
      </c>
      <c r="C1684" s="212" t="s">
        <v>4740</v>
      </c>
      <c r="D1684" s="213">
        <v>45485.70700231481</v>
      </c>
      <c r="E1684" s="213"/>
      <c r="F1684" s="214" t="s">
        <v>380</v>
      </c>
      <c r="G1684" s="215" t="s">
        <v>4741</v>
      </c>
      <c r="H1684" s="212" t="s">
        <v>561</v>
      </c>
      <c r="I1684" s="212" t="s">
        <v>4742</v>
      </c>
    </row>
    <row r="1685">
      <c r="A1685" s="212" t="s">
        <v>4737</v>
      </c>
      <c r="B1685" s="212" t="s">
        <v>4733</v>
      </c>
      <c r="C1685" s="212" t="s">
        <v>4734</v>
      </c>
      <c r="D1685" s="213">
        <v>45491.75959490741</v>
      </c>
      <c r="E1685" s="213"/>
      <c r="F1685" s="214" t="s">
        <v>503</v>
      </c>
      <c r="G1685" s="215" t="s">
        <v>4738</v>
      </c>
      <c r="H1685" s="212" t="s">
        <v>346</v>
      </c>
      <c r="I1685" s="212" t="s">
        <v>823</v>
      </c>
    </row>
    <row r="1686">
      <c r="A1686" s="212" t="s">
        <v>4739</v>
      </c>
      <c r="B1686" s="212" t="s">
        <v>4733</v>
      </c>
      <c r="C1686" s="212" t="s">
        <v>4740</v>
      </c>
      <c r="D1686" s="213">
        <v>45485.70700231481</v>
      </c>
      <c r="E1686" s="213"/>
      <c r="F1686" s="214" t="s">
        <v>380</v>
      </c>
      <c r="G1686" s="215" t="s">
        <v>4741</v>
      </c>
      <c r="H1686" s="212" t="s">
        <v>561</v>
      </c>
      <c r="I1686" s="212" t="s">
        <v>4742</v>
      </c>
    </row>
    <row r="1687">
      <c r="A1687" s="212" t="s">
        <v>4743</v>
      </c>
      <c r="B1687" s="212" t="s">
        <v>4733</v>
      </c>
      <c r="C1687" s="212" t="s">
        <v>4744</v>
      </c>
      <c r="D1687" s="213">
        <v>45482.74513888889</v>
      </c>
      <c r="E1687" s="213"/>
      <c r="F1687" s="214" t="s">
        <v>470</v>
      </c>
      <c r="G1687" s="215" t="s">
        <v>4745</v>
      </c>
      <c r="H1687" s="212" t="s">
        <v>561</v>
      </c>
      <c r="I1687" s="212" t="s">
        <v>4742</v>
      </c>
    </row>
    <row r="1688">
      <c r="A1688" s="216" t="s">
        <v>4746</v>
      </c>
      <c r="B1688" s="216" t="s">
        <v>4747</v>
      </c>
      <c r="C1688" s="216" t="s">
        <v>4748</v>
      </c>
      <c r="D1688" s="217">
        <v>45715.79447916667</v>
      </c>
      <c r="E1688" s="217">
        <v>45716.52438657408</v>
      </c>
      <c r="F1688" s="218" t="s">
        <v>431</v>
      </c>
      <c r="G1688" s="219" t="s">
        <v>1444</v>
      </c>
      <c r="H1688" s="216" t="s">
        <v>259</v>
      </c>
      <c r="I1688" s="216" t="s">
        <v>467</v>
      </c>
    </row>
    <row r="1689">
      <c r="A1689" s="216" t="s">
        <v>4749</v>
      </c>
      <c r="B1689" s="216" t="s">
        <v>4747</v>
      </c>
      <c r="C1689" s="216" t="s">
        <v>4748</v>
      </c>
      <c r="D1689" s="217">
        <v>45712.86387731481</v>
      </c>
      <c r="E1689" s="217">
        <v>45713.45490740741</v>
      </c>
      <c r="F1689" s="218" t="s">
        <v>503</v>
      </c>
      <c r="G1689" s="219" t="s">
        <v>4750</v>
      </c>
      <c r="H1689" s="216" t="s">
        <v>259</v>
      </c>
      <c r="I1689" s="216" t="s">
        <v>467</v>
      </c>
    </row>
    <row r="1690">
      <c r="A1690" s="212" t="s">
        <v>4751</v>
      </c>
      <c r="B1690" s="212" t="s">
        <v>4747</v>
      </c>
      <c r="C1690" s="212" t="s">
        <v>4748</v>
      </c>
      <c r="D1690" s="213">
        <v>45734.83425925926</v>
      </c>
      <c r="E1690" s="213">
        <v>45736.47230324074</v>
      </c>
      <c r="F1690" s="214" t="s">
        <v>503</v>
      </c>
      <c r="G1690" s="215" t="s">
        <v>504</v>
      </c>
      <c r="H1690" s="212" t="s">
        <v>259</v>
      </c>
      <c r="I1690" s="212" t="s">
        <v>467</v>
      </c>
    </row>
    <row r="1691">
      <c r="A1691" s="216" t="s">
        <v>4752</v>
      </c>
      <c r="B1691" s="216" t="s">
        <v>4753</v>
      </c>
      <c r="C1691" s="216" t="s">
        <v>4754</v>
      </c>
      <c r="D1691" s="217">
        <v>45543.645416666666</v>
      </c>
      <c r="E1691" s="217"/>
      <c r="F1691" s="218" t="s">
        <v>1300</v>
      </c>
      <c r="G1691" s="219" t="s">
        <v>4755</v>
      </c>
      <c r="H1691" s="216" t="s">
        <v>811</v>
      </c>
      <c r="I1691" s="216" t="s">
        <v>2361</v>
      </c>
    </row>
    <row r="1692">
      <c r="A1692" s="216" t="s">
        <v>4756</v>
      </c>
      <c r="B1692" s="216" t="s">
        <v>4753</v>
      </c>
      <c r="C1692" s="216" t="s">
        <v>4757</v>
      </c>
      <c r="D1692" s="217">
        <v>45521.45662037037</v>
      </c>
      <c r="E1692" s="217"/>
      <c r="F1692" s="218" t="s">
        <v>291</v>
      </c>
      <c r="G1692" s="219" t="s">
        <v>1906</v>
      </c>
      <c r="H1692" s="216" t="s">
        <v>811</v>
      </c>
      <c r="I1692" s="216" t="s">
        <v>357</v>
      </c>
    </row>
    <row r="1693">
      <c r="A1693" s="212" t="s">
        <v>4758</v>
      </c>
      <c r="B1693" s="212" t="s">
        <v>4753</v>
      </c>
      <c r="C1693" s="212" t="s">
        <v>4754</v>
      </c>
      <c r="D1693" s="213">
        <v>45501.61435185185</v>
      </c>
      <c r="E1693" s="213"/>
      <c r="F1693" s="214" t="s">
        <v>291</v>
      </c>
      <c r="G1693" s="215" t="s">
        <v>1906</v>
      </c>
      <c r="H1693" s="212" t="s">
        <v>811</v>
      </c>
      <c r="I1693" s="212" t="s">
        <v>2361</v>
      </c>
    </row>
    <row r="1694">
      <c r="A1694" s="212" t="s">
        <v>4759</v>
      </c>
      <c r="B1694" s="212" t="s">
        <v>4753</v>
      </c>
      <c r="C1694" s="212" t="s">
        <v>4760</v>
      </c>
      <c r="D1694" s="213">
        <v>45494.71988425926</v>
      </c>
      <c r="E1694" s="213"/>
      <c r="F1694" s="214" t="s">
        <v>431</v>
      </c>
      <c r="G1694" s="215" t="s">
        <v>4761</v>
      </c>
      <c r="H1694" s="212" t="s">
        <v>811</v>
      </c>
      <c r="I1694" s="212" t="s">
        <v>357</v>
      </c>
    </row>
    <row r="1695">
      <c r="A1695" s="216" t="s">
        <v>4762</v>
      </c>
      <c r="B1695" s="216" t="s">
        <v>4753</v>
      </c>
      <c r="C1695" s="216" t="s">
        <v>4754</v>
      </c>
      <c r="D1695" s="217">
        <v>45494.71532407407</v>
      </c>
      <c r="E1695" s="217"/>
      <c r="F1695" s="218" t="s">
        <v>1105</v>
      </c>
      <c r="G1695" s="219" t="s">
        <v>4763</v>
      </c>
      <c r="H1695" s="216" t="s">
        <v>811</v>
      </c>
      <c r="I1695" s="216" t="s">
        <v>2361</v>
      </c>
    </row>
    <row r="1696">
      <c r="A1696" s="212" t="s">
        <v>4764</v>
      </c>
      <c r="B1696" s="212" t="s">
        <v>4753</v>
      </c>
      <c r="C1696" s="212" t="s">
        <v>4765</v>
      </c>
      <c r="D1696" s="213">
        <v>45474.85202546296</v>
      </c>
      <c r="E1696" s="213"/>
      <c r="F1696" s="214" t="s">
        <v>431</v>
      </c>
      <c r="G1696" s="215" t="s">
        <v>4766</v>
      </c>
      <c r="H1696" s="212" t="s">
        <v>811</v>
      </c>
      <c r="I1696" s="212" t="s">
        <v>2361</v>
      </c>
    </row>
    <row r="1697">
      <c r="A1697" s="216" t="s">
        <v>4767</v>
      </c>
      <c r="B1697" s="216" t="s">
        <v>4753</v>
      </c>
      <c r="C1697" s="216" t="s">
        <v>4768</v>
      </c>
      <c r="D1697" s="217">
        <v>45473.64208333333</v>
      </c>
      <c r="E1697" s="224"/>
      <c r="F1697" s="218" t="s">
        <v>431</v>
      </c>
      <c r="G1697" s="219" t="s">
        <v>4766</v>
      </c>
      <c r="H1697" s="216" t="s">
        <v>811</v>
      </c>
      <c r="I1697" s="216" t="s">
        <v>2361</v>
      </c>
    </row>
    <row r="1698">
      <c r="A1698" s="216" t="s">
        <v>4769</v>
      </c>
      <c r="B1698" s="216" t="s">
        <v>4753</v>
      </c>
      <c r="C1698" s="216" t="s">
        <v>4754</v>
      </c>
      <c r="D1698" s="217">
        <v>45703.56104166667</v>
      </c>
      <c r="E1698" s="217">
        <v>45706.649375</v>
      </c>
      <c r="F1698" s="218" t="s">
        <v>435</v>
      </c>
      <c r="G1698" s="219" t="s">
        <v>4770</v>
      </c>
      <c r="H1698" s="216" t="s">
        <v>811</v>
      </c>
      <c r="I1698" s="216" t="s">
        <v>2361</v>
      </c>
    </row>
    <row r="1699">
      <c r="A1699" s="212" t="s">
        <v>4771</v>
      </c>
      <c r="B1699" s="212" t="s">
        <v>4753</v>
      </c>
      <c r="C1699" s="212" t="s">
        <v>4754</v>
      </c>
      <c r="D1699" s="213">
        <v>45738.60009259259</v>
      </c>
      <c r="E1699" s="213">
        <v>45741.49657407407</v>
      </c>
      <c r="F1699" s="214" t="s">
        <v>658</v>
      </c>
      <c r="G1699" s="215" t="s">
        <v>4772</v>
      </c>
      <c r="H1699" s="212" t="s">
        <v>811</v>
      </c>
      <c r="I1699" s="212" t="s">
        <v>2361</v>
      </c>
    </row>
    <row r="1700">
      <c r="A1700" s="212" t="s">
        <v>4773</v>
      </c>
      <c r="B1700" s="212" t="s">
        <v>4774</v>
      </c>
      <c r="C1700" s="212" t="s">
        <v>4775</v>
      </c>
      <c r="D1700" s="213">
        <v>45774.76650462963</v>
      </c>
      <c r="E1700" s="213">
        <v>45775.586875</v>
      </c>
      <c r="F1700" s="214" t="s">
        <v>503</v>
      </c>
      <c r="G1700" s="215" t="s">
        <v>2428</v>
      </c>
      <c r="H1700" s="212" t="s">
        <v>535</v>
      </c>
      <c r="I1700" s="212" t="s">
        <v>4776</v>
      </c>
    </row>
    <row r="1701">
      <c r="A1701" s="216" t="s">
        <v>4777</v>
      </c>
      <c r="B1701" s="216" t="s">
        <v>4774</v>
      </c>
      <c r="C1701" s="216" t="s">
        <v>4775</v>
      </c>
      <c r="D1701" s="217">
        <v>45762.56113425926</v>
      </c>
      <c r="E1701" s="217">
        <v>45763.52439814815</v>
      </c>
      <c r="F1701" s="218" t="s">
        <v>4778</v>
      </c>
      <c r="G1701" s="219" t="s">
        <v>2883</v>
      </c>
      <c r="H1701" s="216" t="s">
        <v>535</v>
      </c>
      <c r="I1701" s="216" t="s">
        <v>4776</v>
      </c>
    </row>
    <row r="1702">
      <c r="A1702" s="216" t="s">
        <v>4779</v>
      </c>
      <c r="B1702" s="216" t="s">
        <v>4780</v>
      </c>
      <c r="C1702" s="216" t="s">
        <v>4781</v>
      </c>
      <c r="D1702" s="217">
        <v>45529.75581018518</v>
      </c>
      <c r="E1702" s="217"/>
      <c r="F1702" s="218" t="s">
        <v>291</v>
      </c>
      <c r="G1702" s="219" t="s">
        <v>1372</v>
      </c>
      <c r="H1702" s="216" t="s">
        <v>811</v>
      </c>
      <c r="I1702" s="216" t="s">
        <v>1250</v>
      </c>
    </row>
    <row r="1703">
      <c r="A1703" s="216" t="s">
        <v>4782</v>
      </c>
      <c r="B1703" s="216" t="s">
        <v>4780</v>
      </c>
      <c r="C1703" s="216" t="s">
        <v>4781</v>
      </c>
      <c r="D1703" s="217">
        <v>45487.764652777776</v>
      </c>
      <c r="E1703" s="217"/>
      <c r="F1703" s="218" t="s">
        <v>770</v>
      </c>
      <c r="G1703" s="219" t="s">
        <v>4783</v>
      </c>
      <c r="H1703" s="216" t="s">
        <v>811</v>
      </c>
      <c r="I1703" s="216" t="s">
        <v>1250</v>
      </c>
    </row>
    <row r="1704">
      <c r="A1704" s="216" t="s">
        <v>4782</v>
      </c>
      <c r="B1704" s="216" t="s">
        <v>4780</v>
      </c>
      <c r="C1704" s="216" t="s">
        <v>4781</v>
      </c>
      <c r="D1704" s="217">
        <v>45487.764652777776</v>
      </c>
      <c r="E1704" s="217"/>
      <c r="F1704" s="218" t="s">
        <v>770</v>
      </c>
      <c r="G1704" s="219" t="s">
        <v>4783</v>
      </c>
      <c r="H1704" s="216" t="s">
        <v>811</v>
      </c>
      <c r="I1704" s="216" t="s">
        <v>1250</v>
      </c>
    </row>
    <row r="1705">
      <c r="A1705" s="212" t="s">
        <v>4784</v>
      </c>
      <c r="B1705" s="212" t="s">
        <v>4780</v>
      </c>
      <c r="C1705" s="212" t="s">
        <v>4781</v>
      </c>
      <c r="D1705" s="213">
        <v>45474.900625</v>
      </c>
      <c r="E1705" s="213"/>
      <c r="F1705" s="214" t="s">
        <v>770</v>
      </c>
      <c r="G1705" s="215" t="s">
        <v>4783</v>
      </c>
      <c r="H1705" s="212" t="s">
        <v>811</v>
      </c>
      <c r="I1705" s="212" t="s">
        <v>1250</v>
      </c>
    </row>
    <row r="1706">
      <c r="A1706" s="212" t="s">
        <v>4785</v>
      </c>
      <c r="B1706" s="212" t="s">
        <v>4780</v>
      </c>
      <c r="C1706" s="212" t="s">
        <v>4781</v>
      </c>
      <c r="D1706" s="213">
        <v>45452.65589120371</v>
      </c>
      <c r="E1706" s="213">
        <v>45453.28152777778</v>
      </c>
      <c r="F1706" s="214" t="s">
        <v>658</v>
      </c>
      <c r="G1706" s="215" t="s">
        <v>1506</v>
      </c>
      <c r="H1706" s="212" t="s">
        <v>811</v>
      </c>
      <c r="I1706" s="212" t="s">
        <v>1250</v>
      </c>
    </row>
    <row r="1707">
      <c r="A1707" s="216" t="s">
        <v>4786</v>
      </c>
      <c r="B1707" s="216" t="s">
        <v>4780</v>
      </c>
      <c r="C1707" s="216" t="s">
        <v>4781</v>
      </c>
      <c r="D1707" s="217">
        <v>45438.86837962963</v>
      </c>
      <c r="E1707" s="217">
        <v>45439.28150462963</v>
      </c>
      <c r="F1707" s="218" t="s">
        <v>4787</v>
      </c>
      <c r="G1707" s="219" t="s">
        <v>4788</v>
      </c>
      <c r="H1707" s="216" t="s">
        <v>811</v>
      </c>
      <c r="I1707" s="216" t="s">
        <v>1250</v>
      </c>
    </row>
    <row r="1708">
      <c r="A1708" s="216" t="s">
        <v>4789</v>
      </c>
      <c r="B1708" s="216" t="s">
        <v>4780</v>
      </c>
      <c r="C1708" s="216" t="s">
        <v>4781</v>
      </c>
      <c r="D1708" s="217">
        <v>45431.618472222224</v>
      </c>
      <c r="E1708" s="217">
        <v>45432.26398148148</v>
      </c>
      <c r="F1708" s="218" t="s">
        <v>503</v>
      </c>
      <c r="G1708" s="219" t="s">
        <v>4790</v>
      </c>
      <c r="H1708" s="216" t="s">
        <v>811</v>
      </c>
      <c r="I1708" s="216" t="s">
        <v>1250</v>
      </c>
    </row>
    <row r="1709">
      <c r="A1709" s="212" t="s">
        <v>4791</v>
      </c>
      <c r="B1709" s="212" t="s">
        <v>4780</v>
      </c>
      <c r="C1709" s="212" t="s">
        <v>4781</v>
      </c>
      <c r="D1709" s="213">
        <v>45760.497662037036</v>
      </c>
      <c r="E1709" s="213">
        <v>45760.507060185184</v>
      </c>
      <c r="F1709" s="214" t="s">
        <v>4464</v>
      </c>
      <c r="G1709" s="215" t="s">
        <v>4792</v>
      </c>
      <c r="H1709" s="212" t="s">
        <v>811</v>
      </c>
      <c r="I1709" s="212" t="s">
        <v>1250</v>
      </c>
    </row>
    <row r="1710">
      <c r="A1710" s="216" t="s">
        <v>4793</v>
      </c>
      <c r="B1710" s="216" t="s">
        <v>4780</v>
      </c>
      <c r="C1710" s="216" t="s">
        <v>4794</v>
      </c>
      <c r="D1710" s="217">
        <v>45749.591631944444</v>
      </c>
      <c r="E1710" s="217">
        <v>45750.51394675926</v>
      </c>
      <c r="F1710" s="218" t="s">
        <v>503</v>
      </c>
      <c r="G1710" s="219" t="s">
        <v>4795</v>
      </c>
      <c r="H1710" s="216" t="s">
        <v>377</v>
      </c>
      <c r="I1710" s="216" t="s">
        <v>1498</v>
      </c>
    </row>
    <row r="1711">
      <c r="A1711" s="212" t="s">
        <v>4796</v>
      </c>
      <c r="B1711" s="212" t="s">
        <v>4797</v>
      </c>
      <c r="C1711" s="212" t="s">
        <v>4798</v>
      </c>
      <c r="D1711" s="213">
        <v>45494.676712962966</v>
      </c>
      <c r="E1711" s="213"/>
      <c r="F1711" s="214" t="s">
        <v>4799</v>
      </c>
      <c r="G1711" s="215" t="s">
        <v>4800</v>
      </c>
      <c r="H1711" s="212" t="s">
        <v>561</v>
      </c>
      <c r="I1711" s="212" t="s">
        <v>4801</v>
      </c>
    </row>
    <row r="1712">
      <c r="A1712" s="212" t="s">
        <v>4802</v>
      </c>
      <c r="B1712" s="212" t="s">
        <v>4803</v>
      </c>
      <c r="C1712" s="212" t="s">
        <v>4804</v>
      </c>
      <c r="D1712" s="213">
        <v>45501.78530092593</v>
      </c>
      <c r="E1712" s="213"/>
      <c r="F1712" s="214" t="s">
        <v>1954</v>
      </c>
      <c r="G1712" s="215" t="s">
        <v>4805</v>
      </c>
      <c r="H1712" s="212" t="s">
        <v>259</v>
      </c>
      <c r="I1712" s="212" t="s">
        <v>467</v>
      </c>
    </row>
    <row r="1713">
      <c r="A1713" s="216" t="s">
        <v>4806</v>
      </c>
      <c r="B1713" s="216" t="s">
        <v>4803</v>
      </c>
      <c r="C1713" s="216" t="s">
        <v>4804</v>
      </c>
      <c r="D1713" s="217">
        <v>45713.78789351852</v>
      </c>
      <c r="E1713" s="217">
        <v>45716.58689814815</v>
      </c>
      <c r="F1713" s="218" t="s">
        <v>4807</v>
      </c>
      <c r="G1713" s="219" t="s">
        <v>4808</v>
      </c>
      <c r="H1713" s="216" t="s">
        <v>259</v>
      </c>
      <c r="I1713" s="216" t="s">
        <v>467</v>
      </c>
    </row>
    <row r="1714">
      <c r="A1714" s="216" t="s">
        <v>4809</v>
      </c>
      <c r="B1714" s="216" t="s">
        <v>4803</v>
      </c>
      <c r="C1714" s="216" t="s">
        <v>932</v>
      </c>
      <c r="D1714" s="217">
        <v>45761.562997685185</v>
      </c>
      <c r="E1714" s="217">
        <v>45762.5175</v>
      </c>
      <c r="F1714" s="218" t="s">
        <v>250</v>
      </c>
      <c r="G1714" s="219" t="s">
        <v>4810</v>
      </c>
      <c r="H1714" s="216" t="s">
        <v>259</v>
      </c>
      <c r="I1714" s="216" t="s">
        <v>467</v>
      </c>
    </row>
    <row r="1715">
      <c r="A1715" s="212" t="s">
        <v>4811</v>
      </c>
      <c r="B1715" s="212" t="s">
        <v>4218</v>
      </c>
      <c r="C1715" s="212" t="s">
        <v>4812</v>
      </c>
      <c r="D1715" s="213">
        <v>45746.62703703704</v>
      </c>
      <c r="E1715" s="213">
        <v>45747.42019675926</v>
      </c>
      <c r="F1715" s="214" t="s">
        <v>542</v>
      </c>
      <c r="G1715" s="215" t="s">
        <v>4813</v>
      </c>
      <c r="H1715" s="212" t="s">
        <v>416</v>
      </c>
      <c r="I1715" s="212" t="s">
        <v>4219</v>
      </c>
    </row>
    <row r="1716">
      <c r="A1716" s="216" t="s">
        <v>4814</v>
      </c>
      <c r="B1716" s="216" t="s">
        <v>4218</v>
      </c>
      <c r="C1716" s="216" t="s">
        <v>4812</v>
      </c>
      <c r="D1716" s="217">
        <v>45773.56517361111</v>
      </c>
      <c r="E1716" s="217">
        <v>45774.49668981481</v>
      </c>
      <c r="F1716" s="218" t="s">
        <v>4390</v>
      </c>
      <c r="G1716" s="219" t="s">
        <v>4815</v>
      </c>
      <c r="H1716" s="216" t="s">
        <v>416</v>
      </c>
      <c r="I1716" s="216" t="s">
        <v>4219</v>
      </c>
    </row>
    <row r="1717">
      <c r="A1717" s="212" t="s">
        <v>4816</v>
      </c>
      <c r="B1717" s="212" t="s">
        <v>4218</v>
      </c>
      <c r="C1717" s="212" t="s">
        <v>4812</v>
      </c>
      <c r="D1717" s="213">
        <v>45759.63208333333</v>
      </c>
      <c r="E1717" s="213">
        <v>45760.5175</v>
      </c>
      <c r="F1717" s="214" t="s">
        <v>470</v>
      </c>
      <c r="G1717" s="215" t="s">
        <v>790</v>
      </c>
      <c r="H1717" s="212" t="s">
        <v>416</v>
      </c>
      <c r="I1717" s="212" t="s">
        <v>4219</v>
      </c>
    </row>
    <row r="1718">
      <c r="A1718" s="212" t="s">
        <v>4817</v>
      </c>
      <c r="B1718" s="212" t="s">
        <v>4818</v>
      </c>
      <c r="C1718" s="212" t="s">
        <v>4819</v>
      </c>
      <c r="D1718" s="213">
        <v>45737.875555555554</v>
      </c>
      <c r="E1718" s="213">
        <v>45738.61467592593</v>
      </c>
      <c r="F1718" s="214" t="s">
        <v>339</v>
      </c>
      <c r="G1718" s="215" t="s">
        <v>2083</v>
      </c>
      <c r="H1718" s="212" t="s">
        <v>265</v>
      </c>
      <c r="I1718" s="212" t="s">
        <v>1080</v>
      </c>
    </row>
    <row r="1719">
      <c r="A1719" s="216" t="s">
        <v>4820</v>
      </c>
      <c r="B1719" s="216" t="s">
        <v>4821</v>
      </c>
      <c r="C1719" s="216" t="s">
        <v>4822</v>
      </c>
      <c r="D1719" s="217">
        <v>45554.566608796296</v>
      </c>
      <c r="E1719" s="217"/>
      <c r="F1719" s="218" t="s">
        <v>1531</v>
      </c>
      <c r="G1719" s="219" t="s">
        <v>4823</v>
      </c>
      <c r="H1719" s="216" t="s">
        <v>259</v>
      </c>
      <c r="I1719" s="216" t="s">
        <v>1483</v>
      </c>
    </row>
    <row r="1720">
      <c r="A1720" s="212" t="s">
        <v>4824</v>
      </c>
      <c r="B1720" s="212" t="s">
        <v>4821</v>
      </c>
      <c r="C1720" s="212" t="s">
        <v>4825</v>
      </c>
      <c r="D1720" s="213">
        <v>45551.8296875</v>
      </c>
      <c r="E1720" s="213"/>
      <c r="F1720" s="214" t="s">
        <v>435</v>
      </c>
      <c r="G1720" s="215" t="s">
        <v>4826</v>
      </c>
      <c r="H1720" s="212" t="s">
        <v>259</v>
      </c>
      <c r="I1720" s="212" t="s">
        <v>626</v>
      </c>
    </row>
    <row r="1721">
      <c r="A1721" s="216" t="s">
        <v>4827</v>
      </c>
      <c r="B1721" s="216" t="s">
        <v>4821</v>
      </c>
      <c r="C1721" s="216" t="s">
        <v>3606</v>
      </c>
      <c r="D1721" s="217">
        <v>45541.5856712963</v>
      </c>
      <c r="E1721" s="217"/>
      <c r="F1721" s="218" t="s">
        <v>658</v>
      </c>
      <c r="G1721" s="219" t="s">
        <v>4828</v>
      </c>
      <c r="H1721" s="216" t="s">
        <v>259</v>
      </c>
      <c r="I1721" s="216" t="s">
        <v>260</v>
      </c>
    </row>
    <row r="1722">
      <c r="A1722" s="216" t="s">
        <v>4829</v>
      </c>
      <c r="B1722" s="216" t="s">
        <v>4821</v>
      </c>
      <c r="C1722" s="216" t="s">
        <v>4825</v>
      </c>
      <c r="D1722" s="217">
        <v>45503.59247685185</v>
      </c>
      <c r="E1722" s="217"/>
      <c r="F1722" s="218" t="s">
        <v>765</v>
      </c>
      <c r="G1722" s="219" t="s">
        <v>4830</v>
      </c>
      <c r="H1722" s="216" t="s">
        <v>259</v>
      </c>
      <c r="I1722" s="216" t="s">
        <v>626</v>
      </c>
    </row>
    <row r="1723">
      <c r="A1723" s="216" t="s">
        <v>4831</v>
      </c>
      <c r="B1723" s="216" t="s">
        <v>4821</v>
      </c>
      <c r="C1723" s="216" t="s">
        <v>4825</v>
      </c>
      <c r="D1723" s="217">
        <v>45706.812314814815</v>
      </c>
      <c r="E1723" s="217">
        <v>45710.48619212963</v>
      </c>
      <c r="F1723" s="218" t="s">
        <v>730</v>
      </c>
      <c r="G1723" s="219" t="s">
        <v>3068</v>
      </c>
      <c r="H1723" s="216" t="s">
        <v>259</v>
      </c>
      <c r="I1723" s="216" t="s">
        <v>626</v>
      </c>
    </row>
    <row r="1724">
      <c r="A1724" s="212" t="s">
        <v>4832</v>
      </c>
      <c r="B1724" s="212" t="s">
        <v>4821</v>
      </c>
      <c r="C1724" s="212" t="s">
        <v>4825</v>
      </c>
      <c r="D1724" s="213">
        <v>45706.811215277776</v>
      </c>
      <c r="E1724" s="227"/>
      <c r="F1724" s="214" t="s">
        <v>391</v>
      </c>
      <c r="G1724" s="215" t="s">
        <v>877</v>
      </c>
      <c r="H1724" s="212" t="s">
        <v>259</v>
      </c>
      <c r="I1724" s="212" t="s">
        <v>260</v>
      </c>
    </row>
    <row r="1725">
      <c r="A1725" s="216" t="s">
        <v>4833</v>
      </c>
      <c r="B1725" s="216" t="s">
        <v>4821</v>
      </c>
      <c r="C1725" s="216" t="s">
        <v>4825</v>
      </c>
      <c r="D1725" s="217">
        <v>45733.60519675926</v>
      </c>
      <c r="E1725" s="217">
        <v>45740.600810185184</v>
      </c>
      <c r="F1725" s="218" t="s">
        <v>317</v>
      </c>
      <c r="G1725" s="219" t="s">
        <v>4834</v>
      </c>
      <c r="H1725" s="216" t="s">
        <v>259</v>
      </c>
      <c r="I1725" s="216" t="s">
        <v>626</v>
      </c>
    </row>
    <row r="1726">
      <c r="A1726" s="212" t="s">
        <v>4835</v>
      </c>
      <c r="B1726" s="212" t="s">
        <v>4821</v>
      </c>
      <c r="C1726" s="212" t="s">
        <v>3606</v>
      </c>
      <c r="D1726" s="213">
        <v>45733.60466435185</v>
      </c>
      <c r="E1726" s="213">
        <v>45738.73270833334</v>
      </c>
      <c r="F1726" s="214" t="s">
        <v>317</v>
      </c>
      <c r="G1726" s="215" t="s">
        <v>4834</v>
      </c>
      <c r="H1726" s="212" t="s">
        <v>259</v>
      </c>
      <c r="I1726" s="212" t="s">
        <v>260</v>
      </c>
    </row>
    <row r="1727">
      <c r="A1727" s="216" t="s">
        <v>4836</v>
      </c>
      <c r="B1727" s="216" t="s">
        <v>4837</v>
      </c>
      <c r="C1727" s="216" t="s">
        <v>4837</v>
      </c>
      <c r="D1727" s="217">
        <v>45703.80913194444</v>
      </c>
      <c r="E1727" s="217">
        <v>45703.82644675926</v>
      </c>
      <c r="F1727" s="218" t="s">
        <v>291</v>
      </c>
      <c r="G1727" s="219" t="s">
        <v>577</v>
      </c>
      <c r="H1727" s="216" t="s">
        <v>252</v>
      </c>
      <c r="I1727" s="216" t="s">
        <v>3292</v>
      </c>
    </row>
    <row r="1728">
      <c r="A1728" s="216" t="s">
        <v>4838</v>
      </c>
      <c r="B1728" s="216" t="s">
        <v>4839</v>
      </c>
      <c r="C1728" s="216" t="s">
        <v>4840</v>
      </c>
      <c r="D1728" s="217">
        <v>45452.65480324074</v>
      </c>
      <c r="E1728" s="217">
        <v>45455.576527777775</v>
      </c>
      <c r="F1728" s="218" t="s">
        <v>3496</v>
      </c>
      <c r="G1728" s="219" t="s">
        <v>4666</v>
      </c>
      <c r="H1728" s="216" t="s">
        <v>259</v>
      </c>
      <c r="I1728" s="216" t="s">
        <v>1452</v>
      </c>
    </row>
    <row r="1729">
      <c r="A1729" s="212" t="s">
        <v>4841</v>
      </c>
      <c r="B1729" s="212" t="s">
        <v>4839</v>
      </c>
      <c r="C1729" s="212" t="s">
        <v>4842</v>
      </c>
      <c r="D1729" s="213">
        <v>45449.89287037037</v>
      </c>
      <c r="E1729" s="213">
        <v>45450.625451388885</v>
      </c>
      <c r="F1729" s="214" t="s">
        <v>3496</v>
      </c>
      <c r="G1729" s="215" t="s">
        <v>4843</v>
      </c>
      <c r="H1729" s="212" t="s">
        <v>259</v>
      </c>
      <c r="I1729" s="212" t="s">
        <v>1452</v>
      </c>
    </row>
    <row r="1730">
      <c r="A1730" s="216" t="s">
        <v>4844</v>
      </c>
      <c r="B1730" s="216" t="s">
        <v>4845</v>
      </c>
      <c r="C1730" s="216" t="s">
        <v>4846</v>
      </c>
      <c r="D1730" s="217">
        <v>45521.82303240741</v>
      </c>
      <c r="E1730" s="217"/>
      <c r="F1730" s="218" t="s">
        <v>281</v>
      </c>
      <c r="G1730" s="219" t="s">
        <v>4847</v>
      </c>
      <c r="H1730" s="216" t="s">
        <v>265</v>
      </c>
      <c r="I1730" s="216" t="s">
        <v>2071</v>
      </c>
    </row>
    <row r="1731">
      <c r="A1731" s="216" t="s">
        <v>4848</v>
      </c>
      <c r="B1731" s="216" t="s">
        <v>4845</v>
      </c>
      <c r="C1731" s="216" t="s">
        <v>4846</v>
      </c>
      <c r="D1731" s="217">
        <v>45514.86555555555</v>
      </c>
      <c r="E1731" s="217"/>
      <c r="F1731" s="218" t="s">
        <v>281</v>
      </c>
      <c r="G1731" s="219" t="s">
        <v>4849</v>
      </c>
      <c r="H1731" s="216" t="s">
        <v>265</v>
      </c>
      <c r="I1731" s="216" t="s">
        <v>2071</v>
      </c>
    </row>
    <row r="1732">
      <c r="A1732" s="212" t="s">
        <v>4850</v>
      </c>
      <c r="B1732" s="212" t="s">
        <v>4845</v>
      </c>
      <c r="C1732" s="212" t="s">
        <v>4846</v>
      </c>
      <c r="D1732" s="213">
        <v>45507.83157407407</v>
      </c>
      <c r="E1732" s="213"/>
      <c r="F1732" s="214" t="s">
        <v>281</v>
      </c>
      <c r="G1732" s="215" t="s">
        <v>1665</v>
      </c>
      <c r="H1732" s="212" t="s">
        <v>265</v>
      </c>
      <c r="I1732" s="212" t="s">
        <v>2071</v>
      </c>
    </row>
    <row r="1733">
      <c r="A1733" s="216" t="s">
        <v>4851</v>
      </c>
      <c r="B1733" s="216" t="s">
        <v>4845</v>
      </c>
      <c r="C1733" s="216" t="s">
        <v>4846</v>
      </c>
      <c r="D1733" s="217">
        <v>45500.853634259256</v>
      </c>
      <c r="E1733" s="217"/>
      <c r="F1733" s="218" t="s">
        <v>580</v>
      </c>
      <c r="G1733" s="219" t="s">
        <v>4852</v>
      </c>
      <c r="H1733" s="216" t="s">
        <v>265</v>
      </c>
      <c r="I1733" s="216" t="s">
        <v>2071</v>
      </c>
    </row>
    <row r="1734">
      <c r="A1734" s="212" t="s">
        <v>4853</v>
      </c>
      <c r="B1734" s="212" t="s">
        <v>4845</v>
      </c>
      <c r="C1734" s="212" t="s">
        <v>4846</v>
      </c>
      <c r="D1734" s="213">
        <v>45459.86417824074</v>
      </c>
      <c r="E1734" s="213">
        <v>45459.666712962964</v>
      </c>
      <c r="F1734" s="214" t="s">
        <v>281</v>
      </c>
      <c r="G1734" s="215" t="s">
        <v>1017</v>
      </c>
      <c r="H1734" s="212" t="s">
        <v>265</v>
      </c>
      <c r="I1734" s="212" t="s">
        <v>2071</v>
      </c>
    </row>
    <row r="1735">
      <c r="A1735" s="216" t="s">
        <v>4854</v>
      </c>
      <c r="B1735" s="216" t="s">
        <v>4845</v>
      </c>
      <c r="C1735" s="216" t="s">
        <v>4846</v>
      </c>
      <c r="D1735" s="217">
        <v>45445.77357638889</v>
      </c>
      <c r="E1735" s="217">
        <v>45445.57643518518</v>
      </c>
      <c r="F1735" s="218" t="s">
        <v>281</v>
      </c>
      <c r="G1735" s="219" t="s">
        <v>4855</v>
      </c>
      <c r="H1735" s="216" t="s">
        <v>265</v>
      </c>
      <c r="I1735" s="216" t="s">
        <v>2071</v>
      </c>
    </row>
    <row r="1736">
      <c r="A1736" s="212" t="s">
        <v>4856</v>
      </c>
      <c r="B1736" s="212" t="s">
        <v>4857</v>
      </c>
      <c r="C1736" s="212" t="s">
        <v>4858</v>
      </c>
      <c r="D1736" s="213">
        <v>45549.67034722222</v>
      </c>
      <c r="E1736" s="213"/>
      <c r="F1736" s="214" t="s">
        <v>706</v>
      </c>
      <c r="G1736" s="215" t="s">
        <v>1971</v>
      </c>
      <c r="H1736" s="212" t="s">
        <v>265</v>
      </c>
      <c r="I1736" s="212" t="s">
        <v>640</v>
      </c>
    </row>
    <row r="1737">
      <c r="A1737" s="212" t="s">
        <v>4859</v>
      </c>
      <c r="B1737" s="212" t="s">
        <v>4857</v>
      </c>
      <c r="C1737" s="212" t="s">
        <v>4858</v>
      </c>
      <c r="D1737" s="213">
        <v>45529.47112268519</v>
      </c>
      <c r="E1737" s="213"/>
      <c r="F1737" s="214" t="s">
        <v>715</v>
      </c>
      <c r="G1737" s="215" t="s">
        <v>4860</v>
      </c>
      <c r="H1737" s="212" t="s">
        <v>265</v>
      </c>
      <c r="I1737" s="212" t="s">
        <v>640</v>
      </c>
    </row>
    <row r="1738">
      <c r="A1738" s="216" t="s">
        <v>4861</v>
      </c>
      <c r="B1738" s="216" t="s">
        <v>4857</v>
      </c>
      <c r="C1738" s="216" t="s">
        <v>4858</v>
      </c>
      <c r="D1738" s="217">
        <v>45503.81659722222</v>
      </c>
      <c r="E1738" s="217"/>
      <c r="F1738" s="218" t="s">
        <v>645</v>
      </c>
      <c r="G1738" s="219" t="s">
        <v>4862</v>
      </c>
      <c r="H1738" s="216" t="s">
        <v>265</v>
      </c>
      <c r="I1738" s="216" t="s">
        <v>640</v>
      </c>
    </row>
    <row r="1739">
      <c r="A1739" s="216" t="s">
        <v>4863</v>
      </c>
      <c r="B1739" s="216" t="s">
        <v>4857</v>
      </c>
      <c r="C1739" s="216" t="s">
        <v>4858</v>
      </c>
      <c r="D1739" s="217">
        <v>45492.60511574074</v>
      </c>
      <c r="E1739" s="217"/>
      <c r="F1739" s="218" t="s">
        <v>503</v>
      </c>
      <c r="G1739" s="219" t="s">
        <v>886</v>
      </c>
      <c r="H1739" s="216" t="s">
        <v>265</v>
      </c>
      <c r="I1739" s="216" t="s">
        <v>640</v>
      </c>
    </row>
    <row r="1740">
      <c r="A1740" s="212" t="s">
        <v>4863</v>
      </c>
      <c r="B1740" s="212" t="s">
        <v>4857</v>
      </c>
      <c r="C1740" s="212" t="s">
        <v>4858</v>
      </c>
      <c r="D1740" s="213">
        <v>45492.60511574074</v>
      </c>
      <c r="E1740" s="213"/>
      <c r="F1740" s="214" t="s">
        <v>503</v>
      </c>
      <c r="G1740" s="215" t="s">
        <v>886</v>
      </c>
      <c r="H1740" s="212" t="s">
        <v>265</v>
      </c>
      <c r="I1740" s="212" t="s">
        <v>640</v>
      </c>
    </row>
    <row r="1741">
      <c r="A1741" s="212" t="s">
        <v>4863</v>
      </c>
      <c r="B1741" s="212" t="s">
        <v>4857</v>
      </c>
      <c r="C1741" s="212" t="s">
        <v>4858</v>
      </c>
      <c r="D1741" s="213">
        <v>45492.60511574074</v>
      </c>
      <c r="E1741" s="213"/>
      <c r="F1741" s="214" t="s">
        <v>503</v>
      </c>
      <c r="G1741" s="215" t="s">
        <v>886</v>
      </c>
      <c r="H1741" s="212" t="s">
        <v>265</v>
      </c>
      <c r="I1741" s="212" t="s">
        <v>640</v>
      </c>
    </row>
    <row r="1742">
      <c r="A1742" s="216" t="s">
        <v>4864</v>
      </c>
      <c r="B1742" s="216" t="s">
        <v>4857</v>
      </c>
      <c r="C1742" s="216" t="s">
        <v>4858</v>
      </c>
      <c r="D1742" s="217">
        <v>45482.66305555555</v>
      </c>
      <c r="E1742" s="217"/>
      <c r="F1742" s="218" t="s">
        <v>722</v>
      </c>
      <c r="G1742" s="219" t="s">
        <v>4865</v>
      </c>
      <c r="H1742" s="216" t="s">
        <v>265</v>
      </c>
      <c r="I1742" s="216" t="s">
        <v>640</v>
      </c>
    </row>
    <row r="1743">
      <c r="A1743" s="216" t="s">
        <v>4866</v>
      </c>
      <c r="B1743" s="216" t="s">
        <v>4867</v>
      </c>
      <c r="C1743" s="216" t="s">
        <v>4868</v>
      </c>
      <c r="D1743" s="217">
        <v>45550.46875</v>
      </c>
      <c r="E1743" s="217"/>
      <c r="F1743" s="218" t="s">
        <v>2943</v>
      </c>
      <c r="G1743" s="219" t="s">
        <v>4869</v>
      </c>
      <c r="H1743" s="216" t="s">
        <v>259</v>
      </c>
      <c r="I1743" s="216" t="s">
        <v>461</v>
      </c>
    </row>
    <row r="1744">
      <c r="A1744" s="216" t="s">
        <v>4870</v>
      </c>
      <c r="B1744" s="216" t="s">
        <v>4867</v>
      </c>
      <c r="C1744" s="216" t="s">
        <v>4868</v>
      </c>
      <c r="D1744" s="217">
        <v>45539.83703703704</v>
      </c>
      <c r="E1744" s="217"/>
      <c r="F1744" s="218" t="s">
        <v>4871</v>
      </c>
      <c r="G1744" s="219" t="s">
        <v>4872</v>
      </c>
      <c r="H1744" s="216" t="s">
        <v>259</v>
      </c>
      <c r="I1744" s="216" t="s">
        <v>461</v>
      </c>
    </row>
    <row r="1745">
      <c r="A1745" s="212" t="s">
        <v>4873</v>
      </c>
      <c r="B1745" s="212" t="s">
        <v>4867</v>
      </c>
      <c r="C1745" s="212" t="s">
        <v>4874</v>
      </c>
      <c r="D1745" s="213">
        <v>45539.83552083333</v>
      </c>
      <c r="E1745" s="213"/>
      <c r="F1745" s="214" t="s">
        <v>4875</v>
      </c>
      <c r="G1745" s="215" t="s">
        <v>4876</v>
      </c>
      <c r="H1745" s="212" t="s">
        <v>265</v>
      </c>
      <c r="I1745" s="212" t="s">
        <v>461</v>
      </c>
    </row>
    <row r="1746">
      <c r="A1746" s="216" t="s">
        <v>4877</v>
      </c>
      <c r="B1746" s="216" t="s">
        <v>4867</v>
      </c>
      <c r="C1746" s="216" t="s">
        <v>4868</v>
      </c>
      <c r="D1746" s="217">
        <v>45536.77378472222</v>
      </c>
      <c r="E1746" s="217"/>
      <c r="F1746" s="218" t="s">
        <v>339</v>
      </c>
      <c r="G1746" s="219" t="s">
        <v>4878</v>
      </c>
      <c r="H1746" s="216" t="s">
        <v>259</v>
      </c>
      <c r="I1746" s="216" t="s">
        <v>461</v>
      </c>
    </row>
    <row r="1747">
      <c r="A1747" s="216" t="s">
        <v>4879</v>
      </c>
      <c r="B1747" s="216" t="s">
        <v>4867</v>
      </c>
      <c r="C1747" s="216" t="s">
        <v>4868</v>
      </c>
      <c r="D1747" s="217">
        <v>45528.67674768518</v>
      </c>
      <c r="E1747" s="217"/>
      <c r="F1747" s="218" t="s">
        <v>4880</v>
      </c>
      <c r="G1747" s="219" t="s">
        <v>4881</v>
      </c>
      <c r="H1747" s="216" t="s">
        <v>259</v>
      </c>
      <c r="I1747" s="216" t="s">
        <v>461</v>
      </c>
    </row>
    <row r="1748">
      <c r="A1748" s="216" t="s">
        <v>4882</v>
      </c>
      <c r="B1748" s="216" t="s">
        <v>4867</v>
      </c>
      <c r="C1748" s="216" t="s">
        <v>4868</v>
      </c>
      <c r="D1748" s="217">
        <v>45514.5652662037</v>
      </c>
      <c r="E1748" s="217"/>
      <c r="F1748" s="218" t="s">
        <v>4883</v>
      </c>
      <c r="G1748" s="219" t="s">
        <v>4884</v>
      </c>
      <c r="H1748" s="216" t="s">
        <v>259</v>
      </c>
      <c r="I1748" s="216" t="s">
        <v>461</v>
      </c>
    </row>
    <row r="1749">
      <c r="A1749" s="216" t="s">
        <v>4885</v>
      </c>
      <c r="B1749" s="216" t="s">
        <v>4867</v>
      </c>
      <c r="C1749" s="216" t="s">
        <v>4868</v>
      </c>
      <c r="D1749" s="217">
        <v>45508.803078703706</v>
      </c>
      <c r="E1749" s="217"/>
      <c r="F1749" s="218" t="s">
        <v>1259</v>
      </c>
      <c r="G1749" s="219" t="s">
        <v>4886</v>
      </c>
      <c r="H1749" s="216" t="s">
        <v>259</v>
      </c>
      <c r="I1749" s="216" t="s">
        <v>461</v>
      </c>
    </row>
    <row r="1750">
      <c r="A1750" s="212" t="s">
        <v>4887</v>
      </c>
      <c r="B1750" s="212" t="s">
        <v>4867</v>
      </c>
      <c r="C1750" s="212" t="s">
        <v>4868</v>
      </c>
      <c r="D1750" s="213">
        <v>45508.802152777775</v>
      </c>
      <c r="E1750" s="226"/>
      <c r="F1750" s="214" t="s">
        <v>391</v>
      </c>
      <c r="G1750" s="215" t="s">
        <v>877</v>
      </c>
      <c r="H1750" s="212" t="s">
        <v>259</v>
      </c>
      <c r="I1750" s="212" t="s">
        <v>461</v>
      </c>
    </row>
    <row r="1751">
      <c r="A1751" s="212" t="s">
        <v>4888</v>
      </c>
      <c r="B1751" s="212" t="s">
        <v>4867</v>
      </c>
      <c r="C1751" s="212" t="s">
        <v>4868</v>
      </c>
      <c r="D1751" s="213">
        <v>45500.78511574074</v>
      </c>
      <c r="E1751" s="213"/>
      <c r="F1751" s="214" t="s">
        <v>4401</v>
      </c>
      <c r="G1751" s="215" t="s">
        <v>4889</v>
      </c>
      <c r="H1751" s="212" t="s">
        <v>259</v>
      </c>
      <c r="I1751" s="212" t="s">
        <v>461</v>
      </c>
    </row>
    <row r="1752">
      <c r="A1752" s="216" t="s">
        <v>4890</v>
      </c>
      <c r="B1752" s="216" t="s">
        <v>4867</v>
      </c>
      <c r="C1752" s="216" t="s">
        <v>4868</v>
      </c>
      <c r="D1752" s="217">
        <v>45494.81041666667</v>
      </c>
      <c r="E1752" s="217"/>
      <c r="F1752" s="218" t="s">
        <v>281</v>
      </c>
      <c r="G1752" s="219" t="s">
        <v>4891</v>
      </c>
      <c r="H1752" s="216" t="s">
        <v>259</v>
      </c>
      <c r="I1752" s="216" t="s">
        <v>461</v>
      </c>
    </row>
    <row r="1753">
      <c r="A1753" s="216" t="s">
        <v>4892</v>
      </c>
      <c r="B1753" s="216" t="s">
        <v>4867</v>
      </c>
      <c r="C1753" s="216" t="s">
        <v>4868</v>
      </c>
      <c r="D1753" s="217">
        <v>45774.73609953704</v>
      </c>
      <c r="E1753" s="217">
        <v>45774.74662037037</v>
      </c>
      <c r="F1753" s="218" t="s">
        <v>4893</v>
      </c>
      <c r="G1753" s="219" t="s">
        <v>4894</v>
      </c>
      <c r="H1753" s="216" t="s">
        <v>265</v>
      </c>
      <c r="I1753" s="216" t="s">
        <v>461</v>
      </c>
    </row>
    <row r="1754">
      <c r="A1754" s="212" t="s">
        <v>4895</v>
      </c>
      <c r="B1754" s="212" t="s">
        <v>4896</v>
      </c>
      <c r="C1754" s="212" t="s">
        <v>618</v>
      </c>
      <c r="D1754" s="213">
        <v>45712.88543981482</v>
      </c>
      <c r="E1754" s="213">
        <v>45712.89585648148</v>
      </c>
      <c r="F1754" s="214" t="s">
        <v>1092</v>
      </c>
      <c r="G1754" s="215" t="s">
        <v>4897</v>
      </c>
      <c r="H1754" s="212" t="s">
        <v>259</v>
      </c>
      <c r="I1754" s="212" t="s">
        <v>620</v>
      </c>
    </row>
    <row r="1755">
      <c r="A1755" s="212" t="s">
        <v>4898</v>
      </c>
      <c r="B1755" s="212" t="s">
        <v>4899</v>
      </c>
      <c r="C1755" s="212" t="s">
        <v>1552</v>
      </c>
      <c r="D1755" s="213">
        <v>45499.7947337963</v>
      </c>
      <c r="E1755" s="213"/>
      <c r="F1755" s="214" t="s">
        <v>3503</v>
      </c>
      <c r="G1755" s="215" t="s">
        <v>3504</v>
      </c>
      <c r="H1755" s="212" t="s">
        <v>811</v>
      </c>
      <c r="I1755" s="212" t="s">
        <v>357</v>
      </c>
    </row>
    <row r="1756">
      <c r="A1756" s="212" t="s">
        <v>4900</v>
      </c>
      <c r="B1756" s="212" t="s">
        <v>4899</v>
      </c>
      <c r="C1756" s="212" t="s">
        <v>1552</v>
      </c>
      <c r="D1756" s="213">
        <v>45482.822488425925</v>
      </c>
      <c r="E1756" s="213"/>
      <c r="F1756" s="214" t="s">
        <v>4901</v>
      </c>
      <c r="G1756" s="215" t="s">
        <v>4902</v>
      </c>
      <c r="H1756" s="212" t="s">
        <v>811</v>
      </c>
      <c r="I1756" s="212" t="s">
        <v>357</v>
      </c>
    </row>
    <row r="1757">
      <c r="A1757" s="216" t="s">
        <v>4903</v>
      </c>
      <c r="B1757" s="216" t="s">
        <v>4899</v>
      </c>
      <c r="C1757" s="216" t="s">
        <v>1552</v>
      </c>
      <c r="D1757" s="217">
        <v>45738.634097222224</v>
      </c>
      <c r="E1757" s="217">
        <v>45742.48273148148</v>
      </c>
      <c r="F1757" s="218" t="s">
        <v>1884</v>
      </c>
      <c r="G1757" s="219" t="s">
        <v>4904</v>
      </c>
      <c r="H1757" s="216" t="s">
        <v>377</v>
      </c>
      <c r="I1757" s="216" t="s">
        <v>357</v>
      </c>
    </row>
    <row r="1758">
      <c r="A1758" s="220" t="s">
        <v>4905</v>
      </c>
      <c r="B1758" s="220" t="s">
        <v>4899</v>
      </c>
      <c r="C1758" s="220" t="s">
        <v>1552</v>
      </c>
      <c r="D1758" s="221">
        <v>45759.62644675926</v>
      </c>
      <c r="E1758" s="221">
        <v>45761.47924768519</v>
      </c>
      <c r="F1758" s="222" t="s">
        <v>4906</v>
      </c>
      <c r="G1758" s="223" t="s">
        <v>4907</v>
      </c>
      <c r="H1758" s="220" t="s">
        <v>377</v>
      </c>
      <c r="I1758" s="220" t="s">
        <v>357</v>
      </c>
    </row>
    <row r="1759">
      <c r="A1759" s="216" t="s">
        <v>4908</v>
      </c>
      <c r="B1759" s="216" t="s">
        <v>4909</v>
      </c>
      <c r="C1759" s="216" t="s">
        <v>4910</v>
      </c>
      <c r="D1759" s="217">
        <v>45738.5615625</v>
      </c>
      <c r="E1759" s="217">
        <v>45739.59741898148</v>
      </c>
      <c r="F1759" s="218" t="s">
        <v>706</v>
      </c>
      <c r="G1759" s="219" t="s">
        <v>4911</v>
      </c>
      <c r="H1759" s="216" t="s">
        <v>319</v>
      </c>
      <c r="I1759" s="216" t="s">
        <v>417</v>
      </c>
    </row>
    <row r="1760">
      <c r="A1760" s="212" t="s">
        <v>4912</v>
      </c>
      <c r="B1760" s="212" t="s">
        <v>4909</v>
      </c>
      <c r="C1760" s="212" t="s">
        <v>4913</v>
      </c>
      <c r="D1760" s="213">
        <v>45738.56005787037</v>
      </c>
      <c r="E1760" s="213">
        <v>45739.60092592592</v>
      </c>
      <c r="F1760" s="214" t="s">
        <v>706</v>
      </c>
      <c r="G1760" s="215" t="s">
        <v>4911</v>
      </c>
      <c r="H1760" s="212" t="s">
        <v>319</v>
      </c>
      <c r="I1760" s="212" t="s">
        <v>417</v>
      </c>
    </row>
    <row r="1761">
      <c r="A1761" s="212" t="s">
        <v>4914</v>
      </c>
      <c r="B1761" s="212" t="s">
        <v>4915</v>
      </c>
      <c r="C1761" s="212" t="s">
        <v>4916</v>
      </c>
      <c r="D1761" s="213">
        <v>45514.773414351854</v>
      </c>
      <c r="E1761" s="213"/>
      <c r="F1761" s="214" t="s">
        <v>503</v>
      </c>
      <c r="G1761" s="215" t="s">
        <v>4917</v>
      </c>
      <c r="H1761" s="212" t="s">
        <v>259</v>
      </c>
      <c r="I1761" s="212" t="s">
        <v>461</v>
      </c>
    </row>
    <row r="1762">
      <c r="A1762" s="216" t="s">
        <v>4918</v>
      </c>
      <c r="B1762" s="216" t="s">
        <v>4915</v>
      </c>
      <c r="C1762" s="216" t="s">
        <v>4916</v>
      </c>
      <c r="D1762" s="217">
        <v>45502.84924768518</v>
      </c>
      <c r="E1762" s="217"/>
      <c r="F1762" s="218" t="s">
        <v>503</v>
      </c>
      <c r="G1762" s="219" t="s">
        <v>4919</v>
      </c>
      <c r="H1762" s="216" t="s">
        <v>259</v>
      </c>
      <c r="I1762" s="216" t="s">
        <v>461</v>
      </c>
    </row>
    <row r="1763">
      <c r="A1763" s="212" t="s">
        <v>4920</v>
      </c>
      <c r="B1763" s="212" t="s">
        <v>4915</v>
      </c>
      <c r="C1763" s="212" t="s">
        <v>4921</v>
      </c>
      <c r="D1763" s="213">
        <v>45492.903078703705</v>
      </c>
      <c r="E1763" s="213"/>
      <c r="F1763" s="214" t="s">
        <v>269</v>
      </c>
      <c r="G1763" s="215" t="s">
        <v>4922</v>
      </c>
      <c r="H1763" s="212" t="s">
        <v>259</v>
      </c>
      <c r="I1763" s="212" t="s">
        <v>461</v>
      </c>
    </row>
    <row r="1764">
      <c r="A1764" s="216" t="s">
        <v>4923</v>
      </c>
      <c r="B1764" s="216" t="s">
        <v>4915</v>
      </c>
      <c r="C1764" s="216" t="s">
        <v>4916</v>
      </c>
      <c r="D1764" s="217">
        <v>45492.90248842593</v>
      </c>
      <c r="E1764" s="217"/>
      <c r="F1764" s="218" t="s">
        <v>503</v>
      </c>
      <c r="G1764" s="219" t="s">
        <v>886</v>
      </c>
      <c r="H1764" s="216" t="s">
        <v>259</v>
      </c>
      <c r="I1764" s="216" t="s">
        <v>461</v>
      </c>
    </row>
    <row r="1765">
      <c r="A1765" s="216" t="s">
        <v>4920</v>
      </c>
      <c r="B1765" s="216" t="s">
        <v>4915</v>
      </c>
      <c r="C1765" s="216" t="s">
        <v>4921</v>
      </c>
      <c r="D1765" s="217">
        <v>45492.903078703705</v>
      </c>
      <c r="E1765" s="217"/>
      <c r="F1765" s="218" t="s">
        <v>269</v>
      </c>
      <c r="G1765" s="219" t="s">
        <v>4922</v>
      </c>
      <c r="H1765" s="216" t="s">
        <v>259</v>
      </c>
      <c r="I1765" s="216" t="s">
        <v>461</v>
      </c>
    </row>
    <row r="1766">
      <c r="A1766" s="212" t="s">
        <v>4923</v>
      </c>
      <c r="B1766" s="212" t="s">
        <v>4915</v>
      </c>
      <c r="C1766" s="212" t="s">
        <v>4916</v>
      </c>
      <c r="D1766" s="213">
        <v>45492.90248842593</v>
      </c>
      <c r="E1766" s="213"/>
      <c r="F1766" s="214" t="s">
        <v>503</v>
      </c>
      <c r="G1766" s="215" t="s">
        <v>886</v>
      </c>
      <c r="H1766" s="212" t="s">
        <v>259</v>
      </c>
      <c r="I1766" s="212" t="s">
        <v>461</v>
      </c>
    </row>
    <row r="1767">
      <c r="A1767" s="216" t="s">
        <v>4920</v>
      </c>
      <c r="B1767" s="216" t="s">
        <v>4915</v>
      </c>
      <c r="C1767" s="216" t="s">
        <v>4921</v>
      </c>
      <c r="D1767" s="217">
        <v>45492.903078703705</v>
      </c>
      <c r="E1767" s="217"/>
      <c r="F1767" s="218" t="s">
        <v>269</v>
      </c>
      <c r="G1767" s="219" t="s">
        <v>4922</v>
      </c>
      <c r="H1767" s="216" t="s">
        <v>259</v>
      </c>
      <c r="I1767" s="216" t="s">
        <v>461</v>
      </c>
    </row>
    <row r="1768">
      <c r="A1768" s="212" t="s">
        <v>4923</v>
      </c>
      <c r="B1768" s="212" t="s">
        <v>4915</v>
      </c>
      <c r="C1768" s="212" t="s">
        <v>4916</v>
      </c>
      <c r="D1768" s="213">
        <v>45492.90248842593</v>
      </c>
      <c r="E1768" s="213"/>
      <c r="F1768" s="214" t="s">
        <v>503</v>
      </c>
      <c r="G1768" s="215" t="s">
        <v>886</v>
      </c>
      <c r="H1768" s="212" t="s">
        <v>259</v>
      </c>
      <c r="I1768" s="212" t="s">
        <v>461</v>
      </c>
    </row>
    <row r="1769">
      <c r="A1769" s="212" t="s">
        <v>4924</v>
      </c>
      <c r="B1769" s="212" t="s">
        <v>4915</v>
      </c>
      <c r="C1769" s="212" t="s">
        <v>4916</v>
      </c>
      <c r="D1769" s="213">
        <v>45478.925625</v>
      </c>
      <c r="E1769" s="213"/>
      <c r="F1769" s="214" t="s">
        <v>722</v>
      </c>
      <c r="G1769" s="215" t="s">
        <v>4925</v>
      </c>
      <c r="H1769" s="212" t="s">
        <v>259</v>
      </c>
      <c r="I1769" s="212" t="s">
        <v>461</v>
      </c>
    </row>
    <row r="1770">
      <c r="A1770" s="212" t="s">
        <v>4926</v>
      </c>
      <c r="B1770" s="212" t="s">
        <v>4915</v>
      </c>
      <c r="C1770" s="212" t="s">
        <v>4927</v>
      </c>
      <c r="D1770" s="213">
        <v>45711.56407407407</v>
      </c>
      <c r="E1770" s="213">
        <v>45714.454930555556</v>
      </c>
      <c r="F1770" s="214" t="s">
        <v>269</v>
      </c>
      <c r="G1770" s="215" t="s">
        <v>2207</v>
      </c>
      <c r="H1770" s="212" t="s">
        <v>259</v>
      </c>
      <c r="I1770" s="212" t="s">
        <v>461</v>
      </c>
    </row>
    <row r="1771">
      <c r="A1771" s="216" t="s">
        <v>4928</v>
      </c>
      <c r="B1771" s="216" t="s">
        <v>4915</v>
      </c>
      <c r="C1771" s="216" t="s">
        <v>4916</v>
      </c>
      <c r="D1771" s="217">
        <v>45745.59462962963</v>
      </c>
      <c r="E1771" s="217">
        <v>45745.725810185184</v>
      </c>
      <c r="F1771" s="218" t="s">
        <v>538</v>
      </c>
      <c r="G1771" s="219" t="s">
        <v>4929</v>
      </c>
      <c r="H1771" s="216" t="s">
        <v>259</v>
      </c>
      <c r="I1771" s="216" t="s">
        <v>461</v>
      </c>
    </row>
    <row r="1772">
      <c r="A1772" s="212" t="s">
        <v>4930</v>
      </c>
      <c r="B1772" s="212" t="s">
        <v>4931</v>
      </c>
      <c r="C1772" s="212" t="s">
        <v>4932</v>
      </c>
      <c r="D1772" s="213">
        <v>45774.58298611111</v>
      </c>
      <c r="E1772" s="213">
        <v>45775.454976851855</v>
      </c>
      <c r="F1772" s="214" t="s">
        <v>317</v>
      </c>
      <c r="G1772" s="215" t="s">
        <v>678</v>
      </c>
      <c r="H1772" s="212" t="s">
        <v>259</v>
      </c>
      <c r="I1772" s="212" t="s">
        <v>260</v>
      </c>
    </row>
    <row r="1773">
      <c r="A1773" s="212" t="s">
        <v>4933</v>
      </c>
      <c r="B1773" s="212" t="s">
        <v>4931</v>
      </c>
      <c r="C1773" s="212" t="s">
        <v>4932</v>
      </c>
      <c r="D1773" s="213">
        <v>45760.45888888889</v>
      </c>
      <c r="E1773" s="213">
        <v>45760.48626157407</v>
      </c>
      <c r="F1773" s="214" t="s">
        <v>317</v>
      </c>
      <c r="G1773" s="215" t="s">
        <v>680</v>
      </c>
      <c r="H1773" s="212" t="s">
        <v>259</v>
      </c>
      <c r="I1773" s="212" t="s">
        <v>260</v>
      </c>
    </row>
    <row r="1774">
      <c r="A1774" s="216" t="s">
        <v>4934</v>
      </c>
      <c r="B1774" s="216" t="s">
        <v>4935</v>
      </c>
      <c r="C1774" s="216" t="s">
        <v>4936</v>
      </c>
      <c r="D1774" s="217">
        <v>45528.72283564815</v>
      </c>
      <c r="E1774" s="217"/>
      <c r="F1774" s="218" t="s">
        <v>4937</v>
      </c>
      <c r="G1774" s="219" t="s">
        <v>4938</v>
      </c>
      <c r="H1774" s="216" t="s">
        <v>811</v>
      </c>
      <c r="I1774" s="216" t="s">
        <v>357</v>
      </c>
    </row>
    <row r="1775">
      <c r="A1775" s="216" t="s">
        <v>4939</v>
      </c>
      <c r="B1775" s="216" t="s">
        <v>4935</v>
      </c>
      <c r="C1775" s="216" t="s">
        <v>4936</v>
      </c>
      <c r="D1775" s="217">
        <v>45521.78123842592</v>
      </c>
      <c r="E1775" s="217"/>
      <c r="F1775" s="218" t="s">
        <v>735</v>
      </c>
      <c r="G1775" s="219" t="s">
        <v>4940</v>
      </c>
      <c r="H1775" s="216" t="s">
        <v>811</v>
      </c>
      <c r="I1775" s="216" t="s">
        <v>357</v>
      </c>
    </row>
    <row r="1776">
      <c r="A1776" s="212" t="s">
        <v>4941</v>
      </c>
      <c r="B1776" s="212" t="s">
        <v>4935</v>
      </c>
      <c r="C1776" s="212" t="s">
        <v>4936</v>
      </c>
      <c r="D1776" s="213">
        <v>45516.792662037034</v>
      </c>
      <c r="E1776" s="213"/>
      <c r="F1776" s="214" t="s">
        <v>1313</v>
      </c>
      <c r="G1776" s="215" t="s">
        <v>4942</v>
      </c>
      <c r="H1776" s="212" t="s">
        <v>811</v>
      </c>
      <c r="I1776" s="212" t="s">
        <v>357</v>
      </c>
    </row>
    <row r="1777">
      <c r="A1777" s="212" t="s">
        <v>4943</v>
      </c>
      <c r="B1777" s="212" t="s">
        <v>4935</v>
      </c>
      <c r="C1777" s="212" t="s">
        <v>4944</v>
      </c>
      <c r="D1777" s="213">
        <v>45508.85403935185</v>
      </c>
      <c r="E1777" s="213"/>
      <c r="F1777" s="214" t="s">
        <v>4945</v>
      </c>
      <c r="G1777" s="215" t="s">
        <v>4946</v>
      </c>
      <c r="H1777" s="212" t="s">
        <v>811</v>
      </c>
      <c r="I1777" s="212" t="s">
        <v>357</v>
      </c>
    </row>
    <row r="1778">
      <c r="A1778" s="216" t="s">
        <v>4947</v>
      </c>
      <c r="B1778" s="216" t="s">
        <v>4935</v>
      </c>
      <c r="C1778" s="216" t="s">
        <v>1559</v>
      </c>
      <c r="D1778" s="217">
        <v>45489.79702546296</v>
      </c>
      <c r="E1778" s="217"/>
      <c r="F1778" s="218" t="s">
        <v>4948</v>
      </c>
      <c r="G1778" s="219" t="s">
        <v>4949</v>
      </c>
      <c r="H1778" s="216" t="s">
        <v>811</v>
      </c>
      <c r="I1778" s="216" t="s">
        <v>357</v>
      </c>
    </row>
    <row r="1779">
      <c r="A1779" s="216" t="s">
        <v>4947</v>
      </c>
      <c r="B1779" s="216" t="s">
        <v>4935</v>
      </c>
      <c r="C1779" s="216" t="s">
        <v>1559</v>
      </c>
      <c r="D1779" s="217">
        <v>45489.79702546296</v>
      </c>
      <c r="E1779" s="217"/>
      <c r="F1779" s="218" t="s">
        <v>4948</v>
      </c>
      <c r="G1779" s="219" t="s">
        <v>4949</v>
      </c>
      <c r="H1779" s="216" t="s">
        <v>811</v>
      </c>
      <c r="I1779" s="216" t="s">
        <v>357</v>
      </c>
    </row>
    <row r="1780">
      <c r="A1780" s="212" t="s">
        <v>4950</v>
      </c>
      <c r="B1780" s="212" t="s">
        <v>4935</v>
      </c>
      <c r="C1780" s="212" t="s">
        <v>1559</v>
      </c>
      <c r="D1780" s="213">
        <v>45467.85009259259</v>
      </c>
      <c r="E1780" s="213"/>
      <c r="F1780" s="214" t="s">
        <v>4951</v>
      </c>
      <c r="G1780" s="215" t="s">
        <v>4952</v>
      </c>
      <c r="H1780" s="212" t="s">
        <v>811</v>
      </c>
      <c r="I1780" s="212" t="s">
        <v>357</v>
      </c>
    </row>
    <row r="1781">
      <c r="A1781" s="216" t="s">
        <v>4953</v>
      </c>
      <c r="B1781" s="216" t="s">
        <v>4935</v>
      </c>
      <c r="C1781" s="216" t="s">
        <v>4936</v>
      </c>
      <c r="D1781" s="217">
        <v>45464.82480324074</v>
      </c>
      <c r="E1781" s="217"/>
      <c r="F1781" s="218" t="s">
        <v>465</v>
      </c>
      <c r="G1781" s="219" t="s">
        <v>4954</v>
      </c>
      <c r="H1781" s="216" t="s">
        <v>811</v>
      </c>
      <c r="I1781" s="216" t="s">
        <v>357</v>
      </c>
    </row>
    <row r="1782">
      <c r="A1782" s="216" t="s">
        <v>4955</v>
      </c>
      <c r="B1782" s="216" t="s">
        <v>4935</v>
      </c>
      <c r="C1782" s="216" t="s">
        <v>1559</v>
      </c>
      <c r="D1782" s="217">
        <v>45439.59538194445</v>
      </c>
      <c r="E1782" s="217">
        <v>45439.39606481481</v>
      </c>
      <c r="F1782" s="218" t="s">
        <v>4956</v>
      </c>
      <c r="G1782" s="219" t="s">
        <v>4957</v>
      </c>
      <c r="H1782" s="216" t="s">
        <v>811</v>
      </c>
      <c r="I1782" s="216" t="s">
        <v>357</v>
      </c>
    </row>
    <row r="1783">
      <c r="A1783" s="216" t="s">
        <v>4958</v>
      </c>
      <c r="B1783" s="216" t="s">
        <v>4935</v>
      </c>
      <c r="C1783" s="216" t="s">
        <v>4936</v>
      </c>
      <c r="D1783" s="217">
        <v>45431.527349537035</v>
      </c>
      <c r="E1783" s="217">
        <v>45431.32650462963</v>
      </c>
      <c r="F1783" s="218" t="s">
        <v>465</v>
      </c>
      <c r="G1783" s="219" t="s">
        <v>4959</v>
      </c>
      <c r="H1783" s="216" t="s">
        <v>811</v>
      </c>
      <c r="I1783" s="216" t="s">
        <v>357</v>
      </c>
    </row>
    <row r="1784">
      <c r="A1784" s="212" t="s">
        <v>4960</v>
      </c>
      <c r="B1784" s="212" t="s">
        <v>4935</v>
      </c>
      <c r="C1784" s="212" t="s">
        <v>1559</v>
      </c>
      <c r="D1784" s="213">
        <v>45702.802256944444</v>
      </c>
      <c r="E1784" s="213">
        <v>45702.81259259259</v>
      </c>
      <c r="F1784" s="214" t="s">
        <v>4961</v>
      </c>
      <c r="G1784" s="215" t="s">
        <v>4962</v>
      </c>
      <c r="H1784" s="212" t="s">
        <v>811</v>
      </c>
      <c r="I1784" s="212" t="s">
        <v>357</v>
      </c>
    </row>
    <row r="1785">
      <c r="A1785" s="216" t="s">
        <v>4963</v>
      </c>
      <c r="B1785" s="216" t="s">
        <v>4964</v>
      </c>
      <c r="C1785" s="216" t="s">
        <v>4965</v>
      </c>
      <c r="D1785" s="217">
        <v>45531.83336805556</v>
      </c>
      <c r="E1785" s="217"/>
      <c r="F1785" s="218" t="s">
        <v>651</v>
      </c>
      <c r="G1785" s="219" t="s">
        <v>651</v>
      </c>
      <c r="H1785" s="216" t="s">
        <v>962</v>
      </c>
      <c r="I1785" s="216" t="s">
        <v>963</v>
      </c>
    </row>
    <row r="1786">
      <c r="A1786" s="212" t="s">
        <v>4966</v>
      </c>
      <c r="B1786" s="212" t="s">
        <v>4964</v>
      </c>
      <c r="C1786" s="212" t="s">
        <v>4967</v>
      </c>
      <c r="D1786" s="213">
        <v>45466.752858796295</v>
      </c>
      <c r="E1786" s="213"/>
      <c r="F1786" s="214" t="s">
        <v>250</v>
      </c>
      <c r="G1786" s="215" t="s">
        <v>250</v>
      </c>
      <c r="H1786" s="212" t="s">
        <v>962</v>
      </c>
      <c r="I1786" s="212" t="s">
        <v>963</v>
      </c>
    </row>
    <row r="1787">
      <c r="A1787" s="216" t="s">
        <v>4968</v>
      </c>
      <c r="B1787" s="216" t="s">
        <v>4964</v>
      </c>
      <c r="C1787" s="216" t="s">
        <v>4967</v>
      </c>
      <c r="D1787" s="217">
        <v>45710.54309027778</v>
      </c>
      <c r="E1787" s="217">
        <v>45710.55914351852</v>
      </c>
      <c r="F1787" s="218" t="s">
        <v>250</v>
      </c>
      <c r="G1787" s="219" t="s">
        <v>250</v>
      </c>
      <c r="H1787" s="216" t="s">
        <v>962</v>
      </c>
      <c r="I1787" s="216" t="s">
        <v>963</v>
      </c>
    </row>
    <row r="1788">
      <c r="A1788" s="212" t="s">
        <v>4969</v>
      </c>
      <c r="B1788" s="212" t="s">
        <v>4964</v>
      </c>
      <c r="C1788" s="212" t="s">
        <v>4965</v>
      </c>
      <c r="D1788" s="213">
        <v>45759.86486111111</v>
      </c>
      <c r="E1788" s="213">
        <v>45759.87851851852</v>
      </c>
      <c r="F1788" s="214" t="s">
        <v>435</v>
      </c>
      <c r="G1788" s="215" t="s">
        <v>435</v>
      </c>
      <c r="H1788" s="212" t="s">
        <v>962</v>
      </c>
      <c r="I1788" s="212" t="s">
        <v>963</v>
      </c>
    </row>
    <row r="1789">
      <c r="A1789" s="216" t="s">
        <v>4970</v>
      </c>
      <c r="B1789" s="216" t="s">
        <v>4971</v>
      </c>
      <c r="C1789" s="216" t="s">
        <v>4972</v>
      </c>
      <c r="D1789" s="217">
        <v>45482.68809027778</v>
      </c>
      <c r="E1789" s="217"/>
      <c r="F1789" s="218" t="s">
        <v>538</v>
      </c>
      <c r="G1789" s="219" t="s">
        <v>4973</v>
      </c>
      <c r="H1789" s="216" t="s">
        <v>265</v>
      </c>
      <c r="I1789" s="216" t="s">
        <v>260</v>
      </c>
    </row>
    <row r="1790">
      <c r="A1790" s="216" t="s">
        <v>4974</v>
      </c>
      <c r="B1790" s="216" t="s">
        <v>4975</v>
      </c>
      <c r="C1790" s="216" t="s">
        <v>4976</v>
      </c>
      <c r="D1790" s="217">
        <v>45445.60679398148</v>
      </c>
      <c r="E1790" s="217">
        <v>45446.41326388889</v>
      </c>
      <c r="F1790" s="218" t="s">
        <v>470</v>
      </c>
      <c r="G1790" s="219" t="s">
        <v>4977</v>
      </c>
      <c r="H1790" s="216" t="s">
        <v>265</v>
      </c>
      <c r="I1790" s="216" t="s">
        <v>4978</v>
      </c>
    </row>
    <row r="1791">
      <c r="A1791" s="212" t="s">
        <v>4979</v>
      </c>
      <c r="B1791" s="212" t="s">
        <v>4980</v>
      </c>
      <c r="C1791" s="212" t="s">
        <v>4981</v>
      </c>
      <c r="D1791" s="213">
        <v>45705.897372685184</v>
      </c>
      <c r="E1791" s="213">
        <v>45706.482766203706</v>
      </c>
      <c r="F1791" s="214" t="s">
        <v>470</v>
      </c>
      <c r="G1791" s="215" t="s">
        <v>4982</v>
      </c>
      <c r="H1791" s="212" t="s">
        <v>472</v>
      </c>
      <c r="I1791" s="212" t="s">
        <v>399</v>
      </c>
    </row>
    <row r="1792">
      <c r="A1792" s="216" t="s">
        <v>4983</v>
      </c>
      <c r="B1792" s="216" t="s">
        <v>4980</v>
      </c>
      <c r="C1792" s="216" t="s">
        <v>4984</v>
      </c>
      <c r="D1792" s="217">
        <v>45745.57648148148</v>
      </c>
      <c r="E1792" s="217">
        <v>45745.71193287037</v>
      </c>
      <c r="F1792" s="218" t="s">
        <v>645</v>
      </c>
      <c r="G1792" s="219" t="s">
        <v>4985</v>
      </c>
      <c r="H1792" s="216" t="s">
        <v>1345</v>
      </c>
      <c r="I1792" s="216" t="s">
        <v>399</v>
      </c>
    </row>
    <row r="1793">
      <c r="A1793" s="216" t="s">
        <v>4986</v>
      </c>
      <c r="B1793" s="216" t="s">
        <v>4987</v>
      </c>
      <c r="C1793" s="216" t="s">
        <v>4988</v>
      </c>
      <c r="D1793" s="217">
        <v>45760.89313657407</v>
      </c>
      <c r="E1793" s="217">
        <v>45760.9062962963</v>
      </c>
      <c r="F1793" s="218" t="s">
        <v>250</v>
      </c>
      <c r="G1793" s="219" t="s">
        <v>455</v>
      </c>
      <c r="H1793" s="216" t="s">
        <v>632</v>
      </c>
      <c r="I1793" s="216" t="s">
        <v>461</v>
      </c>
    </row>
    <row r="1794">
      <c r="A1794" s="216" t="s">
        <v>4989</v>
      </c>
      <c r="B1794" s="216" t="s">
        <v>4990</v>
      </c>
      <c r="C1794" s="216" t="s">
        <v>4991</v>
      </c>
      <c r="D1794" s="217">
        <v>45760.45978009259</v>
      </c>
      <c r="E1794" s="217">
        <v>45760.70496527778</v>
      </c>
      <c r="F1794" s="218" t="s">
        <v>503</v>
      </c>
      <c r="G1794" s="219" t="s">
        <v>1841</v>
      </c>
      <c r="H1794" s="216" t="s">
        <v>259</v>
      </c>
      <c r="I1794" s="216" t="s">
        <v>260</v>
      </c>
    </row>
    <row r="1795">
      <c r="A1795" s="212" t="s">
        <v>4992</v>
      </c>
      <c r="B1795" s="212" t="s">
        <v>4993</v>
      </c>
      <c r="C1795" s="212" t="s">
        <v>4994</v>
      </c>
      <c r="D1795" s="213">
        <v>45711.71934027778</v>
      </c>
      <c r="E1795" s="213">
        <v>45712.54530092593</v>
      </c>
      <c r="F1795" s="214" t="s">
        <v>580</v>
      </c>
      <c r="G1795" s="215" t="s">
        <v>4995</v>
      </c>
      <c r="H1795" s="212" t="s">
        <v>811</v>
      </c>
      <c r="I1795" s="212" t="s">
        <v>4996</v>
      </c>
    </row>
    <row r="1796">
      <c r="A1796" s="216" t="s">
        <v>4997</v>
      </c>
      <c r="B1796" s="216" t="s">
        <v>4998</v>
      </c>
      <c r="C1796" s="216" t="s">
        <v>4999</v>
      </c>
      <c r="D1796" s="217">
        <v>45508.78053240741</v>
      </c>
      <c r="E1796" s="217"/>
      <c r="F1796" s="218" t="s">
        <v>658</v>
      </c>
      <c r="G1796" s="219" t="s">
        <v>5000</v>
      </c>
      <c r="H1796" s="216" t="s">
        <v>346</v>
      </c>
      <c r="I1796" s="216" t="s">
        <v>357</v>
      </c>
    </row>
    <row r="1797">
      <c r="A1797" s="212" t="s">
        <v>5001</v>
      </c>
      <c r="B1797" s="212" t="s">
        <v>4998</v>
      </c>
      <c r="C1797" s="212" t="s">
        <v>5002</v>
      </c>
      <c r="D1797" s="213">
        <v>45487.73372685185</v>
      </c>
      <c r="E1797" s="213"/>
      <c r="F1797" s="214" t="s">
        <v>2351</v>
      </c>
      <c r="G1797" s="215" t="s">
        <v>5003</v>
      </c>
      <c r="H1797" s="212" t="s">
        <v>377</v>
      </c>
      <c r="I1797" s="212" t="s">
        <v>1533</v>
      </c>
    </row>
    <row r="1798">
      <c r="A1798" s="212" t="s">
        <v>5001</v>
      </c>
      <c r="B1798" s="212" t="s">
        <v>4998</v>
      </c>
      <c r="C1798" s="212" t="s">
        <v>5002</v>
      </c>
      <c r="D1798" s="213">
        <v>45487.73372685185</v>
      </c>
      <c r="E1798" s="213"/>
      <c r="F1798" s="214" t="s">
        <v>2351</v>
      </c>
      <c r="G1798" s="215" t="s">
        <v>5003</v>
      </c>
      <c r="H1798" s="212" t="s">
        <v>377</v>
      </c>
      <c r="I1798" s="212" t="s">
        <v>1533</v>
      </c>
    </row>
    <row r="1799">
      <c r="A1799" s="216" t="s">
        <v>5004</v>
      </c>
      <c r="B1799" s="216" t="s">
        <v>5005</v>
      </c>
      <c r="C1799" s="216" t="s">
        <v>5006</v>
      </c>
      <c r="D1799" s="217">
        <v>45479.911412037036</v>
      </c>
      <c r="E1799" s="224"/>
      <c r="F1799" s="218" t="s">
        <v>391</v>
      </c>
      <c r="G1799" s="219" t="s">
        <v>392</v>
      </c>
      <c r="H1799" s="216" t="s">
        <v>811</v>
      </c>
      <c r="I1799" s="216" t="s">
        <v>357</v>
      </c>
    </row>
    <row r="1800">
      <c r="A1800" s="212" t="s">
        <v>5007</v>
      </c>
      <c r="B1800" s="212" t="s">
        <v>5005</v>
      </c>
      <c r="C1800" s="212" t="s">
        <v>5006</v>
      </c>
      <c r="D1800" s="213">
        <v>45479.9109375</v>
      </c>
      <c r="E1800" s="213"/>
      <c r="F1800" s="214" t="s">
        <v>250</v>
      </c>
      <c r="G1800" s="215" t="s">
        <v>5008</v>
      </c>
      <c r="H1800" s="212" t="s">
        <v>811</v>
      </c>
      <c r="I1800" s="212" t="s">
        <v>357</v>
      </c>
    </row>
    <row r="1801">
      <c r="A1801" s="216" t="s">
        <v>5009</v>
      </c>
      <c r="B1801" s="216" t="s">
        <v>5005</v>
      </c>
      <c r="C1801" s="216" t="s">
        <v>5006</v>
      </c>
      <c r="D1801" s="217">
        <v>45444.523680555554</v>
      </c>
      <c r="E1801" s="217">
        <v>45447.31255787037</v>
      </c>
      <c r="F1801" s="218" t="s">
        <v>281</v>
      </c>
      <c r="G1801" s="219" t="s">
        <v>1268</v>
      </c>
      <c r="H1801" s="216" t="s">
        <v>811</v>
      </c>
      <c r="I1801" s="216" t="s">
        <v>357</v>
      </c>
    </row>
    <row r="1802">
      <c r="A1802" s="212" t="s">
        <v>5010</v>
      </c>
      <c r="B1802" s="212" t="s">
        <v>5011</v>
      </c>
      <c r="C1802" s="212" t="s">
        <v>4571</v>
      </c>
      <c r="D1802" s="213">
        <v>45549.735451388886</v>
      </c>
      <c r="E1802" s="213"/>
      <c r="F1802" s="214" t="s">
        <v>624</v>
      </c>
      <c r="G1802" s="215" t="s">
        <v>5012</v>
      </c>
      <c r="H1802" s="212" t="s">
        <v>388</v>
      </c>
      <c r="I1802" s="212" t="s">
        <v>1061</v>
      </c>
    </row>
    <row r="1803">
      <c r="A1803" s="212" t="s">
        <v>5013</v>
      </c>
      <c r="B1803" s="212" t="s">
        <v>5011</v>
      </c>
      <c r="C1803" s="212" t="s">
        <v>2541</v>
      </c>
      <c r="D1803" s="213">
        <v>45549.53880787037</v>
      </c>
      <c r="E1803" s="213"/>
      <c r="F1803" s="214" t="s">
        <v>5014</v>
      </c>
      <c r="G1803" s="215" t="s">
        <v>5015</v>
      </c>
      <c r="H1803" s="212" t="s">
        <v>377</v>
      </c>
      <c r="I1803" s="212" t="s">
        <v>357</v>
      </c>
    </row>
    <row r="1804">
      <c r="A1804" s="212" t="s">
        <v>5016</v>
      </c>
      <c r="B1804" s="212" t="s">
        <v>5011</v>
      </c>
      <c r="C1804" s="212" t="s">
        <v>4556</v>
      </c>
      <c r="D1804" s="213">
        <v>45540.85236111111</v>
      </c>
      <c r="E1804" s="213"/>
      <c r="F1804" s="214" t="s">
        <v>1884</v>
      </c>
      <c r="G1804" s="215" t="s">
        <v>5017</v>
      </c>
      <c r="H1804" s="212" t="s">
        <v>356</v>
      </c>
      <c r="I1804" s="212" t="s">
        <v>4179</v>
      </c>
    </row>
    <row r="1805">
      <c r="A1805" s="216" t="s">
        <v>5018</v>
      </c>
      <c r="B1805" s="216" t="s">
        <v>5011</v>
      </c>
      <c r="C1805" s="216" t="s">
        <v>4556</v>
      </c>
      <c r="D1805" s="217">
        <v>45540.85193287037</v>
      </c>
      <c r="E1805" s="225"/>
      <c r="F1805" s="218" t="s">
        <v>391</v>
      </c>
      <c r="G1805" s="219" t="s">
        <v>392</v>
      </c>
      <c r="H1805" s="216" t="s">
        <v>356</v>
      </c>
      <c r="I1805" s="216" t="s">
        <v>4179</v>
      </c>
    </row>
    <row r="1806">
      <c r="A1806" s="216" t="s">
        <v>5019</v>
      </c>
      <c r="B1806" s="216" t="s">
        <v>5011</v>
      </c>
      <c r="C1806" s="216" t="s">
        <v>2541</v>
      </c>
      <c r="D1806" s="217">
        <v>45537.45790509259</v>
      </c>
      <c r="E1806" s="217"/>
      <c r="F1806" s="218" t="s">
        <v>431</v>
      </c>
      <c r="G1806" s="219" t="s">
        <v>1900</v>
      </c>
      <c r="H1806" s="216" t="s">
        <v>377</v>
      </c>
      <c r="I1806" s="216" t="s">
        <v>357</v>
      </c>
    </row>
    <row r="1807">
      <c r="A1807" s="212" t="s">
        <v>5020</v>
      </c>
      <c r="B1807" s="212" t="s">
        <v>5011</v>
      </c>
      <c r="C1807" s="212" t="s">
        <v>5021</v>
      </c>
      <c r="D1807" s="213">
        <v>45537.457094907404</v>
      </c>
      <c r="E1807" s="213"/>
      <c r="F1807" s="214" t="s">
        <v>5022</v>
      </c>
      <c r="G1807" s="215" t="s">
        <v>5023</v>
      </c>
      <c r="H1807" s="212" t="s">
        <v>811</v>
      </c>
      <c r="I1807" s="212" t="s">
        <v>1061</v>
      </c>
    </row>
    <row r="1808">
      <c r="A1808" s="216" t="s">
        <v>5024</v>
      </c>
      <c r="B1808" s="216" t="s">
        <v>5011</v>
      </c>
      <c r="C1808" s="216" t="s">
        <v>2541</v>
      </c>
      <c r="D1808" s="217">
        <v>45529.65173611111</v>
      </c>
      <c r="E1808" s="217"/>
      <c r="F1808" s="218" t="s">
        <v>1259</v>
      </c>
      <c r="G1808" s="219" t="s">
        <v>5025</v>
      </c>
      <c r="H1808" s="216" t="s">
        <v>811</v>
      </c>
      <c r="I1808" s="216" t="s">
        <v>357</v>
      </c>
    </row>
    <row r="1809">
      <c r="A1809" s="212" t="s">
        <v>5026</v>
      </c>
      <c r="B1809" s="212" t="s">
        <v>5011</v>
      </c>
      <c r="C1809" s="212" t="s">
        <v>2541</v>
      </c>
      <c r="D1809" s="213">
        <v>45520.867743055554</v>
      </c>
      <c r="E1809" s="213"/>
      <c r="F1809" s="214" t="s">
        <v>1487</v>
      </c>
      <c r="G1809" s="215" t="s">
        <v>5027</v>
      </c>
      <c r="H1809" s="212" t="s">
        <v>811</v>
      </c>
      <c r="I1809" s="212" t="s">
        <v>357</v>
      </c>
    </row>
    <row r="1810">
      <c r="A1810" s="216" t="s">
        <v>5028</v>
      </c>
      <c r="B1810" s="216" t="s">
        <v>5011</v>
      </c>
      <c r="C1810" s="216" t="s">
        <v>2541</v>
      </c>
      <c r="D1810" s="217">
        <v>45499.79568287037</v>
      </c>
      <c r="E1810" s="217"/>
      <c r="F1810" s="218" t="s">
        <v>286</v>
      </c>
      <c r="G1810" s="219" t="s">
        <v>5029</v>
      </c>
      <c r="H1810" s="216" t="s">
        <v>377</v>
      </c>
      <c r="I1810" s="216" t="s">
        <v>357</v>
      </c>
    </row>
    <row r="1811">
      <c r="A1811" s="216" t="s">
        <v>5030</v>
      </c>
      <c r="B1811" s="216" t="s">
        <v>5011</v>
      </c>
      <c r="C1811" s="216" t="s">
        <v>2541</v>
      </c>
      <c r="D1811" s="217">
        <v>45491.89366898148</v>
      </c>
      <c r="E1811" s="217"/>
      <c r="F1811" s="218" t="s">
        <v>431</v>
      </c>
      <c r="G1811" s="219" t="s">
        <v>5031</v>
      </c>
      <c r="H1811" s="216" t="s">
        <v>377</v>
      </c>
      <c r="I1811" s="216" t="s">
        <v>357</v>
      </c>
    </row>
    <row r="1812">
      <c r="A1812" s="212" t="s">
        <v>5032</v>
      </c>
      <c r="B1812" s="212" t="s">
        <v>5011</v>
      </c>
      <c r="C1812" s="212" t="s">
        <v>5021</v>
      </c>
      <c r="D1812" s="213">
        <v>45491.89263888889</v>
      </c>
      <c r="E1812" s="213"/>
      <c r="F1812" s="214" t="s">
        <v>3550</v>
      </c>
      <c r="G1812" s="215" t="s">
        <v>5033</v>
      </c>
      <c r="H1812" s="212" t="s">
        <v>811</v>
      </c>
      <c r="I1812" s="212" t="s">
        <v>1061</v>
      </c>
    </row>
    <row r="1813">
      <c r="A1813" s="216" t="s">
        <v>5034</v>
      </c>
      <c r="B1813" s="216" t="s">
        <v>5011</v>
      </c>
      <c r="C1813" s="216" t="s">
        <v>2541</v>
      </c>
      <c r="D1813" s="217">
        <v>45482.90508101852</v>
      </c>
      <c r="E1813" s="217"/>
      <c r="F1813" s="218" t="s">
        <v>1199</v>
      </c>
      <c r="G1813" s="219" t="s">
        <v>5035</v>
      </c>
      <c r="H1813" s="216" t="s">
        <v>377</v>
      </c>
      <c r="I1813" s="216" t="s">
        <v>357</v>
      </c>
    </row>
    <row r="1814">
      <c r="A1814" s="216" t="s">
        <v>5030</v>
      </c>
      <c r="B1814" s="216" t="s">
        <v>5011</v>
      </c>
      <c r="C1814" s="216" t="s">
        <v>2541</v>
      </c>
      <c r="D1814" s="217">
        <v>45491.89366898148</v>
      </c>
      <c r="E1814" s="217"/>
      <c r="F1814" s="218" t="s">
        <v>431</v>
      </c>
      <c r="G1814" s="219" t="s">
        <v>5031</v>
      </c>
      <c r="H1814" s="216" t="s">
        <v>377</v>
      </c>
      <c r="I1814" s="216" t="s">
        <v>357</v>
      </c>
    </row>
    <row r="1815">
      <c r="A1815" s="212" t="s">
        <v>5032</v>
      </c>
      <c r="B1815" s="212" t="s">
        <v>5011</v>
      </c>
      <c r="C1815" s="212" t="s">
        <v>5021</v>
      </c>
      <c r="D1815" s="213">
        <v>45491.89263888889</v>
      </c>
      <c r="E1815" s="213"/>
      <c r="F1815" s="214" t="s">
        <v>3550</v>
      </c>
      <c r="G1815" s="215" t="s">
        <v>5033</v>
      </c>
      <c r="H1815" s="212" t="s">
        <v>811</v>
      </c>
      <c r="I1815" s="212" t="s">
        <v>1061</v>
      </c>
    </row>
    <row r="1816">
      <c r="A1816" s="216" t="s">
        <v>5034</v>
      </c>
      <c r="B1816" s="216" t="s">
        <v>5011</v>
      </c>
      <c r="C1816" s="216" t="s">
        <v>2541</v>
      </c>
      <c r="D1816" s="217">
        <v>45482.90508101852</v>
      </c>
      <c r="E1816" s="217"/>
      <c r="F1816" s="218" t="s">
        <v>1199</v>
      </c>
      <c r="G1816" s="219" t="s">
        <v>5035</v>
      </c>
      <c r="H1816" s="216" t="s">
        <v>377</v>
      </c>
      <c r="I1816" s="216" t="s">
        <v>357</v>
      </c>
    </row>
    <row r="1817">
      <c r="A1817" s="212" t="s">
        <v>5036</v>
      </c>
      <c r="B1817" s="212" t="s">
        <v>5011</v>
      </c>
      <c r="C1817" s="212" t="s">
        <v>2541</v>
      </c>
      <c r="D1817" s="213">
        <v>45477.74747685185</v>
      </c>
      <c r="E1817" s="213"/>
      <c r="F1817" s="214" t="s">
        <v>5037</v>
      </c>
      <c r="G1817" s="215" t="s">
        <v>5038</v>
      </c>
      <c r="H1817" s="212" t="s">
        <v>377</v>
      </c>
      <c r="I1817" s="212" t="s">
        <v>357</v>
      </c>
    </row>
    <row r="1818">
      <c r="A1818" s="216" t="s">
        <v>5039</v>
      </c>
      <c r="B1818" s="216" t="s">
        <v>5011</v>
      </c>
      <c r="C1818" s="216" t="s">
        <v>5021</v>
      </c>
      <c r="D1818" s="217">
        <v>45464.89450231481</v>
      </c>
      <c r="E1818" s="217"/>
      <c r="F1818" s="218" t="s">
        <v>5040</v>
      </c>
      <c r="G1818" s="219" t="s">
        <v>5041</v>
      </c>
      <c r="H1818" s="216" t="s">
        <v>811</v>
      </c>
      <c r="I1818" s="216" t="s">
        <v>1061</v>
      </c>
    </row>
    <row r="1819">
      <c r="A1819" s="212" t="s">
        <v>5042</v>
      </c>
      <c r="B1819" s="212" t="s">
        <v>5011</v>
      </c>
      <c r="C1819" s="212" t="s">
        <v>2541</v>
      </c>
      <c r="D1819" s="213">
        <v>45457.907060185185</v>
      </c>
      <c r="E1819" s="213">
        <v>45458.26048611111</v>
      </c>
      <c r="F1819" s="214" t="s">
        <v>250</v>
      </c>
      <c r="G1819" s="215" t="s">
        <v>2366</v>
      </c>
      <c r="H1819" s="212" t="s">
        <v>377</v>
      </c>
      <c r="I1819" s="212" t="s">
        <v>357</v>
      </c>
    </row>
    <row r="1820">
      <c r="A1820" s="216" t="s">
        <v>5043</v>
      </c>
      <c r="B1820" s="216" t="s">
        <v>5011</v>
      </c>
      <c r="C1820" s="216" t="s">
        <v>2541</v>
      </c>
      <c r="D1820" s="217">
        <v>45715.87268518518</v>
      </c>
      <c r="E1820" s="217">
        <v>45715.88197916667</v>
      </c>
      <c r="F1820" s="218" t="s">
        <v>1313</v>
      </c>
      <c r="G1820" s="219" t="s">
        <v>5044</v>
      </c>
      <c r="H1820" s="216" t="s">
        <v>811</v>
      </c>
      <c r="I1820" s="216" t="s">
        <v>357</v>
      </c>
    </row>
    <row r="1821">
      <c r="A1821" s="212" t="s">
        <v>5045</v>
      </c>
      <c r="B1821" s="212" t="s">
        <v>5011</v>
      </c>
      <c r="C1821" s="212" t="s">
        <v>2541</v>
      </c>
      <c r="D1821" s="213">
        <v>45707.59668981482</v>
      </c>
      <c r="E1821" s="213">
        <v>45707.604421296295</v>
      </c>
      <c r="F1821" s="214" t="s">
        <v>5046</v>
      </c>
      <c r="G1821" s="215" t="s">
        <v>5047</v>
      </c>
      <c r="H1821" s="212" t="s">
        <v>811</v>
      </c>
      <c r="I1821" s="212" t="s">
        <v>357</v>
      </c>
    </row>
    <row r="1822">
      <c r="A1822" s="212" t="s">
        <v>5048</v>
      </c>
      <c r="B1822" s="212" t="s">
        <v>5011</v>
      </c>
      <c r="C1822" s="212" t="s">
        <v>5049</v>
      </c>
      <c r="D1822" s="213">
        <v>45744.85696759259</v>
      </c>
      <c r="E1822" s="213">
        <v>45744.87851851852</v>
      </c>
      <c r="F1822" s="214" t="s">
        <v>5050</v>
      </c>
      <c r="G1822" s="215" t="s">
        <v>5051</v>
      </c>
      <c r="H1822" s="212" t="s">
        <v>377</v>
      </c>
      <c r="I1822" s="212" t="s">
        <v>357</v>
      </c>
    </row>
    <row r="1823">
      <c r="A1823" s="212" t="s">
        <v>5052</v>
      </c>
      <c r="B1823" s="212" t="s">
        <v>5011</v>
      </c>
      <c r="C1823" s="212" t="s">
        <v>4571</v>
      </c>
      <c r="D1823" s="213">
        <v>45748.86329861111</v>
      </c>
      <c r="E1823" s="213">
        <v>45751.70851851852</v>
      </c>
      <c r="F1823" s="214" t="s">
        <v>735</v>
      </c>
      <c r="G1823" s="215" t="s">
        <v>5053</v>
      </c>
      <c r="H1823" s="212" t="s">
        <v>388</v>
      </c>
      <c r="I1823" s="212" t="s">
        <v>1061</v>
      </c>
    </row>
    <row r="1824">
      <c r="A1824" s="216" t="s">
        <v>5054</v>
      </c>
      <c r="B1824" s="216" t="s">
        <v>5011</v>
      </c>
      <c r="C1824" s="216" t="s">
        <v>4571</v>
      </c>
      <c r="D1824" s="217">
        <v>45748.86287037037</v>
      </c>
      <c r="E1824" s="224"/>
      <c r="F1824" s="218" t="s">
        <v>391</v>
      </c>
      <c r="G1824" s="219" t="s">
        <v>392</v>
      </c>
      <c r="H1824" s="216" t="s">
        <v>388</v>
      </c>
      <c r="I1824" s="216" t="s">
        <v>1061</v>
      </c>
    </row>
    <row r="1825">
      <c r="A1825" s="212" t="s">
        <v>5055</v>
      </c>
      <c r="B1825" s="212" t="s">
        <v>5011</v>
      </c>
      <c r="C1825" s="212" t="s">
        <v>5049</v>
      </c>
      <c r="D1825" s="213">
        <v>45748.59087962963</v>
      </c>
      <c r="E1825" s="213">
        <v>45748.74668981481</v>
      </c>
      <c r="F1825" s="214" t="s">
        <v>5056</v>
      </c>
      <c r="G1825" s="215" t="s">
        <v>5057</v>
      </c>
      <c r="H1825" s="212" t="s">
        <v>377</v>
      </c>
      <c r="I1825" s="212" t="s">
        <v>357</v>
      </c>
    </row>
    <row r="1826">
      <c r="A1826" s="212" t="s">
        <v>5058</v>
      </c>
      <c r="B1826" s="212" t="s">
        <v>5059</v>
      </c>
      <c r="C1826" s="212" t="s">
        <v>3219</v>
      </c>
      <c r="D1826" s="213">
        <v>45542.7218287037</v>
      </c>
      <c r="E1826" s="213"/>
      <c r="F1826" s="214" t="s">
        <v>503</v>
      </c>
      <c r="G1826" s="215" t="s">
        <v>5060</v>
      </c>
      <c r="H1826" s="212" t="s">
        <v>265</v>
      </c>
      <c r="I1826" s="212" t="s">
        <v>3220</v>
      </c>
    </row>
    <row r="1827">
      <c r="A1827" s="212" t="s">
        <v>5061</v>
      </c>
      <c r="B1827" s="212" t="s">
        <v>5059</v>
      </c>
      <c r="C1827" s="212" t="s">
        <v>3219</v>
      </c>
      <c r="D1827" s="213">
        <v>45745.57099537037</v>
      </c>
      <c r="E1827" s="213">
        <v>45745.73621527778</v>
      </c>
      <c r="F1827" s="214" t="s">
        <v>715</v>
      </c>
      <c r="G1827" s="215" t="s">
        <v>5062</v>
      </c>
      <c r="H1827" s="212" t="s">
        <v>265</v>
      </c>
      <c r="I1827" s="212" t="s">
        <v>3220</v>
      </c>
    </row>
    <row r="1828">
      <c r="A1828" s="212" t="s">
        <v>5063</v>
      </c>
      <c r="B1828" s="212" t="s">
        <v>5064</v>
      </c>
      <c r="C1828" s="212" t="s">
        <v>5065</v>
      </c>
      <c r="D1828" s="213">
        <v>45732.7778125</v>
      </c>
      <c r="E1828" s="213">
        <v>45732.81947916667</v>
      </c>
      <c r="F1828" s="214" t="s">
        <v>380</v>
      </c>
      <c r="G1828" s="215" t="s">
        <v>5066</v>
      </c>
      <c r="H1828" s="212" t="s">
        <v>259</v>
      </c>
      <c r="I1828" s="212" t="s">
        <v>1775</v>
      </c>
    </row>
    <row r="1829">
      <c r="A1829" s="212" t="s">
        <v>5067</v>
      </c>
      <c r="B1829" s="212" t="s">
        <v>5064</v>
      </c>
      <c r="C1829" s="212" t="s">
        <v>5065</v>
      </c>
      <c r="D1829" s="213">
        <v>45774.48672453704</v>
      </c>
      <c r="E1829" s="213">
        <v>45777.82310185185</v>
      </c>
      <c r="F1829" s="214" t="s">
        <v>431</v>
      </c>
      <c r="G1829" s="215" t="s">
        <v>2101</v>
      </c>
      <c r="H1829" s="212" t="s">
        <v>259</v>
      </c>
      <c r="I1829" s="212" t="s">
        <v>1775</v>
      </c>
    </row>
    <row r="1830">
      <c r="A1830" s="212" t="s">
        <v>5068</v>
      </c>
      <c r="B1830" s="212" t="s">
        <v>5069</v>
      </c>
      <c r="C1830" s="212" t="s">
        <v>5070</v>
      </c>
      <c r="D1830" s="213">
        <v>45777.49521990741</v>
      </c>
      <c r="E1830" s="213">
        <v>45777.680659722224</v>
      </c>
      <c r="F1830" s="214" t="s">
        <v>5071</v>
      </c>
      <c r="G1830" s="215" t="s">
        <v>5072</v>
      </c>
      <c r="H1830" s="212" t="s">
        <v>259</v>
      </c>
      <c r="I1830" s="212" t="s">
        <v>3455</v>
      </c>
    </row>
    <row r="1831">
      <c r="A1831" s="216" t="s">
        <v>5073</v>
      </c>
      <c r="B1831" s="216" t="s">
        <v>5074</v>
      </c>
      <c r="C1831" s="216" t="s">
        <v>5075</v>
      </c>
      <c r="D1831" s="217">
        <v>45529.718668981484</v>
      </c>
      <c r="E1831" s="217"/>
      <c r="F1831" s="218" t="s">
        <v>5076</v>
      </c>
      <c r="G1831" s="219" t="s">
        <v>5077</v>
      </c>
      <c r="H1831" s="216" t="s">
        <v>265</v>
      </c>
      <c r="I1831" s="216" t="s">
        <v>3126</v>
      </c>
    </row>
    <row r="1832">
      <c r="A1832" s="212" t="s">
        <v>5078</v>
      </c>
      <c r="B1832" s="212" t="s">
        <v>5074</v>
      </c>
      <c r="C1832" s="212" t="s">
        <v>5075</v>
      </c>
      <c r="D1832" s="213">
        <v>45515.78872685185</v>
      </c>
      <c r="E1832" s="213"/>
      <c r="F1832" s="214" t="s">
        <v>431</v>
      </c>
      <c r="G1832" s="215" t="s">
        <v>3364</v>
      </c>
      <c r="H1832" s="212" t="s">
        <v>265</v>
      </c>
      <c r="I1832" s="212" t="s">
        <v>3126</v>
      </c>
    </row>
    <row r="1833">
      <c r="A1833" s="216" t="s">
        <v>5079</v>
      </c>
      <c r="B1833" s="216" t="s">
        <v>5074</v>
      </c>
      <c r="C1833" s="216" t="s">
        <v>5075</v>
      </c>
      <c r="D1833" s="217">
        <v>45494.51221064815</v>
      </c>
      <c r="E1833" s="217"/>
      <c r="F1833" s="218" t="s">
        <v>250</v>
      </c>
      <c r="G1833" s="219" t="s">
        <v>4603</v>
      </c>
      <c r="H1833" s="216" t="s">
        <v>265</v>
      </c>
      <c r="I1833" s="216" t="s">
        <v>3126</v>
      </c>
    </row>
    <row r="1834">
      <c r="A1834" s="212" t="s">
        <v>5080</v>
      </c>
      <c r="B1834" s="212" t="s">
        <v>5074</v>
      </c>
      <c r="C1834" s="212" t="s">
        <v>5075</v>
      </c>
      <c r="D1834" s="213">
        <v>45711.80633101852</v>
      </c>
      <c r="E1834" s="213">
        <v>45711.816030092596</v>
      </c>
      <c r="F1834" s="214" t="s">
        <v>503</v>
      </c>
      <c r="G1834" s="215" t="s">
        <v>5081</v>
      </c>
      <c r="H1834" s="212" t="s">
        <v>265</v>
      </c>
      <c r="I1834" s="212" t="s">
        <v>3126</v>
      </c>
    </row>
    <row r="1835">
      <c r="A1835" s="212" t="s">
        <v>5082</v>
      </c>
      <c r="B1835" s="212" t="s">
        <v>5083</v>
      </c>
      <c r="C1835" s="212" t="s">
        <v>5084</v>
      </c>
      <c r="D1835" s="213">
        <v>45507.909479166665</v>
      </c>
      <c r="E1835" s="213"/>
      <c r="F1835" s="214" t="s">
        <v>2966</v>
      </c>
      <c r="G1835" s="215" t="s">
        <v>5085</v>
      </c>
      <c r="H1835" s="212" t="s">
        <v>265</v>
      </c>
      <c r="I1835" s="212" t="s">
        <v>2071</v>
      </c>
    </row>
    <row r="1836">
      <c r="A1836" s="216" t="s">
        <v>5086</v>
      </c>
      <c r="B1836" s="216" t="s">
        <v>5083</v>
      </c>
      <c r="C1836" s="216" t="s">
        <v>5084</v>
      </c>
      <c r="D1836" s="217">
        <v>45497.63040509259</v>
      </c>
      <c r="E1836" s="217"/>
      <c r="F1836" s="218" t="s">
        <v>988</v>
      </c>
      <c r="G1836" s="219" t="s">
        <v>553</v>
      </c>
      <c r="H1836" s="216" t="s">
        <v>265</v>
      </c>
      <c r="I1836" s="216" t="s">
        <v>2071</v>
      </c>
    </row>
    <row r="1837">
      <c r="A1837" s="216" t="s">
        <v>5087</v>
      </c>
      <c r="B1837" s="216" t="s">
        <v>5083</v>
      </c>
      <c r="C1837" s="216" t="s">
        <v>5088</v>
      </c>
      <c r="D1837" s="217">
        <v>45458.70112268518</v>
      </c>
      <c r="E1837" s="217">
        <v>45462.3334375</v>
      </c>
      <c r="F1837" s="218" t="s">
        <v>281</v>
      </c>
      <c r="G1837" s="219" t="s">
        <v>1758</v>
      </c>
      <c r="H1837" s="216" t="s">
        <v>259</v>
      </c>
      <c r="I1837" s="216" t="s">
        <v>2071</v>
      </c>
    </row>
    <row r="1838">
      <c r="A1838" s="212" t="s">
        <v>5089</v>
      </c>
      <c r="B1838" s="212" t="s">
        <v>5083</v>
      </c>
      <c r="C1838" s="212" t="s">
        <v>5088</v>
      </c>
      <c r="D1838" s="213">
        <v>45443.47248842593</v>
      </c>
      <c r="E1838" s="213">
        <v>45444.36472222222</v>
      </c>
      <c r="F1838" s="214" t="s">
        <v>1259</v>
      </c>
      <c r="G1838" s="215" t="s">
        <v>5090</v>
      </c>
      <c r="H1838" s="212" t="s">
        <v>259</v>
      </c>
      <c r="I1838" s="212" t="s">
        <v>2071</v>
      </c>
    </row>
    <row r="1839">
      <c r="A1839" s="216" t="s">
        <v>5091</v>
      </c>
      <c r="B1839" s="216" t="s">
        <v>5083</v>
      </c>
      <c r="C1839" s="216" t="s">
        <v>5088</v>
      </c>
      <c r="D1839" s="217">
        <v>45431.810960648145</v>
      </c>
      <c r="E1839" s="217">
        <v>45433.368125</v>
      </c>
      <c r="F1839" s="218" t="s">
        <v>658</v>
      </c>
      <c r="G1839" s="219" t="s">
        <v>5092</v>
      </c>
      <c r="H1839" s="216" t="s">
        <v>265</v>
      </c>
      <c r="I1839" s="216" t="s">
        <v>2071</v>
      </c>
    </row>
    <row r="1840">
      <c r="A1840" s="216" t="s">
        <v>5093</v>
      </c>
      <c r="B1840" s="216" t="s">
        <v>5083</v>
      </c>
      <c r="C1840" s="216" t="s">
        <v>5088</v>
      </c>
      <c r="D1840" s="217">
        <v>45734.77574074074</v>
      </c>
      <c r="E1840" s="217">
        <v>45735.48966435185</v>
      </c>
      <c r="F1840" s="218" t="s">
        <v>380</v>
      </c>
      <c r="G1840" s="219" t="s">
        <v>3898</v>
      </c>
      <c r="H1840" s="216" t="s">
        <v>259</v>
      </c>
      <c r="I1840" s="216" t="s">
        <v>2071</v>
      </c>
    </row>
    <row r="1841">
      <c r="A1841" s="216" t="s">
        <v>5094</v>
      </c>
      <c r="B1841" s="216" t="s">
        <v>5083</v>
      </c>
      <c r="C1841" s="216" t="s">
        <v>5088</v>
      </c>
      <c r="D1841" s="217">
        <v>45748.84148148148</v>
      </c>
      <c r="E1841" s="217">
        <v>45749.51739583333</v>
      </c>
      <c r="F1841" s="218" t="s">
        <v>470</v>
      </c>
      <c r="G1841" s="219" t="s">
        <v>5095</v>
      </c>
      <c r="H1841" s="216" t="s">
        <v>259</v>
      </c>
      <c r="I1841" s="216" t="s">
        <v>2071</v>
      </c>
    </row>
    <row r="1842">
      <c r="A1842" s="212" t="s">
        <v>5096</v>
      </c>
      <c r="B1842" s="212" t="s">
        <v>5097</v>
      </c>
      <c r="C1842" s="212" t="s">
        <v>3239</v>
      </c>
      <c r="D1842" s="213">
        <v>45544.69415509259</v>
      </c>
      <c r="E1842" s="213"/>
      <c r="F1842" s="214" t="s">
        <v>431</v>
      </c>
      <c r="G1842" s="215" t="s">
        <v>1900</v>
      </c>
      <c r="H1842" s="212" t="s">
        <v>377</v>
      </c>
      <c r="I1842" s="212" t="s">
        <v>357</v>
      </c>
    </row>
    <row r="1843">
      <c r="A1843" s="216" t="s">
        <v>5098</v>
      </c>
      <c r="B1843" s="216" t="s">
        <v>5097</v>
      </c>
      <c r="C1843" s="216" t="s">
        <v>3239</v>
      </c>
      <c r="D1843" s="217">
        <v>45500.81282407408</v>
      </c>
      <c r="E1843" s="217"/>
      <c r="F1843" s="218" t="s">
        <v>1450</v>
      </c>
      <c r="G1843" s="219" t="s">
        <v>5099</v>
      </c>
      <c r="H1843" s="216" t="s">
        <v>377</v>
      </c>
      <c r="I1843" s="216" t="s">
        <v>357</v>
      </c>
    </row>
    <row r="1844">
      <c r="A1844" s="212" t="s">
        <v>5100</v>
      </c>
      <c r="B1844" s="212" t="s">
        <v>5097</v>
      </c>
      <c r="C1844" s="212" t="s">
        <v>3239</v>
      </c>
      <c r="D1844" s="213">
        <v>45500.81214120371</v>
      </c>
      <c r="E1844" s="226"/>
      <c r="F1844" s="214" t="s">
        <v>391</v>
      </c>
      <c r="G1844" s="215" t="s">
        <v>392</v>
      </c>
      <c r="H1844" s="212" t="s">
        <v>377</v>
      </c>
      <c r="I1844" s="212" t="s">
        <v>357</v>
      </c>
    </row>
    <row r="1845">
      <c r="A1845" s="212" t="s">
        <v>5101</v>
      </c>
      <c r="B1845" s="212" t="s">
        <v>5097</v>
      </c>
      <c r="C1845" s="212" t="s">
        <v>3239</v>
      </c>
      <c r="D1845" s="213">
        <v>45486.91799768519</v>
      </c>
      <c r="E1845" s="213"/>
      <c r="F1845" s="214" t="s">
        <v>317</v>
      </c>
      <c r="G1845" s="215" t="s">
        <v>5102</v>
      </c>
      <c r="H1845" s="212" t="s">
        <v>377</v>
      </c>
      <c r="I1845" s="212" t="s">
        <v>357</v>
      </c>
    </row>
    <row r="1846">
      <c r="A1846" s="212" t="s">
        <v>5101</v>
      </c>
      <c r="B1846" s="212" t="s">
        <v>5097</v>
      </c>
      <c r="C1846" s="212" t="s">
        <v>3239</v>
      </c>
      <c r="D1846" s="213">
        <v>45486.91799768519</v>
      </c>
      <c r="E1846" s="213"/>
      <c r="F1846" s="214" t="s">
        <v>317</v>
      </c>
      <c r="G1846" s="215" t="s">
        <v>5102</v>
      </c>
      <c r="H1846" s="212" t="s">
        <v>377</v>
      </c>
      <c r="I1846" s="212" t="s">
        <v>357</v>
      </c>
    </row>
    <row r="1847">
      <c r="A1847" s="216" t="s">
        <v>5103</v>
      </c>
      <c r="B1847" s="216" t="s">
        <v>5097</v>
      </c>
      <c r="C1847" s="216" t="s">
        <v>3239</v>
      </c>
      <c r="D1847" s="217">
        <v>45711.51002314815</v>
      </c>
      <c r="E1847" s="217">
        <v>45711.531331018516</v>
      </c>
      <c r="F1847" s="218" t="s">
        <v>1105</v>
      </c>
      <c r="G1847" s="219" t="s">
        <v>5104</v>
      </c>
      <c r="H1847" s="216" t="s">
        <v>377</v>
      </c>
      <c r="I1847" s="216" t="s">
        <v>357</v>
      </c>
    </row>
    <row r="1848">
      <c r="A1848" s="216" t="s">
        <v>5105</v>
      </c>
      <c r="B1848" s="216" t="s">
        <v>5097</v>
      </c>
      <c r="C1848" s="216" t="s">
        <v>3239</v>
      </c>
      <c r="D1848" s="217">
        <v>45760.51961805556</v>
      </c>
      <c r="E1848" s="217">
        <v>45760.56263888889</v>
      </c>
      <c r="F1848" s="218" t="s">
        <v>5106</v>
      </c>
      <c r="G1848" s="219" t="s">
        <v>5107</v>
      </c>
      <c r="H1848" s="216" t="s">
        <v>377</v>
      </c>
      <c r="I1848" s="216" t="s">
        <v>357</v>
      </c>
    </row>
    <row r="1849">
      <c r="A1849" s="216" t="s">
        <v>5108</v>
      </c>
      <c r="B1849" s="216" t="s">
        <v>1249</v>
      </c>
      <c r="C1849" s="216" t="s">
        <v>5109</v>
      </c>
      <c r="D1849" s="217">
        <v>45549.66899305556</v>
      </c>
      <c r="E1849" s="217"/>
      <c r="F1849" s="218" t="s">
        <v>1259</v>
      </c>
      <c r="G1849" s="219" t="s">
        <v>5110</v>
      </c>
      <c r="H1849" s="216" t="s">
        <v>283</v>
      </c>
      <c r="I1849" s="216" t="s">
        <v>5111</v>
      </c>
    </row>
    <row r="1850">
      <c r="A1850" s="212" t="s">
        <v>5112</v>
      </c>
      <c r="B1850" s="212" t="s">
        <v>1249</v>
      </c>
      <c r="C1850" s="212" t="s">
        <v>5113</v>
      </c>
      <c r="D1850" s="213">
        <v>45547.816458333335</v>
      </c>
      <c r="E1850" s="213"/>
      <c r="F1850" s="214" t="s">
        <v>481</v>
      </c>
      <c r="G1850" s="215" t="s">
        <v>5114</v>
      </c>
      <c r="H1850" s="212" t="s">
        <v>811</v>
      </c>
      <c r="I1850" s="212" t="s">
        <v>1250</v>
      </c>
    </row>
    <row r="1851">
      <c r="A1851" s="212" t="s">
        <v>5115</v>
      </c>
      <c r="B1851" s="212" t="s">
        <v>1249</v>
      </c>
      <c r="C1851" s="212" t="s">
        <v>1258</v>
      </c>
      <c r="D1851" s="213">
        <v>45542.475949074076</v>
      </c>
      <c r="E1851" s="213"/>
      <c r="F1851" s="214" t="s">
        <v>281</v>
      </c>
      <c r="G1851" s="215" t="s">
        <v>5116</v>
      </c>
      <c r="H1851" s="212" t="s">
        <v>811</v>
      </c>
      <c r="I1851" s="212" t="s">
        <v>1250</v>
      </c>
    </row>
    <row r="1852">
      <c r="A1852" s="216" t="s">
        <v>5117</v>
      </c>
      <c r="B1852" s="216" t="s">
        <v>1249</v>
      </c>
      <c r="C1852" s="216" t="s">
        <v>5118</v>
      </c>
      <c r="D1852" s="217">
        <v>45541.85938657408</v>
      </c>
      <c r="E1852" s="217"/>
      <c r="F1852" s="218" t="s">
        <v>360</v>
      </c>
      <c r="G1852" s="219" t="s">
        <v>361</v>
      </c>
      <c r="H1852" s="216" t="s">
        <v>811</v>
      </c>
      <c r="I1852" s="216" t="s">
        <v>2951</v>
      </c>
    </row>
    <row r="1853">
      <c r="A1853" s="212" t="s">
        <v>5119</v>
      </c>
      <c r="B1853" s="212" t="s">
        <v>1249</v>
      </c>
      <c r="C1853" s="212" t="s">
        <v>5120</v>
      </c>
      <c r="D1853" s="213">
        <v>45534.90886574074</v>
      </c>
      <c r="E1853" s="213"/>
      <c r="F1853" s="214" t="s">
        <v>1259</v>
      </c>
      <c r="G1853" s="215" t="s">
        <v>1260</v>
      </c>
      <c r="H1853" s="212" t="s">
        <v>377</v>
      </c>
      <c r="I1853" s="212" t="s">
        <v>2951</v>
      </c>
    </row>
    <row r="1854">
      <c r="A1854" s="216" t="s">
        <v>5121</v>
      </c>
      <c r="B1854" s="216" t="s">
        <v>1249</v>
      </c>
      <c r="C1854" s="216" t="s">
        <v>5118</v>
      </c>
      <c r="D1854" s="217">
        <v>45514.592210648145</v>
      </c>
      <c r="E1854" s="217"/>
      <c r="F1854" s="218" t="s">
        <v>735</v>
      </c>
      <c r="G1854" s="219" t="s">
        <v>5122</v>
      </c>
      <c r="H1854" s="216" t="s">
        <v>811</v>
      </c>
      <c r="I1854" s="216" t="s">
        <v>2951</v>
      </c>
    </row>
    <row r="1855">
      <c r="A1855" s="216" t="s">
        <v>5123</v>
      </c>
      <c r="B1855" s="216" t="s">
        <v>1249</v>
      </c>
      <c r="C1855" s="216" t="s">
        <v>1258</v>
      </c>
      <c r="D1855" s="217">
        <v>45508.856770833336</v>
      </c>
      <c r="E1855" s="217"/>
      <c r="F1855" s="218" t="s">
        <v>5124</v>
      </c>
      <c r="G1855" s="219" t="s">
        <v>5125</v>
      </c>
      <c r="H1855" s="216" t="s">
        <v>811</v>
      </c>
      <c r="I1855" s="216" t="s">
        <v>1250</v>
      </c>
    </row>
    <row r="1856">
      <c r="A1856" s="216" t="s">
        <v>5126</v>
      </c>
      <c r="B1856" s="216" t="s">
        <v>1249</v>
      </c>
      <c r="C1856" s="216" t="s">
        <v>5127</v>
      </c>
      <c r="D1856" s="217">
        <v>45494.501597222225</v>
      </c>
      <c r="E1856" s="217"/>
      <c r="F1856" s="218" t="s">
        <v>281</v>
      </c>
      <c r="G1856" s="219" t="s">
        <v>282</v>
      </c>
      <c r="H1856" s="216" t="s">
        <v>811</v>
      </c>
      <c r="I1856" s="216" t="s">
        <v>1250</v>
      </c>
    </row>
    <row r="1857">
      <c r="A1857" s="212" t="s">
        <v>5128</v>
      </c>
      <c r="B1857" s="212" t="s">
        <v>1249</v>
      </c>
      <c r="C1857" s="212" t="s">
        <v>5118</v>
      </c>
      <c r="D1857" s="213">
        <v>45489.877962962964</v>
      </c>
      <c r="E1857" s="213"/>
      <c r="F1857" s="214" t="s">
        <v>872</v>
      </c>
      <c r="G1857" s="215" t="s">
        <v>5129</v>
      </c>
      <c r="H1857" s="212" t="s">
        <v>811</v>
      </c>
      <c r="I1857" s="212" t="s">
        <v>2951</v>
      </c>
    </row>
    <row r="1858">
      <c r="A1858" s="212" t="s">
        <v>5128</v>
      </c>
      <c r="B1858" s="212" t="s">
        <v>1249</v>
      </c>
      <c r="C1858" s="212" t="s">
        <v>5118</v>
      </c>
      <c r="D1858" s="213">
        <v>45489.877962962964</v>
      </c>
      <c r="E1858" s="213"/>
      <c r="F1858" s="214" t="s">
        <v>872</v>
      </c>
      <c r="G1858" s="215" t="s">
        <v>5129</v>
      </c>
      <c r="H1858" s="212" t="s">
        <v>811</v>
      </c>
      <c r="I1858" s="212" t="s">
        <v>2951</v>
      </c>
    </row>
    <row r="1859">
      <c r="A1859" s="212" t="s">
        <v>5130</v>
      </c>
      <c r="B1859" s="212" t="s">
        <v>1249</v>
      </c>
      <c r="C1859" s="212" t="s">
        <v>5131</v>
      </c>
      <c r="D1859" s="213">
        <v>45473.766875</v>
      </c>
      <c r="E1859" s="227"/>
      <c r="F1859" s="214" t="s">
        <v>872</v>
      </c>
      <c r="G1859" s="215" t="s">
        <v>5129</v>
      </c>
      <c r="H1859" s="212" t="s">
        <v>811</v>
      </c>
      <c r="I1859" s="212" t="s">
        <v>2951</v>
      </c>
    </row>
    <row r="1860">
      <c r="A1860" s="216" t="s">
        <v>5132</v>
      </c>
      <c r="B1860" s="216" t="s">
        <v>1249</v>
      </c>
      <c r="C1860" s="216" t="s">
        <v>1258</v>
      </c>
      <c r="D1860" s="217">
        <v>45431.55278935185</v>
      </c>
      <c r="E1860" s="217">
        <v>45431.354363425926</v>
      </c>
      <c r="F1860" s="218" t="s">
        <v>2351</v>
      </c>
      <c r="G1860" s="219" t="s">
        <v>3246</v>
      </c>
      <c r="H1860" s="216" t="s">
        <v>811</v>
      </c>
      <c r="I1860" s="216" t="s">
        <v>1250</v>
      </c>
    </row>
    <row r="1861">
      <c r="A1861" s="212" t="s">
        <v>5133</v>
      </c>
      <c r="B1861" s="212" t="s">
        <v>1249</v>
      </c>
      <c r="C1861" s="212" t="s">
        <v>5113</v>
      </c>
      <c r="D1861" s="213">
        <v>45431.55136574074</v>
      </c>
      <c r="E1861" s="213">
        <v>45431.35084490741</v>
      </c>
      <c r="F1861" s="214" t="s">
        <v>3829</v>
      </c>
      <c r="G1861" s="215" t="s">
        <v>5134</v>
      </c>
      <c r="H1861" s="212" t="s">
        <v>811</v>
      </c>
      <c r="I1861" s="212" t="s">
        <v>1250</v>
      </c>
    </row>
    <row r="1862">
      <c r="A1862" s="212" t="s">
        <v>5135</v>
      </c>
      <c r="B1862" s="212" t="s">
        <v>1249</v>
      </c>
      <c r="C1862" s="212" t="s">
        <v>5136</v>
      </c>
      <c r="D1862" s="213">
        <v>45707.84416666667</v>
      </c>
      <c r="E1862" s="213">
        <v>45707.85418981482</v>
      </c>
      <c r="F1862" s="214" t="s">
        <v>5137</v>
      </c>
      <c r="G1862" s="215" t="s">
        <v>5138</v>
      </c>
      <c r="H1862" s="212" t="s">
        <v>811</v>
      </c>
      <c r="I1862" s="212" t="s">
        <v>1250</v>
      </c>
    </row>
    <row r="1863">
      <c r="A1863" s="216" t="s">
        <v>5139</v>
      </c>
      <c r="B1863" s="216" t="s">
        <v>1249</v>
      </c>
      <c r="C1863" s="216" t="s">
        <v>5136</v>
      </c>
      <c r="D1863" s="217">
        <v>45704.805185185185</v>
      </c>
      <c r="E1863" s="217">
        <v>45704.81263888889</v>
      </c>
      <c r="F1863" s="218" t="s">
        <v>281</v>
      </c>
      <c r="G1863" s="219" t="s">
        <v>5140</v>
      </c>
      <c r="H1863" s="216" t="s">
        <v>811</v>
      </c>
      <c r="I1863" s="216" t="s">
        <v>1250</v>
      </c>
    </row>
    <row r="1864">
      <c r="A1864" s="216" t="s">
        <v>5141</v>
      </c>
      <c r="B1864" s="216" t="s">
        <v>1249</v>
      </c>
      <c r="C1864" s="216" t="s">
        <v>5142</v>
      </c>
      <c r="D1864" s="217">
        <v>45774.67201388889</v>
      </c>
      <c r="E1864" s="217">
        <v>45774.739756944444</v>
      </c>
      <c r="F1864" s="218" t="s">
        <v>1259</v>
      </c>
      <c r="G1864" s="219" t="s">
        <v>5143</v>
      </c>
      <c r="H1864" s="216" t="s">
        <v>346</v>
      </c>
      <c r="I1864" s="216" t="s">
        <v>812</v>
      </c>
    </row>
    <row r="1865">
      <c r="A1865" s="216" t="s">
        <v>5144</v>
      </c>
      <c r="B1865" s="216" t="s">
        <v>5145</v>
      </c>
      <c r="C1865" s="216" t="s">
        <v>5146</v>
      </c>
      <c r="D1865" s="217">
        <v>45550.4609375</v>
      </c>
      <c r="E1865" s="217"/>
      <c r="F1865" s="218" t="s">
        <v>250</v>
      </c>
      <c r="G1865" s="219" t="s">
        <v>548</v>
      </c>
      <c r="H1865" s="216" t="s">
        <v>416</v>
      </c>
      <c r="I1865" s="216" t="s">
        <v>417</v>
      </c>
    </row>
    <row r="1866">
      <c r="A1866" s="212" t="s">
        <v>5147</v>
      </c>
      <c r="B1866" s="212" t="s">
        <v>5145</v>
      </c>
      <c r="C1866" s="212" t="s">
        <v>5148</v>
      </c>
      <c r="D1866" s="213">
        <v>45543.594409722224</v>
      </c>
      <c r="E1866" s="213"/>
      <c r="F1866" s="214" t="s">
        <v>297</v>
      </c>
      <c r="G1866" s="215" t="s">
        <v>5149</v>
      </c>
      <c r="H1866" s="212" t="s">
        <v>416</v>
      </c>
      <c r="I1866" s="212" t="s">
        <v>417</v>
      </c>
    </row>
    <row r="1867">
      <c r="A1867" s="212" t="s">
        <v>5150</v>
      </c>
      <c r="B1867" s="212" t="s">
        <v>5145</v>
      </c>
      <c r="C1867" s="212" t="s">
        <v>5148</v>
      </c>
      <c r="D1867" s="213">
        <v>45528.8224537037</v>
      </c>
      <c r="E1867" s="213"/>
      <c r="F1867" s="214" t="s">
        <v>3436</v>
      </c>
      <c r="G1867" s="215" t="s">
        <v>5151</v>
      </c>
      <c r="H1867" s="212" t="s">
        <v>416</v>
      </c>
      <c r="I1867" s="212" t="s">
        <v>417</v>
      </c>
    </row>
    <row r="1868">
      <c r="A1868" s="212" t="s">
        <v>5152</v>
      </c>
      <c r="B1868" s="212" t="s">
        <v>5145</v>
      </c>
      <c r="C1868" s="212" t="s">
        <v>5146</v>
      </c>
      <c r="D1868" s="213">
        <v>45521.8515625</v>
      </c>
      <c r="E1868" s="213"/>
      <c r="F1868" s="214" t="s">
        <v>291</v>
      </c>
      <c r="G1868" s="215" t="s">
        <v>3557</v>
      </c>
      <c r="H1868" s="212" t="s">
        <v>416</v>
      </c>
      <c r="I1868" s="212" t="s">
        <v>417</v>
      </c>
    </row>
    <row r="1869">
      <c r="A1869" s="216" t="s">
        <v>5153</v>
      </c>
      <c r="B1869" s="216" t="s">
        <v>5145</v>
      </c>
      <c r="C1869" s="216" t="s">
        <v>5148</v>
      </c>
      <c r="D1869" s="217">
        <v>45507.6959375</v>
      </c>
      <c r="E1869" s="217"/>
      <c r="F1869" s="218" t="s">
        <v>250</v>
      </c>
      <c r="G1869" s="219" t="s">
        <v>1129</v>
      </c>
      <c r="H1869" s="216" t="s">
        <v>416</v>
      </c>
      <c r="I1869" s="216" t="s">
        <v>417</v>
      </c>
    </row>
    <row r="1870">
      <c r="A1870" s="212" t="s">
        <v>5154</v>
      </c>
      <c r="B1870" s="212" t="s">
        <v>5145</v>
      </c>
      <c r="C1870" s="212" t="s">
        <v>5146</v>
      </c>
      <c r="D1870" s="213">
        <v>45507.695289351854</v>
      </c>
      <c r="E1870" s="213"/>
      <c r="F1870" s="214" t="s">
        <v>317</v>
      </c>
      <c r="G1870" s="215" t="s">
        <v>3628</v>
      </c>
      <c r="H1870" s="212" t="s">
        <v>416</v>
      </c>
      <c r="I1870" s="212" t="s">
        <v>417</v>
      </c>
    </row>
    <row r="1871">
      <c r="A1871" s="212" t="s">
        <v>5155</v>
      </c>
      <c r="B1871" s="212" t="s">
        <v>5145</v>
      </c>
      <c r="C1871" s="212" t="s">
        <v>5146</v>
      </c>
      <c r="D1871" s="213">
        <v>45495.80447916667</v>
      </c>
      <c r="E1871" s="213"/>
      <c r="F1871" s="214" t="s">
        <v>291</v>
      </c>
      <c r="G1871" s="215" t="s">
        <v>5156</v>
      </c>
      <c r="H1871" s="212" t="s">
        <v>416</v>
      </c>
      <c r="I1871" s="212" t="s">
        <v>417</v>
      </c>
    </row>
    <row r="1872">
      <c r="A1872" s="216" t="s">
        <v>5157</v>
      </c>
      <c r="B1872" s="216" t="s">
        <v>5145</v>
      </c>
      <c r="C1872" s="216" t="s">
        <v>5148</v>
      </c>
      <c r="D1872" s="217">
        <v>45458.72076388889</v>
      </c>
      <c r="E1872" s="217">
        <v>45459.45496527778</v>
      </c>
      <c r="F1872" s="218" t="s">
        <v>291</v>
      </c>
      <c r="G1872" s="219" t="s">
        <v>728</v>
      </c>
      <c r="H1872" s="216" t="s">
        <v>416</v>
      </c>
      <c r="I1872" s="216" t="s">
        <v>417</v>
      </c>
    </row>
    <row r="1873">
      <c r="A1873" s="212" t="s">
        <v>5158</v>
      </c>
      <c r="B1873" s="212" t="s">
        <v>5145</v>
      </c>
      <c r="C1873" s="212" t="s">
        <v>5148</v>
      </c>
      <c r="D1873" s="213">
        <v>45444.89954861111</v>
      </c>
      <c r="E1873" s="213">
        <v>45445.47928240741</v>
      </c>
      <c r="F1873" s="214" t="s">
        <v>715</v>
      </c>
      <c r="G1873" s="215" t="s">
        <v>5159</v>
      </c>
      <c r="H1873" s="212" t="s">
        <v>319</v>
      </c>
      <c r="I1873" s="212" t="s">
        <v>417</v>
      </c>
    </row>
    <row r="1874">
      <c r="A1874" s="216" t="s">
        <v>5160</v>
      </c>
      <c r="B1874" s="216" t="s">
        <v>5145</v>
      </c>
      <c r="C1874" s="216" t="s">
        <v>5161</v>
      </c>
      <c r="D1874" s="217">
        <v>45431.48385416667</v>
      </c>
      <c r="E1874" s="217">
        <v>45431.40288194444</v>
      </c>
      <c r="F1874" s="218" t="s">
        <v>703</v>
      </c>
      <c r="G1874" s="219" t="s">
        <v>5162</v>
      </c>
      <c r="H1874" s="216" t="s">
        <v>1345</v>
      </c>
      <c r="I1874" s="216" t="s">
        <v>1621</v>
      </c>
    </row>
    <row r="1875">
      <c r="A1875" s="212" t="s">
        <v>5163</v>
      </c>
      <c r="B1875" s="212" t="s">
        <v>5164</v>
      </c>
      <c r="C1875" s="212" t="s">
        <v>1763</v>
      </c>
      <c r="D1875" s="213">
        <v>45543.57894675926</v>
      </c>
      <c r="E1875" s="213"/>
      <c r="F1875" s="214" t="s">
        <v>3214</v>
      </c>
      <c r="G1875" s="215" t="s">
        <v>5165</v>
      </c>
      <c r="H1875" s="212" t="s">
        <v>259</v>
      </c>
      <c r="I1875" s="212" t="s">
        <v>313</v>
      </c>
    </row>
    <row r="1876">
      <c r="A1876" s="216" t="s">
        <v>5166</v>
      </c>
      <c r="B1876" s="216" t="s">
        <v>5164</v>
      </c>
      <c r="C1876" s="216" t="s">
        <v>5167</v>
      </c>
      <c r="D1876" s="217">
        <v>45526.77806712963</v>
      </c>
      <c r="E1876" s="217"/>
      <c r="F1876" s="218" t="s">
        <v>330</v>
      </c>
      <c r="G1876" s="219" t="s">
        <v>5168</v>
      </c>
      <c r="H1876" s="216" t="s">
        <v>561</v>
      </c>
      <c r="I1876" s="216" t="s">
        <v>536</v>
      </c>
    </row>
    <row r="1877">
      <c r="A1877" s="216" t="s">
        <v>5169</v>
      </c>
      <c r="B1877" s="216" t="s">
        <v>5164</v>
      </c>
      <c r="C1877" s="216" t="s">
        <v>5167</v>
      </c>
      <c r="D1877" s="217">
        <v>45520.462546296294</v>
      </c>
      <c r="E1877" s="217"/>
      <c r="F1877" s="218" t="s">
        <v>291</v>
      </c>
      <c r="G1877" s="219" t="s">
        <v>3632</v>
      </c>
      <c r="H1877" s="216" t="s">
        <v>561</v>
      </c>
      <c r="I1877" s="216" t="s">
        <v>536</v>
      </c>
    </row>
    <row r="1878">
      <c r="A1878" s="216" t="s">
        <v>5170</v>
      </c>
      <c r="B1878" s="216" t="s">
        <v>5164</v>
      </c>
      <c r="C1878" s="216" t="s">
        <v>1763</v>
      </c>
      <c r="D1878" s="217">
        <v>45469.90142361111</v>
      </c>
      <c r="E1878" s="217"/>
      <c r="F1878" s="218" t="s">
        <v>2998</v>
      </c>
      <c r="G1878" s="219" t="s">
        <v>5171</v>
      </c>
      <c r="H1878" s="216" t="s">
        <v>259</v>
      </c>
      <c r="I1878" s="216" t="s">
        <v>313</v>
      </c>
    </row>
    <row r="1879">
      <c r="A1879" s="216" t="s">
        <v>5172</v>
      </c>
      <c r="B1879" s="216" t="s">
        <v>5173</v>
      </c>
      <c r="C1879" s="216" t="s">
        <v>5006</v>
      </c>
      <c r="D1879" s="217">
        <v>45542.8269212963</v>
      </c>
      <c r="E1879" s="217"/>
      <c r="F1879" s="218" t="s">
        <v>317</v>
      </c>
      <c r="G1879" s="219" t="s">
        <v>5174</v>
      </c>
      <c r="H1879" s="216" t="s">
        <v>811</v>
      </c>
      <c r="I1879" s="216" t="s">
        <v>357</v>
      </c>
    </row>
    <row r="1880">
      <c r="A1880" s="212" t="s">
        <v>5175</v>
      </c>
      <c r="B1880" s="212" t="s">
        <v>5176</v>
      </c>
      <c r="C1880" s="212" t="s">
        <v>5177</v>
      </c>
      <c r="D1880" s="213">
        <v>45536.822233796294</v>
      </c>
      <c r="E1880" s="213"/>
      <c r="F1880" s="214" t="s">
        <v>291</v>
      </c>
      <c r="G1880" s="215" t="s">
        <v>1372</v>
      </c>
      <c r="H1880" s="212" t="s">
        <v>377</v>
      </c>
      <c r="I1880" s="212" t="s">
        <v>357</v>
      </c>
    </row>
    <row r="1881">
      <c r="A1881" s="212" t="s">
        <v>5178</v>
      </c>
      <c r="B1881" s="212" t="s">
        <v>5176</v>
      </c>
      <c r="C1881" s="212" t="s">
        <v>5177</v>
      </c>
      <c r="D1881" s="213">
        <v>45529.804398148146</v>
      </c>
      <c r="E1881" s="213"/>
      <c r="F1881" s="214" t="s">
        <v>281</v>
      </c>
      <c r="G1881" s="215" t="s">
        <v>5179</v>
      </c>
      <c r="H1881" s="212" t="s">
        <v>377</v>
      </c>
      <c r="I1881" s="212" t="s">
        <v>357</v>
      </c>
    </row>
    <row r="1882">
      <c r="A1882" s="212" t="s">
        <v>5180</v>
      </c>
      <c r="B1882" s="212" t="s">
        <v>5176</v>
      </c>
      <c r="C1882" s="212" t="s">
        <v>5177</v>
      </c>
      <c r="D1882" s="213">
        <v>45452.837546296294</v>
      </c>
      <c r="E1882" s="213">
        <v>45452.649351851855</v>
      </c>
      <c r="F1882" s="214" t="s">
        <v>730</v>
      </c>
      <c r="G1882" s="215" t="s">
        <v>5181</v>
      </c>
      <c r="H1882" s="212" t="s">
        <v>377</v>
      </c>
      <c r="I1882" s="212" t="s">
        <v>357</v>
      </c>
    </row>
    <row r="1883">
      <c r="A1883" s="216" t="s">
        <v>5182</v>
      </c>
      <c r="B1883" s="216" t="s">
        <v>5183</v>
      </c>
      <c r="C1883" s="216" t="s">
        <v>5184</v>
      </c>
      <c r="D1883" s="217">
        <v>45536.459548611114</v>
      </c>
      <c r="E1883" s="217"/>
      <c r="F1883" s="218" t="s">
        <v>1142</v>
      </c>
      <c r="G1883" s="219" t="s">
        <v>569</v>
      </c>
      <c r="H1883" s="216" t="s">
        <v>259</v>
      </c>
      <c r="I1883" s="216" t="s">
        <v>969</v>
      </c>
    </row>
    <row r="1884">
      <c r="A1884" s="212" t="s">
        <v>5185</v>
      </c>
      <c r="B1884" s="212" t="s">
        <v>5183</v>
      </c>
      <c r="C1884" s="212" t="s">
        <v>5184</v>
      </c>
      <c r="D1884" s="213">
        <v>45528.756527777776</v>
      </c>
      <c r="E1884" s="213"/>
      <c r="F1884" s="214" t="s">
        <v>2867</v>
      </c>
      <c r="G1884" s="215" t="s">
        <v>5186</v>
      </c>
      <c r="H1884" s="212" t="s">
        <v>259</v>
      </c>
      <c r="I1884" s="212" t="s">
        <v>969</v>
      </c>
    </row>
    <row r="1885">
      <c r="A1885" s="216" t="s">
        <v>5187</v>
      </c>
      <c r="B1885" s="216" t="s">
        <v>5183</v>
      </c>
      <c r="C1885" s="216" t="s">
        <v>5184</v>
      </c>
      <c r="D1885" s="217">
        <v>45513.78238425926</v>
      </c>
      <c r="E1885" s="217"/>
      <c r="F1885" s="218" t="s">
        <v>3410</v>
      </c>
      <c r="G1885" s="219" t="s">
        <v>5188</v>
      </c>
      <c r="H1885" s="216" t="s">
        <v>259</v>
      </c>
      <c r="I1885" s="216" t="s">
        <v>969</v>
      </c>
    </row>
    <row r="1886">
      <c r="A1886" s="212" t="s">
        <v>5189</v>
      </c>
      <c r="B1886" s="212" t="s">
        <v>5183</v>
      </c>
      <c r="C1886" s="212" t="s">
        <v>5184</v>
      </c>
      <c r="D1886" s="213">
        <v>45509.85901620371</v>
      </c>
      <c r="E1886" s="213"/>
      <c r="F1886" s="214" t="s">
        <v>572</v>
      </c>
      <c r="G1886" s="215" t="s">
        <v>5190</v>
      </c>
      <c r="H1886" s="212" t="s">
        <v>259</v>
      </c>
      <c r="I1886" s="212" t="s">
        <v>969</v>
      </c>
    </row>
    <row r="1887">
      <c r="A1887" s="216" t="s">
        <v>5191</v>
      </c>
      <c r="B1887" s="216" t="s">
        <v>5183</v>
      </c>
      <c r="C1887" s="216" t="s">
        <v>5184</v>
      </c>
      <c r="D1887" s="217">
        <v>45497.919444444444</v>
      </c>
      <c r="E1887" s="217"/>
      <c r="F1887" s="218" t="s">
        <v>648</v>
      </c>
      <c r="G1887" s="219" t="s">
        <v>5192</v>
      </c>
      <c r="H1887" s="216" t="s">
        <v>259</v>
      </c>
      <c r="I1887" s="216" t="s">
        <v>969</v>
      </c>
    </row>
    <row r="1888">
      <c r="A1888" s="212" t="s">
        <v>5193</v>
      </c>
      <c r="B1888" s="212" t="s">
        <v>5183</v>
      </c>
      <c r="C1888" s="212" t="s">
        <v>5184</v>
      </c>
      <c r="D1888" s="213">
        <v>45492.70780092593</v>
      </c>
      <c r="E1888" s="213"/>
      <c r="F1888" s="214" t="s">
        <v>1092</v>
      </c>
      <c r="G1888" s="215" t="s">
        <v>1832</v>
      </c>
      <c r="H1888" s="212" t="s">
        <v>259</v>
      </c>
      <c r="I1888" s="212" t="s">
        <v>969</v>
      </c>
    </row>
    <row r="1889">
      <c r="A1889" s="216" t="s">
        <v>5193</v>
      </c>
      <c r="B1889" s="216" t="s">
        <v>5183</v>
      </c>
      <c r="C1889" s="216" t="s">
        <v>5184</v>
      </c>
      <c r="D1889" s="217">
        <v>45492.70780092593</v>
      </c>
      <c r="E1889" s="217"/>
      <c r="F1889" s="218" t="s">
        <v>1092</v>
      </c>
      <c r="G1889" s="219" t="s">
        <v>1832</v>
      </c>
      <c r="H1889" s="216" t="s">
        <v>259</v>
      </c>
      <c r="I1889" s="216" t="s">
        <v>969</v>
      </c>
    </row>
    <row r="1890">
      <c r="A1890" s="216" t="s">
        <v>5194</v>
      </c>
      <c r="B1890" s="216" t="s">
        <v>5183</v>
      </c>
      <c r="C1890" s="216" t="s">
        <v>5184</v>
      </c>
      <c r="D1890" s="217">
        <v>45488.821388888886</v>
      </c>
      <c r="E1890" s="217"/>
      <c r="F1890" s="218" t="s">
        <v>509</v>
      </c>
      <c r="G1890" s="219" t="s">
        <v>4118</v>
      </c>
      <c r="H1890" s="216" t="s">
        <v>259</v>
      </c>
      <c r="I1890" s="216" t="s">
        <v>969</v>
      </c>
    </row>
    <row r="1891">
      <c r="A1891" s="216" t="s">
        <v>5195</v>
      </c>
      <c r="B1891" s="216" t="s">
        <v>5183</v>
      </c>
      <c r="C1891" s="216" t="s">
        <v>5184</v>
      </c>
      <c r="D1891" s="217">
        <v>45485.79938657407</v>
      </c>
      <c r="E1891" s="217"/>
      <c r="F1891" s="218" t="s">
        <v>4120</v>
      </c>
      <c r="G1891" s="219" t="s">
        <v>4121</v>
      </c>
      <c r="H1891" s="216" t="s">
        <v>259</v>
      </c>
      <c r="I1891" s="216" t="s">
        <v>969</v>
      </c>
    </row>
    <row r="1892">
      <c r="A1892" s="216" t="s">
        <v>5193</v>
      </c>
      <c r="B1892" s="216" t="s">
        <v>5183</v>
      </c>
      <c r="C1892" s="216" t="s">
        <v>5184</v>
      </c>
      <c r="D1892" s="217">
        <v>45492.70780092593</v>
      </c>
      <c r="E1892" s="217"/>
      <c r="F1892" s="218" t="s">
        <v>1092</v>
      </c>
      <c r="G1892" s="219" t="s">
        <v>1832</v>
      </c>
      <c r="H1892" s="216" t="s">
        <v>259</v>
      </c>
      <c r="I1892" s="216" t="s">
        <v>969</v>
      </c>
    </row>
    <row r="1893">
      <c r="A1893" s="216" t="s">
        <v>5194</v>
      </c>
      <c r="B1893" s="216" t="s">
        <v>5183</v>
      </c>
      <c r="C1893" s="216" t="s">
        <v>5184</v>
      </c>
      <c r="D1893" s="217">
        <v>45488.821388888886</v>
      </c>
      <c r="E1893" s="217"/>
      <c r="F1893" s="218" t="s">
        <v>509</v>
      </c>
      <c r="G1893" s="219" t="s">
        <v>4118</v>
      </c>
      <c r="H1893" s="216" t="s">
        <v>259</v>
      </c>
      <c r="I1893" s="216" t="s">
        <v>969</v>
      </c>
    </row>
    <row r="1894">
      <c r="A1894" s="216" t="s">
        <v>5195</v>
      </c>
      <c r="B1894" s="216" t="s">
        <v>5183</v>
      </c>
      <c r="C1894" s="216" t="s">
        <v>5184</v>
      </c>
      <c r="D1894" s="217">
        <v>45485.79938657407</v>
      </c>
      <c r="E1894" s="217"/>
      <c r="F1894" s="218" t="s">
        <v>4120</v>
      </c>
      <c r="G1894" s="219" t="s">
        <v>4121</v>
      </c>
      <c r="H1894" s="216" t="s">
        <v>259</v>
      </c>
      <c r="I1894" s="216" t="s">
        <v>969</v>
      </c>
    </row>
    <row r="1895">
      <c r="A1895" s="212" t="s">
        <v>5196</v>
      </c>
      <c r="B1895" s="212" t="s">
        <v>5183</v>
      </c>
      <c r="C1895" s="212" t="s">
        <v>5184</v>
      </c>
      <c r="D1895" s="213">
        <v>45482.78859953704</v>
      </c>
      <c r="E1895" s="213"/>
      <c r="F1895" s="214" t="s">
        <v>516</v>
      </c>
      <c r="G1895" s="215" t="s">
        <v>642</v>
      </c>
      <c r="H1895" s="212" t="s">
        <v>259</v>
      </c>
      <c r="I1895" s="212" t="s">
        <v>969</v>
      </c>
    </row>
    <row r="1896">
      <c r="A1896" s="212" t="s">
        <v>5197</v>
      </c>
      <c r="B1896" s="212" t="s">
        <v>5183</v>
      </c>
      <c r="C1896" s="212" t="s">
        <v>5184</v>
      </c>
      <c r="D1896" s="213">
        <v>45472.50902777778</v>
      </c>
      <c r="E1896" s="213"/>
      <c r="F1896" s="214" t="s">
        <v>5198</v>
      </c>
      <c r="G1896" s="215" t="s">
        <v>5199</v>
      </c>
      <c r="H1896" s="212" t="s">
        <v>259</v>
      </c>
      <c r="I1896" s="212" t="s">
        <v>969</v>
      </c>
    </row>
    <row r="1897">
      <c r="A1897" s="216" t="s">
        <v>5200</v>
      </c>
      <c r="B1897" s="216" t="s">
        <v>5183</v>
      </c>
      <c r="C1897" s="216" t="s">
        <v>5184</v>
      </c>
      <c r="D1897" s="217">
        <v>45464.78371527778</v>
      </c>
      <c r="E1897" s="217"/>
      <c r="F1897" s="218" t="s">
        <v>648</v>
      </c>
      <c r="G1897" s="219" t="s">
        <v>649</v>
      </c>
      <c r="H1897" s="216" t="s">
        <v>259</v>
      </c>
      <c r="I1897" s="216" t="s">
        <v>969</v>
      </c>
    </row>
    <row r="1898">
      <c r="A1898" s="216" t="s">
        <v>5201</v>
      </c>
      <c r="B1898" s="216" t="s">
        <v>5183</v>
      </c>
      <c r="C1898" s="216" t="s">
        <v>5184</v>
      </c>
      <c r="D1898" s="217">
        <v>45457.89344907407</v>
      </c>
      <c r="E1898" s="217">
        <v>45457.69793981482</v>
      </c>
      <c r="F1898" s="218" t="s">
        <v>5202</v>
      </c>
      <c r="G1898" s="219" t="s">
        <v>5203</v>
      </c>
      <c r="H1898" s="216" t="s">
        <v>259</v>
      </c>
      <c r="I1898" s="216" t="s">
        <v>969</v>
      </c>
    </row>
    <row r="1899">
      <c r="A1899" s="212" t="s">
        <v>5204</v>
      </c>
      <c r="B1899" s="212" t="s">
        <v>5183</v>
      </c>
      <c r="C1899" s="212" t="s">
        <v>5184</v>
      </c>
      <c r="D1899" s="213">
        <v>45447.818333333336</v>
      </c>
      <c r="E1899" s="213">
        <v>45447.62164351852</v>
      </c>
      <c r="F1899" s="214" t="s">
        <v>5205</v>
      </c>
      <c r="G1899" s="215" t="s">
        <v>5206</v>
      </c>
      <c r="H1899" s="212" t="s">
        <v>259</v>
      </c>
      <c r="I1899" s="212" t="s">
        <v>969</v>
      </c>
    </row>
    <row r="1900">
      <c r="A1900" s="212" t="s">
        <v>5207</v>
      </c>
      <c r="B1900" s="212" t="s">
        <v>5183</v>
      </c>
      <c r="C1900" s="212" t="s">
        <v>5184</v>
      </c>
      <c r="D1900" s="213">
        <v>45447.447743055556</v>
      </c>
      <c r="E1900" s="227"/>
      <c r="F1900" s="214" t="s">
        <v>5205</v>
      </c>
      <c r="G1900" s="215" t="s">
        <v>5208</v>
      </c>
      <c r="H1900" s="212" t="s">
        <v>259</v>
      </c>
      <c r="I1900" s="212" t="s">
        <v>969</v>
      </c>
    </row>
    <row r="1901">
      <c r="A1901" s="212" t="s">
        <v>5209</v>
      </c>
      <c r="B1901" s="212" t="s">
        <v>5183</v>
      </c>
      <c r="C1901" s="212" t="s">
        <v>3805</v>
      </c>
      <c r="D1901" s="213">
        <v>45713.470046296294</v>
      </c>
      <c r="E1901" s="213">
        <v>45713.48274305555</v>
      </c>
      <c r="F1901" s="214" t="s">
        <v>2966</v>
      </c>
      <c r="G1901" s="215" t="s">
        <v>5210</v>
      </c>
      <c r="H1901" s="212" t="s">
        <v>561</v>
      </c>
      <c r="I1901" s="212" t="s">
        <v>5211</v>
      </c>
    </row>
    <row r="1902">
      <c r="A1902" s="212" t="s">
        <v>5212</v>
      </c>
      <c r="B1902" s="212" t="s">
        <v>5183</v>
      </c>
      <c r="C1902" s="212" t="s">
        <v>5213</v>
      </c>
      <c r="D1902" s="213">
        <v>45709.852847222224</v>
      </c>
      <c r="E1902" s="213">
        <v>45709.86466435185</v>
      </c>
      <c r="F1902" s="214" t="s">
        <v>538</v>
      </c>
      <c r="G1902" s="215" t="s">
        <v>3294</v>
      </c>
      <c r="H1902" s="212" t="s">
        <v>561</v>
      </c>
      <c r="I1902" s="212" t="s">
        <v>5211</v>
      </c>
    </row>
    <row r="1903">
      <c r="A1903" s="212" t="s">
        <v>5214</v>
      </c>
      <c r="B1903" s="212" t="s">
        <v>5183</v>
      </c>
      <c r="C1903" s="212" t="s">
        <v>5213</v>
      </c>
      <c r="D1903" s="213">
        <v>45704.52893518518</v>
      </c>
      <c r="E1903" s="213">
        <v>45704.54188657407</v>
      </c>
      <c r="F1903" s="214" t="s">
        <v>5215</v>
      </c>
      <c r="G1903" s="215" t="s">
        <v>5216</v>
      </c>
      <c r="H1903" s="212" t="s">
        <v>561</v>
      </c>
      <c r="I1903" s="212" t="s">
        <v>5211</v>
      </c>
    </row>
    <row r="1904">
      <c r="A1904" s="212" t="s">
        <v>5217</v>
      </c>
      <c r="B1904" s="212" t="s">
        <v>5183</v>
      </c>
      <c r="C1904" s="212" t="s">
        <v>5213</v>
      </c>
      <c r="D1904" s="213">
        <v>45745.89747685185</v>
      </c>
      <c r="E1904" s="213">
        <v>45745.90974537037</v>
      </c>
      <c r="F1904" s="214" t="s">
        <v>538</v>
      </c>
      <c r="G1904" s="215" t="s">
        <v>3294</v>
      </c>
      <c r="H1904" s="212" t="s">
        <v>561</v>
      </c>
      <c r="I1904" s="212" t="s">
        <v>5211</v>
      </c>
    </row>
    <row r="1905">
      <c r="A1905" s="212" t="s">
        <v>5218</v>
      </c>
      <c r="B1905" s="212" t="s">
        <v>5183</v>
      </c>
      <c r="C1905" s="212" t="s">
        <v>5213</v>
      </c>
      <c r="D1905" s="213">
        <v>45737.800532407404</v>
      </c>
      <c r="E1905" s="213">
        <v>45737.81260416667</v>
      </c>
      <c r="F1905" s="214" t="s">
        <v>5219</v>
      </c>
      <c r="G1905" s="215" t="s">
        <v>5220</v>
      </c>
      <c r="H1905" s="212" t="s">
        <v>561</v>
      </c>
      <c r="I1905" s="212" t="s">
        <v>5211</v>
      </c>
    </row>
    <row r="1906">
      <c r="A1906" s="212" t="s">
        <v>5221</v>
      </c>
      <c r="B1906" s="212" t="s">
        <v>5183</v>
      </c>
      <c r="C1906" s="212" t="s">
        <v>5213</v>
      </c>
      <c r="D1906" s="213">
        <v>45759.80621527778</v>
      </c>
      <c r="E1906" s="213">
        <v>45759.81618055556</v>
      </c>
      <c r="F1906" s="214" t="s">
        <v>3469</v>
      </c>
      <c r="G1906" s="215" t="s">
        <v>3470</v>
      </c>
      <c r="H1906" s="212" t="s">
        <v>561</v>
      </c>
      <c r="I1906" s="212" t="s">
        <v>5211</v>
      </c>
    </row>
    <row r="1907">
      <c r="A1907" s="216" t="s">
        <v>5222</v>
      </c>
      <c r="B1907" s="216" t="s">
        <v>5183</v>
      </c>
      <c r="C1907" s="216" t="s">
        <v>3805</v>
      </c>
      <c r="D1907" s="217">
        <v>45748.79420138889</v>
      </c>
      <c r="E1907" s="217">
        <v>45748.805613425924</v>
      </c>
      <c r="F1907" s="218" t="s">
        <v>2966</v>
      </c>
      <c r="G1907" s="219" t="s">
        <v>5223</v>
      </c>
      <c r="H1907" s="216" t="s">
        <v>561</v>
      </c>
      <c r="I1907" s="216" t="s">
        <v>5211</v>
      </c>
    </row>
    <row r="1908">
      <c r="A1908" s="212" t="s">
        <v>5224</v>
      </c>
      <c r="B1908" s="212" t="s">
        <v>5225</v>
      </c>
      <c r="C1908" s="212" t="s">
        <v>5226</v>
      </c>
      <c r="D1908" s="213">
        <v>45468.6544212963</v>
      </c>
      <c r="E1908" s="213"/>
      <c r="F1908" s="214" t="s">
        <v>257</v>
      </c>
      <c r="G1908" s="215" t="s">
        <v>4433</v>
      </c>
      <c r="H1908" s="212" t="s">
        <v>259</v>
      </c>
      <c r="I1908" s="212" t="s">
        <v>2647</v>
      </c>
    </row>
    <row r="1909">
      <c r="A1909" s="212" t="s">
        <v>5227</v>
      </c>
      <c r="B1909" s="212" t="s">
        <v>5228</v>
      </c>
      <c r="C1909" s="212" t="s">
        <v>5229</v>
      </c>
      <c r="D1909" s="213">
        <v>45508.825891203705</v>
      </c>
      <c r="E1909" s="213"/>
      <c r="F1909" s="214" t="s">
        <v>658</v>
      </c>
      <c r="G1909" s="215" t="s">
        <v>5230</v>
      </c>
      <c r="H1909" s="212" t="s">
        <v>259</v>
      </c>
      <c r="I1909" s="212" t="s">
        <v>767</v>
      </c>
    </row>
    <row r="1910">
      <c r="A1910" s="212" t="s">
        <v>5231</v>
      </c>
      <c r="B1910" s="212" t="s">
        <v>5228</v>
      </c>
      <c r="C1910" s="212" t="s">
        <v>5229</v>
      </c>
      <c r="D1910" s="213">
        <v>45456.82506944444</v>
      </c>
      <c r="E1910" s="213">
        <v>45457.319652777776</v>
      </c>
      <c r="F1910" s="214" t="s">
        <v>1092</v>
      </c>
      <c r="G1910" s="215" t="s">
        <v>5232</v>
      </c>
      <c r="H1910" s="212" t="s">
        <v>259</v>
      </c>
      <c r="I1910" s="212" t="s">
        <v>767</v>
      </c>
    </row>
    <row r="1911">
      <c r="A1911" s="216" t="s">
        <v>5233</v>
      </c>
      <c r="B1911" s="216" t="s">
        <v>5234</v>
      </c>
      <c r="C1911" s="216" t="s">
        <v>5235</v>
      </c>
      <c r="D1911" s="217">
        <v>45716.5828587963</v>
      </c>
      <c r="E1911" s="217">
        <v>45716.80915509259</v>
      </c>
      <c r="F1911" s="218" t="s">
        <v>1124</v>
      </c>
      <c r="G1911" s="219" t="s">
        <v>3603</v>
      </c>
      <c r="H1911" s="216" t="s">
        <v>1345</v>
      </c>
      <c r="I1911" s="216" t="s">
        <v>1080</v>
      </c>
    </row>
    <row r="1912">
      <c r="A1912" s="216" t="s">
        <v>5236</v>
      </c>
      <c r="B1912" s="216" t="s">
        <v>5234</v>
      </c>
      <c r="C1912" s="216" t="s">
        <v>5235</v>
      </c>
      <c r="D1912" s="217">
        <v>45733.637650462966</v>
      </c>
      <c r="E1912" s="217">
        <v>45733.8750462963</v>
      </c>
      <c r="F1912" s="218" t="s">
        <v>1124</v>
      </c>
      <c r="G1912" s="219" t="s">
        <v>3084</v>
      </c>
      <c r="H1912" s="216" t="s">
        <v>1345</v>
      </c>
      <c r="I1912" s="216" t="s">
        <v>1080</v>
      </c>
    </row>
    <row r="1913">
      <c r="A1913" s="212" t="s">
        <v>5237</v>
      </c>
      <c r="B1913" s="212" t="s">
        <v>5238</v>
      </c>
      <c r="C1913" s="212" t="s">
        <v>5239</v>
      </c>
      <c r="D1913" s="213">
        <v>45550.80855324074</v>
      </c>
      <c r="E1913" s="226"/>
      <c r="F1913" s="214" t="s">
        <v>1259</v>
      </c>
      <c r="G1913" s="215" t="s">
        <v>5025</v>
      </c>
      <c r="H1913" s="212" t="s">
        <v>811</v>
      </c>
      <c r="I1913" s="212" t="s">
        <v>1315</v>
      </c>
    </row>
    <row r="1914">
      <c r="A1914" s="212" t="s">
        <v>5240</v>
      </c>
      <c r="B1914" s="212" t="s">
        <v>5238</v>
      </c>
      <c r="C1914" s="212" t="s">
        <v>5239</v>
      </c>
      <c r="D1914" s="213">
        <v>45541.89412037037</v>
      </c>
      <c r="E1914" s="213"/>
      <c r="F1914" s="214" t="s">
        <v>503</v>
      </c>
      <c r="G1914" s="215" t="s">
        <v>1879</v>
      </c>
      <c r="H1914" s="212" t="s">
        <v>283</v>
      </c>
      <c r="I1914" s="212" t="s">
        <v>1315</v>
      </c>
    </row>
    <row r="1915">
      <c r="A1915" s="216" t="s">
        <v>5241</v>
      </c>
      <c r="B1915" s="216" t="s">
        <v>5238</v>
      </c>
      <c r="C1915" s="216" t="s">
        <v>5242</v>
      </c>
      <c r="D1915" s="217">
        <v>45509.85005787037</v>
      </c>
      <c r="E1915" s="217"/>
      <c r="F1915" s="218" t="s">
        <v>5243</v>
      </c>
      <c r="G1915" s="219" t="s">
        <v>5243</v>
      </c>
      <c r="H1915" s="216" t="s">
        <v>5244</v>
      </c>
      <c r="I1915" s="216" t="s">
        <v>5245</v>
      </c>
    </row>
    <row r="1916">
      <c r="A1916" s="212" t="s">
        <v>5246</v>
      </c>
      <c r="B1916" s="212" t="s">
        <v>5238</v>
      </c>
      <c r="C1916" s="212" t="s">
        <v>5247</v>
      </c>
      <c r="D1916" s="213">
        <v>45507.80967592593</v>
      </c>
      <c r="E1916" s="213"/>
      <c r="F1916" s="214" t="s">
        <v>3359</v>
      </c>
      <c r="G1916" s="215" t="s">
        <v>5248</v>
      </c>
      <c r="H1916" s="212" t="s">
        <v>632</v>
      </c>
      <c r="I1916" s="212" t="s">
        <v>5249</v>
      </c>
    </row>
    <row r="1917">
      <c r="A1917" s="216" t="s">
        <v>5250</v>
      </c>
      <c r="B1917" s="216" t="s">
        <v>5238</v>
      </c>
      <c r="C1917" s="216" t="s">
        <v>5251</v>
      </c>
      <c r="D1917" s="217">
        <v>45507.80829861111</v>
      </c>
      <c r="E1917" s="225"/>
      <c r="F1917" s="218" t="s">
        <v>391</v>
      </c>
      <c r="G1917" s="219" t="s">
        <v>877</v>
      </c>
      <c r="H1917" s="216" t="s">
        <v>632</v>
      </c>
      <c r="I1917" s="216" t="s">
        <v>5249</v>
      </c>
    </row>
    <row r="1918">
      <c r="A1918" s="216" t="s">
        <v>5252</v>
      </c>
      <c r="B1918" s="216" t="s">
        <v>5238</v>
      </c>
      <c r="C1918" s="216" t="s">
        <v>5251</v>
      </c>
      <c r="D1918" s="217">
        <v>45507.571435185186</v>
      </c>
      <c r="E1918" s="225"/>
      <c r="F1918" s="218" t="s">
        <v>3359</v>
      </c>
      <c r="G1918" s="219" t="s">
        <v>5248</v>
      </c>
      <c r="H1918" s="216" t="s">
        <v>265</v>
      </c>
      <c r="I1918" s="216" t="s">
        <v>5249</v>
      </c>
    </row>
    <row r="1919">
      <c r="A1919" s="216" t="s">
        <v>5253</v>
      </c>
      <c r="B1919" s="216" t="s">
        <v>5238</v>
      </c>
      <c r="C1919" s="216" t="s">
        <v>1860</v>
      </c>
      <c r="D1919" s="217">
        <v>45481.850486111114</v>
      </c>
      <c r="E1919" s="217"/>
      <c r="F1919" s="218" t="s">
        <v>281</v>
      </c>
      <c r="G1919" s="219" t="s">
        <v>1264</v>
      </c>
      <c r="H1919" s="216" t="s">
        <v>811</v>
      </c>
      <c r="I1919" s="216" t="s">
        <v>1863</v>
      </c>
    </row>
    <row r="1920">
      <c r="A1920" s="212" t="s">
        <v>5254</v>
      </c>
      <c r="B1920" s="212" t="s">
        <v>5238</v>
      </c>
      <c r="C1920" s="212" t="s">
        <v>5255</v>
      </c>
      <c r="D1920" s="213">
        <v>45481.84805555556</v>
      </c>
      <c r="E1920" s="213"/>
      <c r="F1920" s="214" t="s">
        <v>431</v>
      </c>
      <c r="G1920" s="215" t="s">
        <v>4766</v>
      </c>
      <c r="H1920" s="212" t="s">
        <v>811</v>
      </c>
      <c r="I1920" s="212" t="s">
        <v>5256</v>
      </c>
    </row>
    <row r="1921">
      <c r="A1921" s="216" t="s">
        <v>5257</v>
      </c>
      <c r="B1921" s="216" t="s">
        <v>5238</v>
      </c>
      <c r="C1921" s="216" t="s">
        <v>5239</v>
      </c>
      <c r="D1921" s="217">
        <v>45462.76246527778</v>
      </c>
      <c r="E1921" s="217"/>
      <c r="F1921" s="218" t="s">
        <v>503</v>
      </c>
      <c r="G1921" s="219" t="s">
        <v>5258</v>
      </c>
      <c r="H1921" s="216" t="s">
        <v>283</v>
      </c>
      <c r="I1921" s="216" t="s">
        <v>1315</v>
      </c>
    </row>
    <row r="1922">
      <c r="A1922" s="216" t="s">
        <v>5257</v>
      </c>
      <c r="B1922" s="216" t="s">
        <v>5238</v>
      </c>
      <c r="C1922" s="216" t="s">
        <v>5239</v>
      </c>
      <c r="D1922" s="217">
        <v>45462.76246527778</v>
      </c>
      <c r="E1922" s="217">
        <v>45465.33351851852</v>
      </c>
      <c r="F1922" s="218" t="s">
        <v>503</v>
      </c>
      <c r="G1922" s="219" t="s">
        <v>5258</v>
      </c>
      <c r="H1922" s="216" t="s">
        <v>283</v>
      </c>
      <c r="I1922" s="216" t="s">
        <v>1315</v>
      </c>
    </row>
    <row r="1923">
      <c r="A1923" s="216" t="s">
        <v>5259</v>
      </c>
      <c r="B1923" s="216" t="s">
        <v>5238</v>
      </c>
      <c r="C1923" s="216" t="s">
        <v>5239</v>
      </c>
      <c r="D1923" s="217">
        <v>45450.90431712963</v>
      </c>
      <c r="E1923" s="217">
        <v>45451.29537037037</v>
      </c>
      <c r="F1923" s="218" t="s">
        <v>431</v>
      </c>
      <c r="G1923" s="219" t="s">
        <v>521</v>
      </c>
      <c r="H1923" s="216" t="s">
        <v>811</v>
      </c>
      <c r="I1923" s="216" t="s">
        <v>2361</v>
      </c>
    </row>
    <row r="1924">
      <c r="A1924" s="212" t="s">
        <v>5260</v>
      </c>
      <c r="B1924" s="212" t="s">
        <v>5238</v>
      </c>
      <c r="C1924" s="212" t="s">
        <v>5261</v>
      </c>
      <c r="D1924" s="213">
        <v>45748.89472222222</v>
      </c>
      <c r="E1924" s="213">
        <v>45748.91670138889</v>
      </c>
      <c r="F1924" s="214" t="s">
        <v>1259</v>
      </c>
      <c r="G1924" s="215" t="s">
        <v>5262</v>
      </c>
      <c r="H1924" s="212" t="s">
        <v>346</v>
      </c>
      <c r="I1924" s="212" t="s">
        <v>946</v>
      </c>
    </row>
    <row r="1925">
      <c r="A1925" s="212" t="s">
        <v>5263</v>
      </c>
      <c r="B1925" s="212" t="s">
        <v>5264</v>
      </c>
      <c r="C1925" s="212" t="s">
        <v>5265</v>
      </c>
      <c r="D1925" s="213">
        <v>45431.60594907407</v>
      </c>
      <c r="E1925" s="213">
        <v>45431.444560185184</v>
      </c>
      <c r="F1925" s="214" t="s">
        <v>5266</v>
      </c>
      <c r="G1925" s="215" t="s">
        <v>5267</v>
      </c>
      <c r="H1925" s="212" t="s">
        <v>377</v>
      </c>
      <c r="I1925" s="212" t="s">
        <v>5268</v>
      </c>
    </row>
    <row r="1926">
      <c r="A1926" s="216" t="s">
        <v>5269</v>
      </c>
      <c r="B1926" s="216" t="s">
        <v>5264</v>
      </c>
      <c r="C1926" s="216" t="s">
        <v>5270</v>
      </c>
      <c r="D1926" s="217">
        <v>45431.598125</v>
      </c>
      <c r="E1926" s="217">
        <v>45431.46189814815</v>
      </c>
      <c r="F1926" s="218" t="s">
        <v>269</v>
      </c>
      <c r="G1926" s="219" t="s">
        <v>5271</v>
      </c>
      <c r="H1926" s="216" t="s">
        <v>346</v>
      </c>
      <c r="I1926" s="216" t="s">
        <v>284</v>
      </c>
    </row>
    <row r="1927">
      <c r="A1927" s="212" t="s">
        <v>5272</v>
      </c>
      <c r="B1927" s="212" t="s">
        <v>5264</v>
      </c>
      <c r="C1927" s="212" t="s">
        <v>5265</v>
      </c>
      <c r="D1927" s="213">
        <v>45431.47655092592</v>
      </c>
      <c r="E1927" s="227"/>
      <c r="F1927" s="214" t="s">
        <v>509</v>
      </c>
      <c r="G1927" s="215" t="s">
        <v>5273</v>
      </c>
      <c r="H1927" s="212" t="s">
        <v>377</v>
      </c>
      <c r="I1927" s="212" t="s">
        <v>5268</v>
      </c>
    </row>
    <row r="1928">
      <c r="A1928" s="216" t="s">
        <v>5274</v>
      </c>
      <c r="B1928" s="216" t="s">
        <v>5264</v>
      </c>
      <c r="C1928" s="216" t="s">
        <v>5275</v>
      </c>
      <c r="D1928" s="217">
        <v>45431.47425925926</v>
      </c>
      <c r="E1928" s="217">
        <v>45435.35769675926</v>
      </c>
      <c r="F1928" s="218" t="s">
        <v>291</v>
      </c>
      <c r="G1928" s="219" t="s">
        <v>5276</v>
      </c>
      <c r="H1928" s="216" t="s">
        <v>377</v>
      </c>
      <c r="I1928" s="216" t="s">
        <v>284</v>
      </c>
    </row>
    <row r="1929">
      <c r="A1929" s="216" t="s">
        <v>5277</v>
      </c>
      <c r="B1929" s="216" t="s">
        <v>5278</v>
      </c>
      <c r="C1929" s="216" t="s">
        <v>4297</v>
      </c>
      <c r="D1929" s="217">
        <v>45777.793275462966</v>
      </c>
      <c r="E1929" s="217">
        <v>45779.52446759259</v>
      </c>
      <c r="F1929" s="218" t="s">
        <v>481</v>
      </c>
      <c r="G1929" s="219" t="s">
        <v>5279</v>
      </c>
      <c r="H1929" s="216" t="s">
        <v>377</v>
      </c>
      <c r="I1929" s="216" t="s">
        <v>284</v>
      </c>
    </row>
    <row r="1930">
      <c r="A1930" s="216" t="s">
        <v>5280</v>
      </c>
      <c r="B1930" s="216" t="s">
        <v>5281</v>
      </c>
      <c r="C1930" s="216" t="s">
        <v>5282</v>
      </c>
      <c r="D1930" s="217">
        <v>45522.82986111111</v>
      </c>
      <c r="E1930" s="217"/>
      <c r="F1930" s="218" t="s">
        <v>5283</v>
      </c>
      <c r="G1930" s="219" t="s">
        <v>5284</v>
      </c>
      <c r="H1930" s="216" t="s">
        <v>259</v>
      </c>
      <c r="I1930" s="216" t="s">
        <v>461</v>
      </c>
    </row>
    <row r="1931">
      <c r="A1931" s="216" t="s">
        <v>5285</v>
      </c>
      <c r="B1931" s="216" t="s">
        <v>5286</v>
      </c>
      <c r="C1931" s="216" t="s">
        <v>5287</v>
      </c>
      <c r="D1931" s="217">
        <v>45706.59328703704</v>
      </c>
      <c r="E1931" s="217">
        <v>45706.656377314815</v>
      </c>
      <c r="F1931" s="218" t="s">
        <v>431</v>
      </c>
      <c r="G1931" s="219" t="s">
        <v>5288</v>
      </c>
      <c r="H1931" s="216" t="s">
        <v>356</v>
      </c>
      <c r="I1931" s="216" t="s">
        <v>2117</v>
      </c>
    </row>
    <row r="1932">
      <c r="A1932" s="212" t="s">
        <v>5289</v>
      </c>
      <c r="B1932" s="212" t="s">
        <v>5290</v>
      </c>
      <c r="C1932" s="212" t="s">
        <v>5291</v>
      </c>
      <c r="D1932" s="213">
        <v>45549.60789351852</v>
      </c>
      <c r="E1932" s="213"/>
      <c r="F1932" s="214" t="s">
        <v>339</v>
      </c>
      <c r="G1932" s="215" t="s">
        <v>5292</v>
      </c>
      <c r="H1932" s="212" t="s">
        <v>259</v>
      </c>
      <c r="I1932" s="212" t="s">
        <v>260</v>
      </c>
    </row>
    <row r="1933">
      <c r="A1933" s="216" t="s">
        <v>5293</v>
      </c>
      <c r="B1933" s="216" t="s">
        <v>5290</v>
      </c>
      <c r="C1933" s="216" t="s">
        <v>5291</v>
      </c>
      <c r="D1933" s="217">
        <v>45540.87640046296</v>
      </c>
      <c r="E1933" s="217"/>
      <c r="F1933" s="218" t="s">
        <v>339</v>
      </c>
      <c r="G1933" s="219" t="s">
        <v>5294</v>
      </c>
      <c r="H1933" s="216" t="s">
        <v>259</v>
      </c>
      <c r="I1933" s="216" t="s">
        <v>260</v>
      </c>
    </row>
    <row r="1934">
      <c r="A1934" s="212" t="s">
        <v>5295</v>
      </c>
      <c r="B1934" s="212" t="s">
        <v>5290</v>
      </c>
      <c r="C1934" s="212" t="s">
        <v>5291</v>
      </c>
      <c r="D1934" s="213">
        <v>45529.76222222222</v>
      </c>
      <c r="E1934" s="213"/>
      <c r="F1934" s="214" t="s">
        <v>470</v>
      </c>
      <c r="G1934" s="215" t="s">
        <v>674</v>
      </c>
      <c r="H1934" s="212" t="s">
        <v>259</v>
      </c>
      <c r="I1934" s="212" t="s">
        <v>260</v>
      </c>
    </row>
    <row r="1935">
      <c r="A1935" s="216" t="s">
        <v>5296</v>
      </c>
      <c r="B1935" s="216" t="s">
        <v>5290</v>
      </c>
      <c r="C1935" s="216" t="s">
        <v>5297</v>
      </c>
      <c r="D1935" s="217">
        <v>45523.863032407404</v>
      </c>
      <c r="E1935" s="217"/>
      <c r="F1935" s="218" t="s">
        <v>470</v>
      </c>
      <c r="G1935" s="219" t="s">
        <v>5298</v>
      </c>
      <c r="H1935" s="216" t="s">
        <v>259</v>
      </c>
      <c r="I1935" s="216" t="s">
        <v>332</v>
      </c>
    </row>
    <row r="1936">
      <c r="A1936" s="216" t="s">
        <v>5296</v>
      </c>
      <c r="B1936" s="216" t="s">
        <v>5290</v>
      </c>
      <c r="C1936" s="216" t="s">
        <v>5297</v>
      </c>
      <c r="D1936" s="217">
        <v>45523.863032407404</v>
      </c>
      <c r="E1936" s="217"/>
      <c r="F1936" s="218" t="s">
        <v>470</v>
      </c>
      <c r="G1936" s="219" t="s">
        <v>5298</v>
      </c>
      <c r="H1936" s="216" t="s">
        <v>259</v>
      </c>
      <c r="I1936" s="216" t="s">
        <v>332</v>
      </c>
    </row>
    <row r="1937">
      <c r="A1937" s="216" t="s">
        <v>5299</v>
      </c>
      <c r="B1937" s="216" t="s">
        <v>5290</v>
      </c>
      <c r="C1937" s="216" t="s">
        <v>5291</v>
      </c>
      <c r="D1937" s="217">
        <v>45515.81420138889</v>
      </c>
      <c r="E1937" s="217"/>
      <c r="F1937" s="218" t="s">
        <v>470</v>
      </c>
      <c r="G1937" s="219" t="s">
        <v>4514</v>
      </c>
      <c r="H1937" s="216" t="s">
        <v>259</v>
      </c>
      <c r="I1937" s="216" t="s">
        <v>260</v>
      </c>
    </row>
    <row r="1938">
      <c r="A1938" s="216" t="s">
        <v>5300</v>
      </c>
      <c r="B1938" s="216" t="s">
        <v>5290</v>
      </c>
      <c r="C1938" s="216" t="s">
        <v>5291</v>
      </c>
      <c r="D1938" s="217">
        <v>45501.812256944446</v>
      </c>
      <c r="E1938" s="217"/>
      <c r="F1938" s="218" t="s">
        <v>470</v>
      </c>
      <c r="G1938" s="219" t="s">
        <v>5301</v>
      </c>
      <c r="H1938" s="216" t="s">
        <v>259</v>
      </c>
      <c r="I1938" s="216" t="s">
        <v>260</v>
      </c>
    </row>
    <row r="1939">
      <c r="A1939" s="216" t="s">
        <v>5302</v>
      </c>
      <c r="B1939" s="216" t="s">
        <v>5290</v>
      </c>
      <c r="C1939" s="216" t="s">
        <v>5303</v>
      </c>
      <c r="D1939" s="217">
        <v>45495.87099537037</v>
      </c>
      <c r="E1939" s="217"/>
      <c r="F1939" s="218" t="s">
        <v>498</v>
      </c>
      <c r="G1939" s="219" t="s">
        <v>5304</v>
      </c>
      <c r="H1939" s="216" t="s">
        <v>259</v>
      </c>
      <c r="I1939" s="216" t="s">
        <v>332</v>
      </c>
    </row>
    <row r="1940">
      <c r="A1940" s="212" t="s">
        <v>5305</v>
      </c>
      <c r="B1940" s="212" t="s">
        <v>5290</v>
      </c>
      <c r="C1940" s="212" t="s">
        <v>5291</v>
      </c>
      <c r="D1940" s="213">
        <v>45495.86959490741</v>
      </c>
      <c r="E1940" s="213"/>
      <c r="F1940" s="214" t="s">
        <v>470</v>
      </c>
      <c r="G1940" s="215" t="s">
        <v>5306</v>
      </c>
      <c r="H1940" s="212" t="s">
        <v>259</v>
      </c>
      <c r="I1940" s="212" t="s">
        <v>260</v>
      </c>
    </row>
    <row r="1941">
      <c r="A1941" s="216" t="s">
        <v>5307</v>
      </c>
      <c r="B1941" s="216" t="s">
        <v>5290</v>
      </c>
      <c r="C1941" s="216" t="s">
        <v>5297</v>
      </c>
      <c r="D1941" s="217">
        <v>45459.817349537036</v>
      </c>
      <c r="E1941" s="217">
        <v>45460.28834490741</v>
      </c>
      <c r="F1941" s="218" t="s">
        <v>250</v>
      </c>
      <c r="G1941" s="219" t="s">
        <v>5308</v>
      </c>
      <c r="H1941" s="216" t="s">
        <v>259</v>
      </c>
      <c r="I1941" s="216" t="s">
        <v>332</v>
      </c>
    </row>
    <row r="1942">
      <c r="A1942" s="212" t="s">
        <v>5309</v>
      </c>
      <c r="B1942" s="212" t="s">
        <v>5290</v>
      </c>
      <c r="C1942" s="212" t="s">
        <v>5297</v>
      </c>
      <c r="D1942" s="213">
        <v>45459.81564814815</v>
      </c>
      <c r="E1942" s="227"/>
      <c r="F1942" s="214" t="s">
        <v>391</v>
      </c>
      <c r="G1942" s="215" t="s">
        <v>877</v>
      </c>
      <c r="H1942" s="212" t="s">
        <v>259</v>
      </c>
      <c r="I1942" s="212" t="s">
        <v>332</v>
      </c>
    </row>
    <row r="1943">
      <c r="A1943" s="216" t="s">
        <v>5310</v>
      </c>
      <c r="B1943" s="216" t="s">
        <v>5290</v>
      </c>
      <c r="C1943" s="216" t="s">
        <v>1627</v>
      </c>
      <c r="D1943" s="217">
        <v>45452.85304398148</v>
      </c>
      <c r="E1943" s="217">
        <v>45454.27790509259</v>
      </c>
      <c r="F1943" s="218" t="s">
        <v>658</v>
      </c>
      <c r="G1943" s="219" t="s">
        <v>5311</v>
      </c>
      <c r="H1943" s="216" t="s">
        <v>632</v>
      </c>
      <c r="I1943" s="216" t="s">
        <v>332</v>
      </c>
    </row>
    <row r="1944">
      <c r="A1944" s="212" t="s">
        <v>5312</v>
      </c>
      <c r="B1944" s="212" t="s">
        <v>5290</v>
      </c>
      <c r="C1944" s="212" t="s">
        <v>5297</v>
      </c>
      <c r="D1944" s="213">
        <v>45452.85071759259</v>
      </c>
      <c r="E1944" s="213">
        <v>45453.36818287037</v>
      </c>
      <c r="F1944" s="214" t="s">
        <v>5313</v>
      </c>
      <c r="G1944" s="215" t="s">
        <v>5314</v>
      </c>
      <c r="H1944" s="212" t="s">
        <v>259</v>
      </c>
      <c r="I1944" s="212" t="s">
        <v>332</v>
      </c>
    </row>
    <row r="1945">
      <c r="A1945" s="216" t="s">
        <v>5315</v>
      </c>
      <c r="B1945" s="216" t="s">
        <v>5290</v>
      </c>
      <c r="C1945" s="216" t="s">
        <v>5291</v>
      </c>
      <c r="D1945" s="217">
        <v>45432.82934027778</v>
      </c>
      <c r="E1945" s="217">
        <v>45434.2430787037</v>
      </c>
      <c r="F1945" s="218" t="s">
        <v>291</v>
      </c>
      <c r="G1945" s="219" t="s">
        <v>5316</v>
      </c>
      <c r="H1945" s="216" t="s">
        <v>259</v>
      </c>
      <c r="I1945" s="216" t="s">
        <v>260</v>
      </c>
    </row>
    <row r="1946">
      <c r="A1946" s="212" t="s">
        <v>5317</v>
      </c>
      <c r="B1946" s="212" t="s">
        <v>5290</v>
      </c>
      <c r="C1946" s="212" t="s">
        <v>5291</v>
      </c>
      <c r="D1946" s="213">
        <v>45712.48743055556</v>
      </c>
      <c r="E1946" s="213">
        <v>45712.55909722222</v>
      </c>
      <c r="F1946" s="214" t="s">
        <v>380</v>
      </c>
      <c r="G1946" s="215" t="s">
        <v>1178</v>
      </c>
      <c r="H1946" s="212" t="s">
        <v>259</v>
      </c>
      <c r="I1946" s="212" t="s">
        <v>260</v>
      </c>
    </row>
    <row r="1947">
      <c r="A1947" s="212" t="s">
        <v>5318</v>
      </c>
      <c r="B1947" s="212" t="s">
        <v>5319</v>
      </c>
      <c r="C1947" s="212" t="s">
        <v>5320</v>
      </c>
      <c r="D1947" s="213">
        <v>45704.8127662037</v>
      </c>
      <c r="E1947" s="213">
        <v>45704.82309027778</v>
      </c>
      <c r="F1947" s="214" t="s">
        <v>1105</v>
      </c>
      <c r="G1947" s="215" t="s">
        <v>5321</v>
      </c>
      <c r="H1947" s="212" t="s">
        <v>259</v>
      </c>
      <c r="I1947" s="212" t="s">
        <v>640</v>
      </c>
    </row>
    <row r="1948">
      <c r="A1948" s="216" t="s">
        <v>5322</v>
      </c>
      <c r="B1948" s="216" t="s">
        <v>5319</v>
      </c>
      <c r="C1948" s="216" t="s">
        <v>5323</v>
      </c>
      <c r="D1948" s="217">
        <v>45745.8933912037</v>
      </c>
      <c r="E1948" s="217">
        <v>45747.47586805555</v>
      </c>
      <c r="F1948" s="218" t="s">
        <v>1458</v>
      </c>
      <c r="G1948" s="219" t="s">
        <v>5324</v>
      </c>
      <c r="H1948" s="216" t="s">
        <v>259</v>
      </c>
      <c r="I1948" s="216" t="s">
        <v>640</v>
      </c>
    </row>
    <row r="1949">
      <c r="A1949" s="216" t="s">
        <v>5325</v>
      </c>
      <c r="B1949" s="216" t="s">
        <v>5326</v>
      </c>
      <c r="C1949" s="216" t="s">
        <v>5327</v>
      </c>
      <c r="D1949" s="217">
        <v>45776.830509259256</v>
      </c>
      <c r="E1949" s="217">
        <v>45776.87849537037</v>
      </c>
      <c r="F1949" s="218" t="s">
        <v>317</v>
      </c>
      <c r="G1949" s="219" t="s">
        <v>5328</v>
      </c>
      <c r="H1949" s="216" t="s">
        <v>259</v>
      </c>
      <c r="I1949" s="216" t="s">
        <v>4206</v>
      </c>
    </row>
    <row r="1950">
      <c r="A1950" s="216" t="s">
        <v>5329</v>
      </c>
      <c r="B1950" s="216" t="s">
        <v>5326</v>
      </c>
      <c r="C1950" s="216" t="s">
        <v>5327</v>
      </c>
      <c r="D1950" s="217">
        <v>45773.59607638889</v>
      </c>
      <c r="E1950" s="217">
        <v>45773.67721064815</v>
      </c>
      <c r="F1950" s="218" t="s">
        <v>503</v>
      </c>
      <c r="G1950" s="219" t="s">
        <v>2104</v>
      </c>
      <c r="H1950" s="216" t="s">
        <v>259</v>
      </c>
      <c r="I1950" s="216" t="s">
        <v>4206</v>
      </c>
    </row>
    <row r="1951">
      <c r="A1951" s="216" t="s">
        <v>5330</v>
      </c>
      <c r="B1951" s="216" t="s">
        <v>5326</v>
      </c>
      <c r="C1951" s="216" t="s">
        <v>5327</v>
      </c>
      <c r="D1951" s="217">
        <v>45760.740891203706</v>
      </c>
      <c r="E1951" s="217">
        <v>45760.87850694444</v>
      </c>
      <c r="F1951" s="218" t="s">
        <v>1259</v>
      </c>
      <c r="G1951" s="219" t="s">
        <v>5331</v>
      </c>
      <c r="H1951" s="216" t="s">
        <v>259</v>
      </c>
      <c r="I1951" s="216" t="s">
        <v>4206</v>
      </c>
    </row>
    <row r="1952">
      <c r="A1952" s="212" t="s">
        <v>5332</v>
      </c>
      <c r="B1952" s="212" t="s">
        <v>5333</v>
      </c>
      <c r="C1952" s="212" t="s">
        <v>5334</v>
      </c>
      <c r="D1952" s="213">
        <v>45465.71896990741</v>
      </c>
      <c r="E1952" s="213"/>
      <c r="F1952" s="214" t="s">
        <v>291</v>
      </c>
      <c r="G1952" s="215" t="s">
        <v>5335</v>
      </c>
      <c r="H1952" s="212" t="s">
        <v>1345</v>
      </c>
      <c r="I1952" s="212" t="s">
        <v>1621</v>
      </c>
    </row>
    <row r="1953">
      <c r="A1953" s="216" t="s">
        <v>5336</v>
      </c>
      <c r="B1953" s="216" t="s">
        <v>5337</v>
      </c>
      <c r="C1953" s="216" t="s">
        <v>5338</v>
      </c>
      <c r="D1953" s="217">
        <v>45750.83726851852</v>
      </c>
      <c r="E1953" s="217">
        <v>45751.5278587963</v>
      </c>
      <c r="F1953" s="218" t="s">
        <v>503</v>
      </c>
      <c r="G1953" s="219" t="s">
        <v>503</v>
      </c>
      <c r="H1953" s="216" t="s">
        <v>5339</v>
      </c>
      <c r="I1953" s="216" t="s">
        <v>1633</v>
      </c>
    </row>
    <row r="1954">
      <c r="A1954" s="212" t="s">
        <v>5340</v>
      </c>
      <c r="B1954" s="212" t="s">
        <v>5341</v>
      </c>
      <c r="C1954" s="212" t="s">
        <v>5342</v>
      </c>
      <c r="D1954" s="213">
        <v>45704.57090277778</v>
      </c>
      <c r="E1954" s="213">
        <v>45707.44800925926</v>
      </c>
      <c r="F1954" s="214" t="s">
        <v>350</v>
      </c>
      <c r="G1954" s="215" t="s">
        <v>5343</v>
      </c>
      <c r="H1954" s="212" t="s">
        <v>259</v>
      </c>
      <c r="I1954" s="212" t="s">
        <v>260</v>
      </c>
    </row>
    <row r="1955">
      <c r="A1955" s="216" t="s">
        <v>5344</v>
      </c>
      <c r="B1955" s="216" t="s">
        <v>5341</v>
      </c>
      <c r="C1955" s="216" t="s">
        <v>5345</v>
      </c>
      <c r="D1955" s="217">
        <v>45760.48782407407</v>
      </c>
      <c r="E1955" s="217">
        <v>45768.62856481481</v>
      </c>
      <c r="F1955" s="218" t="s">
        <v>250</v>
      </c>
      <c r="G1955" s="219" t="s">
        <v>455</v>
      </c>
      <c r="H1955" s="216" t="s">
        <v>259</v>
      </c>
      <c r="I1955" s="216" t="s">
        <v>260</v>
      </c>
    </row>
    <row r="1956">
      <c r="A1956" s="212" t="s">
        <v>5346</v>
      </c>
      <c r="B1956" s="212" t="s">
        <v>5341</v>
      </c>
      <c r="C1956" s="212" t="s">
        <v>5345</v>
      </c>
      <c r="D1956" s="213">
        <v>45760.48719907407</v>
      </c>
      <c r="E1956" s="227"/>
      <c r="F1956" s="214" t="s">
        <v>391</v>
      </c>
      <c r="G1956" s="215" t="s">
        <v>877</v>
      </c>
      <c r="H1956" s="212" t="s">
        <v>259</v>
      </c>
      <c r="I1956" s="212" t="s">
        <v>260</v>
      </c>
    </row>
    <row r="1957">
      <c r="A1957" s="212" t="s">
        <v>5347</v>
      </c>
      <c r="B1957" s="212" t="s">
        <v>5348</v>
      </c>
      <c r="C1957" s="212" t="s">
        <v>5349</v>
      </c>
      <c r="D1957" s="213">
        <v>45548.80459490741</v>
      </c>
      <c r="E1957" s="213"/>
      <c r="F1957" s="214" t="s">
        <v>431</v>
      </c>
      <c r="G1957" s="215" t="s">
        <v>1789</v>
      </c>
      <c r="H1957" s="212" t="s">
        <v>265</v>
      </c>
      <c r="I1957" s="212" t="s">
        <v>461</v>
      </c>
    </row>
    <row r="1958">
      <c r="A1958" s="212" t="s">
        <v>5350</v>
      </c>
      <c r="B1958" s="212" t="s">
        <v>5348</v>
      </c>
      <c r="C1958" s="212" t="s">
        <v>5351</v>
      </c>
      <c r="D1958" s="213">
        <v>45535.745092592595</v>
      </c>
      <c r="E1958" s="213"/>
      <c r="F1958" s="214" t="s">
        <v>470</v>
      </c>
      <c r="G1958" s="215" t="s">
        <v>5352</v>
      </c>
      <c r="H1958" s="212" t="s">
        <v>398</v>
      </c>
      <c r="I1958" s="212" t="s">
        <v>449</v>
      </c>
    </row>
    <row r="1959">
      <c r="A1959" s="216" t="s">
        <v>5353</v>
      </c>
      <c r="B1959" s="216" t="s">
        <v>5348</v>
      </c>
      <c r="C1959" s="216" t="s">
        <v>5354</v>
      </c>
      <c r="D1959" s="217">
        <v>45524.87459490741</v>
      </c>
      <c r="E1959" s="217"/>
      <c r="F1959" s="218" t="s">
        <v>465</v>
      </c>
      <c r="G1959" s="219" t="s">
        <v>5355</v>
      </c>
      <c r="H1959" s="216" t="s">
        <v>265</v>
      </c>
      <c r="I1959" s="216" t="s">
        <v>461</v>
      </c>
    </row>
    <row r="1960">
      <c r="A1960" s="216" t="s">
        <v>5356</v>
      </c>
      <c r="B1960" s="216" t="s">
        <v>5348</v>
      </c>
      <c r="C1960" s="216" t="s">
        <v>5351</v>
      </c>
      <c r="D1960" s="217">
        <v>45711.601875</v>
      </c>
      <c r="E1960" s="217">
        <v>45711.61466435185</v>
      </c>
      <c r="F1960" s="218" t="s">
        <v>503</v>
      </c>
      <c r="G1960" s="219" t="s">
        <v>1841</v>
      </c>
      <c r="H1960" s="216" t="s">
        <v>632</v>
      </c>
      <c r="I1960" s="216" t="s">
        <v>449</v>
      </c>
    </row>
    <row r="1961">
      <c r="A1961" s="212" t="s">
        <v>5357</v>
      </c>
      <c r="B1961" s="212" t="s">
        <v>5358</v>
      </c>
      <c r="C1961" s="212" t="s">
        <v>5359</v>
      </c>
      <c r="D1961" s="213">
        <v>45543.86960648148</v>
      </c>
      <c r="E1961" s="213"/>
      <c r="F1961" s="214" t="s">
        <v>470</v>
      </c>
      <c r="G1961" s="215" t="s">
        <v>2935</v>
      </c>
      <c r="H1961" s="212" t="s">
        <v>346</v>
      </c>
      <c r="I1961" s="212" t="s">
        <v>347</v>
      </c>
    </row>
    <row r="1962">
      <c r="A1962" s="212" t="s">
        <v>5360</v>
      </c>
      <c r="B1962" s="212" t="s">
        <v>5358</v>
      </c>
      <c r="C1962" s="212" t="s">
        <v>5359</v>
      </c>
      <c r="D1962" s="213">
        <v>45523.897361111114</v>
      </c>
      <c r="E1962" s="213"/>
      <c r="F1962" s="214" t="s">
        <v>572</v>
      </c>
      <c r="G1962" s="215" t="s">
        <v>986</v>
      </c>
      <c r="H1962" s="212" t="s">
        <v>346</v>
      </c>
      <c r="I1962" s="212" t="s">
        <v>347</v>
      </c>
    </row>
    <row r="1963">
      <c r="A1963" s="212" t="s">
        <v>5360</v>
      </c>
      <c r="B1963" s="212" t="s">
        <v>5358</v>
      </c>
      <c r="C1963" s="212" t="s">
        <v>5359</v>
      </c>
      <c r="D1963" s="213">
        <v>45523.897361111114</v>
      </c>
      <c r="E1963" s="213"/>
      <c r="F1963" s="214" t="s">
        <v>572</v>
      </c>
      <c r="G1963" s="215" t="s">
        <v>986</v>
      </c>
      <c r="H1963" s="212" t="s">
        <v>346</v>
      </c>
      <c r="I1963" s="212" t="s">
        <v>347</v>
      </c>
    </row>
    <row r="1964">
      <c r="A1964" s="212" t="s">
        <v>5361</v>
      </c>
      <c r="B1964" s="212" t="s">
        <v>5358</v>
      </c>
      <c r="C1964" s="212" t="s">
        <v>5359</v>
      </c>
      <c r="D1964" s="213">
        <v>45494.801041666666</v>
      </c>
      <c r="E1964" s="213"/>
      <c r="F1964" s="214" t="s">
        <v>380</v>
      </c>
      <c r="G1964" s="215" t="s">
        <v>5362</v>
      </c>
      <c r="H1964" s="212" t="s">
        <v>346</v>
      </c>
      <c r="I1964" s="212" t="s">
        <v>347</v>
      </c>
    </row>
    <row r="1965">
      <c r="A1965" s="212" t="s">
        <v>5363</v>
      </c>
      <c r="B1965" s="212" t="s">
        <v>5358</v>
      </c>
      <c r="C1965" s="212" t="s">
        <v>5364</v>
      </c>
      <c r="D1965" s="213">
        <v>45704.823541666665</v>
      </c>
      <c r="E1965" s="213">
        <v>45705.43063657408</v>
      </c>
      <c r="F1965" s="214" t="s">
        <v>538</v>
      </c>
      <c r="G1965" s="215" t="s">
        <v>5365</v>
      </c>
      <c r="H1965" s="212" t="s">
        <v>346</v>
      </c>
      <c r="I1965" s="212" t="s">
        <v>347</v>
      </c>
    </row>
    <row r="1966">
      <c r="A1966" s="216" t="s">
        <v>5366</v>
      </c>
      <c r="B1966" s="216" t="s">
        <v>5358</v>
      </c>
      <c r="C1966" s="216" t="s">
        <v>5367</v>
      </c>
      <c r="D1966" s="217">
        <v>45746.87200231481</v>
      </c>
      <c r="E1966" s="217">
        <v>45747.49317129629</v>
      </c>
      <c r="F1966" s="218" t="s">
        <v>493</v>
      </c>
      <c r="G1966" s="219" t="s">
        <v>1331</v>
      </c>
      <c r="H1966" s="216" t="s">
        <v>346</v>
      </c>
      <c r="I1966" s="216" t="s">
        <v>347</v>
      </c>
    </row>
    <row r="1967">
      <c r="A1967" s="216" t="s">
        <v>5368</v>
      </c>
      <c r="B1967" s="216" t="s">
        <v>5369</v>
      </c>
      <c r="C1967" s="216" t="s">
        <v>5370</v>
      </c>
      <c r="D1967" s="217">
        <v>45552.85313657407</v>
      </c>
      <c r="E1967" s="217"/>
      <c r="F1967" s="218" t="s">
        <v>5371</v>
      </c>
      <c r="G1967" s="219" t="s">
        <v>5372</v>
      </c>
      <c r="H1967" s="216" t="s">
        <v>259</v>
      </c>
      <c r="I1967" s="216" t="s">
        <v>3732</v>
      </c>
    </row>
    <row r="1968">
      <c r="A1968" s="216" t="s">
        <v>5373</v>
      </c>
      <c r="B1968" s="216" t="s">
        <v>5369</v>
      </c>
      <c r="C1968" s="216" t="s">
        <v>5374</v>
      </c>
      <c r="D1968" s="217">
        <v>45542.548946759256</v>
      </c>
      <c r="E1968" s="217"/>
      <c r="F1968" s="218" t="s">
        <v>967</v>
      </c>
      <c r="G1968" s="219" t="s">
        <v>5375</v>
      </c>
      <c r="H1968" s="216" t="s">
        <v>259</v>
      </c>
      <c r="I1968" s="216" t="s">
        <v>3732</v>
      </c>
    </row>
    <row r="1969">
      <c r="A1969" s="212" t="s">
        <v>5376</v>
      </c>
      <c r="B1969" s="212" t="s">
        <v>5369</v>
      </c>
      <c r="C1969" s="212" t="s">
        <v>5377</v>
      </c>
      <c r="D1969" s="213">
        <v>45542.54837962963</v>
      </c>
      <c r="E1969" s="213"/>
      <c r="F1969" s="214" t="s">
        <v>4357</v>
      </c>
      <c r="G1969" s="215" t="s">
        <v>5378</v>
      </c>
      <c r="H1969" s="212" t="s">
        <v>259</v>
      </c>
      <c r="I1969" s="212" t="s">
        <v>3732</v>
      </c>
    </row>
    <row r="1970">
      <c r="A1970" s="212" t="s">
        <v>5379</v>
      </c>
      <c r="B1970" s="212" t="s">
        <v>5369</v>
      </c>
      <c r="C1970" s="212" t="s">
        <v>5377</v>
      </c>
      <c r="D1970" s="213">
        <v>45500.5775</v>
      </c>
      <c r="E1970" s="213"/>
      <c r="F1970" s="214" t="s">
        <v>648</v>
      </c>
      <c r="G1970" s="215" t="s">
        <v>649</v>
      </c>
      <c r="H1970" s="212" t="s">
        <v>259</v>
      </c>
      <c r="I1970" s="212" t="s">
        <v>3732</v>
      </c>
    </row>
    <row r="1971">
      <c r="A1971" s="216" t="s">
        <v>5380</v>
      </c>
      <c r="B1971" s="216" t="s">
        <v>5369</v>
      </c>
      <c r="C1971" s="216" t="s">
        <v>5381</v>
      </c>
      <c r="D1971" s="217">
        <v>45496.83956018519</v>
      </c>
      <c r="E1971" s="217"/>
      <c r="F1971" s="218" t="s">
        <v>5382</v>
      </c>
      <c r="G1971" s="219" t="s">
        <v>5383</v>
      </c>
      <c r="H1971" s="216" t="s">
        <v>259</v>
      </c>
      <c r="I1971" s="216" t="s">
        <v>3732</v>
      </c>
    </row>
    <row r="1972">
      <c r="A1972" s="212" t="s">
        <v>5384</v>
      </c>
      <c r="B1972" s="212" t="s">
        <v>5369</v>
      </c>
      <c r="C1972" s="212" t="s">
        <v>5377</v>
      </c>
      <c r="D1972" s="213">
        <v>45457.746979166666</v>
      </c>
      <c r="E1972" s="213">
        <v>45457.552256944444</v>
      </c>
      <c r="F1972" s="214" t="s">
        <v>470</v>
      </c>
      <c r="G1972" s="215" t="s">
        <v>5385</v>
      </c>
      <c r="H1972" s="212" t="s">
        <v>259</v>
      </c>
      <c r="I1972" s="212" t="s">
        <v>3732</v>
      </c>
    </row>
    <row r="1973">
      <c r="A1973" s="212" t="s">
        <v>5386</v>
      </c>
      <c r="B1973" s="212" t="s">
        <v>5387</v>
      </c>
      <c r="C1973" s="212" t="s">
        <v>5388</v>
      </c>
      <c r="D1973" s="213">
        <v>45460.88087962963</v>
      </c>
      <c r="E1973" s="213">
        <v>45460.6840625</v>
      </c>
      <c r="F1973" s="214" t="s">
        <v>470</v>
      </c>
      <c r="G1973" s="215" t="s">
        <v>4535</v>
      </c>
      <c r="H1973" s="212" t="s">
        <v>259</v>
      </c>
      <c r="I1973" s="212" t="s">
        <v>5389</v>
      </c>
    </row>
    <row r="1974">
      <c r="A1974" s="212" t="s">
        <v>5390</v>
      </c>
      <c r="B1974" s="212" t="s">
        <v>5391</v>
      </c>
      <c r="C1974" s="212" t="s">
        <v>5392</v>
      </c>
      <c r="D1974" s="213">
        <v>45545.87311342593</v>
      </c>
      <c r="E1974" s="213"/>
      <c r="F1974" s="214" t="s">
        <v>715</v>
      </c>
      <c r="G1974" s="215" t="s">
        <v>5393</v>
      </c>
      <c r="H1974" s="212" t="s">
        <v>259</v>
      </c>
      <c r="I1974" s="212" t="s">
        <v>5394</v>
      </c>
    </row>
    <row r="1975">
      <c r="A1975" s="212" t="s">
        <v>5395</v>
      </c>
      <c r="B1975" s="212" t="s">
        <v>5391</v>
      </c>
      <c r="C1975" s="212" t="s">
        <v>5392</v>
      </c>
      <c r="D1975" s="213">
        <v>45501.745300925926</v>
      </c>
      <c r="E1975" s="213"/>
      <c r="F1975" s="214" t="s">
        <v>503</v>
      </c>
      <c r="G1975" s="215" t="s">
        <v>5396</v>
      </c>
      <c r="H1975" s="212" t="s">
        <v>259</v>
      </c>
      <c r="I1975" s="212" t="s">
        <v>5394</v>
      </c>
    </row>
    <row r="1976">
      <c r="A1976" s="216" t="s">
        <v>5397</v>
      </c>
      <c r="B1976" s="216" t="s">
        <v>5391</v>
      </c>
      <c r="C1976" s="216" t="s">
        <v>5398</v>
      </c>
      <c r="D1976" s="217">
        <v>45501.74511574074</v>
      </c>
      <c r="E1976" s="217"/>
      <c r="F1976" s="218" t="s">
        <v>698</v>
      </c>
      <c r="G1976" s="219" t="s">
        <v>5399</v>
      </c>
      <c r="H1976" s="216" t="s">
        <v>632</v>
      </c>
      <c r="I1976" s="216" t="s">
        <v>260</v>
      </c>
    </row>
    <row r="1977">
      <c r="A1977" s="212" t="s">
        <v>5400</v>
      </c>
      <c r="B1977" s="212" t="s">
        <v>5391</v>
      </c>
      <c r="C1977" s="212" t="s">
        <v>5392</v>
      </c>
      <c r="D1977" s="213">
        <v>45494.80930555556</v>
      </c>
      <c r="E1977" s="213"/>
      <c r="F1977" s="214" t="s">
        <v>572</v>
      </c>
      <c r="G1977" s="215" t="s">
        <v>5401</v>
      </c>
      <c r="H1977" s="212" t="s">
        <v>259</v>
      </c>
      <c r="I1977" s="212" t="s">
        <v>5394</v>
      </c>
    </row>
    <row r="1978">
      <c r="A1978" s="216" t="s">
        <v>5402</v>
      </c>
      <c r="B1978" s="216" t="s">
        <v>5391</v>
      </c>
      <c r="C1978" s="216" t="s">
        <v>5398</v>
      </c>
      <c r="D1978" s="217">
        <v>45494.80907407407</v>
      </c>
      <c r="E1978" s="217"/>
      <c r="F1978" s="218" t="s">
        <v>698</v>
      </c>
      <c r="G1978" s="219" t="s">
        <v>5403</v>
      </c>
      <c r="H1978" s="216" t="s">
        <v>632</v>
      </c>
      <c r="I1978" s="216" t="s">
        <v>260</v>
      </c>
    </row>
    <row r="1979">
      <c r="A1979" s="212" t="s">
        <v>5404</v>
      </c>
      <c r="B1979" s="212" t="s">
        <v>5391</v>
      </c>
      <c r="C1979" s="212" t="s">
        <v>5392</v>
      </c>
      <c r="D1979" s="213">
        <v>45433.890381944446</v>
      </c>
      <c r="E1979" s="213">
        <v>45434.607835648145</v>
      </c>
      <c r="F1979" s="214" t="s">
        <v>503</v>
      </c>
      <c r="G1979" s="215" t="s">
        <v>5405</v>
      </c>
      <c r="H1979" s="212" t="s">
        <v>259</v>
      </c>
      <c r="I1979" s="212" t="s">
        <v>5394</v>
      </c>
    </row>
    <row r="1980">
      <c r="A1980" s="212" t="s">
        <v>5406</v>
      </c>
      <c r="B1980" s="212" t="s">
        <v>5391</v>
      </c>
      <c r="C1980" s="212" t="s">
        <v>5392</v>
      </c>
      <c r="D1980" s="213">
        <v>45714.80248842593</v>
      </c>
      <c r="E1980" s="213">
        <v>45719.468831018516</v>
      </c>
      <c r="F1980" s="214" t="s">
        <v>470</v>
      </c>
      <c r="G1980" s="215" t="s">
        <v>5407</v>
      </c>
      <c r="H1980" s="212" t="s">
        <v>259</v>
      </c>
      <c r="I1980" s="212" t="s">
        <v>5394</v>
      </c>
    </row>
    <row r="1981">
      <c r="A1981" s="212" t="s">
        <v>5408</v>
      </c>
      <c r="B1981" s="212" t="s">
        <v>5391</v>
      </c>
      <c r="C1981" s="212" t="s">
        <v>5392</v>
      </c>
      <c r="D1981" s="213">
        <v>45734.43376157407</v>
      </c>
      <c r="E1981" s="213">
        <v>45734.673680555556</v>
      </c>
      <c r="F1981" s="214" t="s">
        <v>706</v>
      </c>
      <c r="G1981" s="215" t="s">
        <v>4111</v>
      </c>
      <c r="H1981" s="212" t="s">
        <v>259</v>
      </c>
      <c r="I1981" s="212" t="s">
        <v>5394</v>
      </c>
    </row>
    <row r="1982">
      <c r="A1982" s="216" t="s">
        <v>5409</v>
      </c>
      <c r="B1982" s="216" t="s">
        <v>5391</v>
      </c>
      <c r="C1982" s="216" t="s">
        <v>5392</v>
      </c>
      <c r="D1982" s="217">
        <v>45761.536944444444</v>
      </c>
      <c r="E1982" s="217">
        <v>45762.49659722222</v>
      </c>
      <c r="F1982" s="218" t="s">
        <v>470</v>
      </c>
      <c r="G1982" s="219" t="s">
        <v>2189</v>
      </c>
      <c r="H1982" s="216" t="s">
        <v>259</v>
      </c>
      <c r="I1982" s="216" t="s">
        <v>5394</v>
      </c>
    </row>
    <row r="1983">
      <c r="A1983" s="216" t="s">
        <v>5410</v>
      </c>
      <c r="B1983" s="216" t="s">
        <v>5391</v>
      </c>
      <c r="C1983" s="216" t="s">
        <v>5392</v>
      </c>
      <c r="D1983" s="217">
        <v>45749.41923611111</v>
      </c>
      <c r="E1983" s="217">
        <v>45750.552152777775</v>
      </c>
      <c r="F1983" s="218" t="s">
        <v>698</v>
      </c>
      <c r="G1983" s="219" t="s">
        <v>5411</v>
      </c>
      <c r="H1983" s="216" t="s">
        <v>259</v>
      </c>
      <c r="I1983" s="216" t="s">
        <v>5394</v>
      </c>
    </row>
    <row r="1984">
      <c r="A1984" s="212" t="s">
        <v>5412</v>
      </c>
      <c r="B1984" s="212" t="s">
        <v>5413</v>
      </c>
      <c r="C1984" s="212" t="s">
        <v>5414</v>
      </c>
      <c r="D1984" s="213">
        <v>45774.53443287037</v>
      </c>
      <c r="E1984" s="227"/>
      <c r="F1984" s="214" t="s">
        <v>1436</v>
      </c>
      <c r="G1984" s="215" t="s">
        <v>5415</v>
      </c>
      <c r="H1984" s="212" t="s">
        <v>265</v>
      </c>
      <c r="I1984" s="212" t="s">
        <v>260</v>
      </c>
    </row>
    <row r="1985">
      <c r="A1985" s="216" t="s">
        <v>5416</v>
      </c>
      <c r="B1985" s="216" t="s">
        <v>5413</v>
      </c>
      <c r="C1985" s="216" t="s">
        <v>5414</v>
      </c>
      <c r="D1985" s="217">
        <v>45774.532743055555</v>
      </c>
      <c r="E1985" s="224"/>
      <c r="F1985" s="218" t="s">
        <v>391</v>
      </c>
      <c r="G1985" s="219" t="s">
        <v>877</v>
      </c>
      <c r="H1985" s="216" t="s">
        <v>265</v>
      </c>
      <c r="I1985" s="216" t="s">
        <v>260</v>
      </c>
    </row>
    <row r="1986">
      <c r="A1986" s="212" t="s">
        <v>5417</v>
      </c>
      <c r="B1986" s="212" t="s">
        <v>5418</v>
      </c>
      <c r="C1986" s="212" t="s">
        <v>5419</v>
      </c>
      <c r="D1986" s="213">
        <v>45515.59638888889</v>
      </c>
      <c r="E1986" s="213"/>
      <c r="F1986" s="214" t="s">
        <v>730</v>
      </c>
      <c r="G1986" s="215" t="s">
        <v>5420</v>
      </c>
      <c r="H1986" s="212" t="s">
        <v>754</v>
      </c>
      <c r="I1986" s="212" t="s">
        <v>260</v>
      </c>
    </row>
    <row r="1987">
      <c r="A1987" s="216" t="s">
        <v>5421</v>
      </c>
      <c r="B1987" s="216" t="s">
        <v>5422</v>
      </c>
      <c r="C1987" s="216" t="s">
        <v>5423</v>
      </c>
      <c r="D1987" s="217">
        <v>45515.5958912037</v>
      </c>
      <c r="E1987" s="217"/>
      <c r="F1987" s="218" t="s">
        <v>730</v>
      </c>
      <c r="G1987" s="219" t="s">
        <v>5420</v>
      </c>
      <c r="H1987" s="216" t="s">
        <v>754</v>
      </c>
      <c r="I1987" s="216" t="s">
        <v>260</v>
      </c>
    </row>
    <row r="1988">
      <c r="A1988" s="216" t="s">
        <v>5424</v>
      </c>
      <c r="B1988" s="216" t="s">
        <v>5422</v>
      </c>
      <c r="C1988" s="216" t="s">
        <v>5419</v>
      </c>
      <c r="D1988" s="217">
        <v>45474.911527777775</v>
      </c>
      <c r="E1988" s="217"/>
      <c r="F1988" s="218" t="s">
        <v>317</v>
      </c>
      <c r="G1988" s="219" t="s">
        <v>5425</v>
      </c>
      <c r="H1988" s="216" t="s">
        <v>754</v>
      </c>
      <c r="I1988" s="216" t="s">
        <v>260</v>
      </c>
    </row>
    <row r="1989">
      <c r="A1989" s="212" t="s">
        <v>5426</v>
      </c>
      <c r="B1989" s="212" t="s">
        <v>5427</v>
      </c>
      <c r="C1989" s="212" t="s">
        <v>5428</v>
      </c>
      <c r="D1989" s="213">
        <v>45716.83127314815</v>
      </c>
      <c r="E1989" s="213">
        <v>45716.843831018516</v>
      </c>
      <c r="F1989" s="214" t="s">
        <v>1553</v>
      </c>
      <c r="G1989" s="215" t="s">
        <v>5429</v>
      </c>
      <c r="H1989" s="212" t="s">
        <v>761</v>
      </c>
      <c r="I1989" s="212" t="s">
        <v>1211</v>
      </c>
    </row>
    <row r="1990">
      <c r="A1990" s="216" t="s">
        <v>5430</v>
      </c>
      <c r="B1990" s="216" t="s">
        <v>5431</v>
      </c>
      <c r="C1990" s="216" t="s">
        <v>5432</v>
      </c>
      <c r="D1990" s="217">
        <v>45494.610138888886</v>
      </c>
      <c r="E1990" s="217"/>
      <c r="F1990" s="218" t="s">
        <v>4340</v>
      </c>
      <c r="G1990" s="219" t="s">
        <v>4341</v>
      </c>
      <c r="H1990" s="216" t="s">
        <v>259</v>
      </c>
      <c r="I1990" s="216" t="s">
        <v>1424</v>
      </c>
    </row>
    <row r="1991">
      <c r="A1991" s="212" t="s">
        <v>5433</v>
      </c>
      <c r="B1991" s="212" t="s">
        <v>5431</v>
      </c>
      <c r="C1991" s="212" t="s">
        <v>5432</v>
      </c>
      <c r="D1991" s="213">
        <v>45444.855162037034</v>
      </c>
      <c r="E1991" s="213">
        <v>45444.7153125</v>
      </c>
      <c r="F1991" s="214" t="s">
        <v>5434</v>
      </c>
      <c r="G1991" s="215" t="s">
        <v>5435</v>
      </c>
      <c r="H1991" s="212" t="s">
        <v>259</v>
      </c>
      <c r="I1991" s="212" t="s">
        <v>1424</v>
      </c>
    </row>
    <row r="1992">
      <c r="A1992" s="216" t="s">
        <v>5436</v>
      </c>
      <c r="B1992" s="216" t="s">
        <v>5437</v>
      </c>
      <c r="C1992" s="216" t="s">
        <v>5438</v>
      </c>
      <c r="D1992" s="217">
        <v>45552.59756944444</v>
      </c>
      <c r="E1992" s="217"/>
      <c r="F1992" s="218" t="s">
        <v>380</v>
      </c>
      <c r="G1992" s="219" t="s">
        <v>5439</v>
      </c>
      <c r="H1992" s="216" t="s">
        <v>265</v>
      </c>
      <c r="I1992" s="216" t="s">
        <v>449</v>
      </c>
    </row>
    <row r="1993">
      <c r="A1993" s="212" t="s">
        <v>5440</v>
      </c>
      <c r="B1993" s="212" t="s">
        <v>5437</v>
      </c>
      <c r="C1993" s="212" t="s">
        <v>5441</v>
      </c>
      <c r="D1993" s="213">
        <v>45528.68981481482</v>
      </c>
      <c r="E1993" s="213"/>
      <c r="F1993" s="214" t="s">
        <v>291</v>
      </c>
      <c r="G1993" s="215" t="s">
        <v>5442</v>
      </c>
      <c r="H1993" s="212" t="s">
        <v>265</v>
      </c>
      <c r="I1993" s="212" t="s">
        <v>449</v>
      </c>
    </row>
    <row r="1994">
      <c r="A1994" s="216" t="s">
        <v>5443</v>
      </c>
      <c r="B1994" s="216" t="s">
        <v>5444</v>
      </c>
      <c r="C1994" s="216" t="s">
        <v>5445</v>
      </c>
      <c r="D1994" s="217">
        <v>45746.82292824074</v>
      </c>
      <c r="E1994" s="217">
        <v>45747.691030092596</v>
      </c>
      <c r="F1994" s="218" t="s">
        <v>269</v>
      </c>
      <c r="G1994" s="219" t="s">
        <v>2207</v>
      </c>
      <c r="H1994" s="216" t="s">
        <v>259</v>
      </c>
      <c r="I1994" s="216" t="s">
        <v>3013</v>
      </c>
    </row>
    <row r="1995">
      <c r="A1995" s="216" t="s">
        <v>5446</v>
      </c>
      <c r="B1995" s="216" t="s">
        <v>5447</v>
      </c>
      <c r="C1995" s="216" t="s">
        <v>5448</v>
      </c>
      <c r="D1995" s="217">
        <v>45760.86283564815</v>
      </c>
      <c r="E1995" s="217">
        <v>45761.69810185185</v>
      </c>
      <c r="F1995" s="218" t="s">
        <v>281</v>
      </c>
      <c r="G1995" s="219" t="s">
        <v>606</v>
      </c>
      <c r="H1995" s="216" t="s">
        <v>259</v>
      </c>
      <c r="I1995" s="216" t="s">
        <v>5449</v>
      </c>
    </row>
    <row r="1996">
      <c r="A1996" s="212" t="s">
        <v>5450</v>
      </c>
      <c r="B1996" s="212" t="s">
        <v>5451</v>
      </c>
      <c r="C1996" s="212" t="s">
        <v>5452</v>
      </c>
      <c r="D1996" s="213">
        <v>45517.84657407407</v>
      </c>
      <c r="E1996" s="213"/>
      <c r="F1996" s="214" t="s">
        <v>538</v>
      </c>
      <c r="G1996" s="215" t="s">
        <v>5453</v>
      </c>
      <c r="H1996" s="212" t="s">
        <v>259</v>
      </c>
      <c r="I1996" s="212" t="s">
        <v>5454</v>
      </c>
    </row>
    <row r="1997">
      <c r="A1997" s="216" t="s">
        <v>5455</v>
      </c>
      <c r="B1997" s="216" t="s">
        <v>5451</v>
      </c>
      <c r="C1997" s="216" t="s">
        <v>5452</v>
      </c>
      <c r="D1997" s="217">
        <v>45733.781875</v>
      </c>
      <c r="E1997" s="217">
        <v>45733.93402777778</v>
      </c>
      <c r="F1997" s="218" t="s">
        <v>503</v>
      </c>
      <c r="G1997" s="219" t="s">
        <v>3976</v>
      </c>
      <c r="H1997" s="216" t="s">
        <v>259</v>
      </c>
      <c r="I1997" s="216" t="s">
        <v>5454</v>
      </c>
    </row>
    <row r="1998">
      <c r="A1998" s="212" t="s">
        <v>5456</v>
      </c>
      <c r="B1998" s="212" t="s">
        <v>5457</v>
      </c>
      <c r="C1998" s="212" t="s">
        <v>5458</v>
      </c>
      <c r="D1998" s="213">
        <v>45542.876967592594</v>
      </c>
      <c r="E1998" s="213"/>
      <c r="F1998" s="214" t="s">
        <v>5459</v>
      </c>
      <c r="G1998" s="215" t="s">
        <v>5460</v>
      </c>
      <c r="H1998" s="212" t="s">
        <v>265</v>
      </c>
      <c r="I1998" s="212" t="s">
        <v>399</v>
      </c>
    </row>
    <row r="1999">
      <c r="A1999" s="216" t="s">
        <v>5461</v>
      </c>
      <c r="B1999" s="216" t="s">
        <v>5457</v>
      </c>
      <c r="C1999" s="216" t="s">
        <v>5458</v>
      </c>
      <c r="D1999" s="217">
        <v>45532.847337962965</v>
      </c>
      <c r="E1999" s="217"/>
      <c r="F1999" s="218" t="s">
        <v>435</v>
      </c>
      <c r="G1999" s="219" t="s">
        <v>5462</v>
      </c>
      <c r="H1999" s="216" t="s">
        <v>265</v>
      </c>
      <c r="I1999" s="216" t="s">
        <v>399</v>
      </c>
    </row>
    <row r="2000">
      <c r="A2000" s="216" t="s">
        <v>5463</v>
      </c>
      <c r="B2000" s="216" t="s">
        <v>5457</v>
      </c>
      <c r="C2000" s="216" t="s">
        <v>5464</v>
      </c>
      <c r="D2000" s="217">
        <v>45504.80825231481</v>
      </c>
      <c r="E2000" s="217"/>
      <c r="F2000" s="218" t="s">
        <v>5465</v>
      </c>
      <c r="G2000" s="219" t="s">
        <v>5466</v>
      </c>
      <c r="H2000" s="216" t="s">
        <v>265</v>
      </c>
      <c r="I2000" s="216" t="s">
        <v>399</v>
      </c>
    </row>
    <row r="2001">
      <c r="A2001" s="216" t="s">
        <v>5467</v>
      </c>
      <c r="B2001" s="216" t="s">
        <v>5457</v>
      </c>
      <c r="C2001" s="216" t="s">
        <v>5464</v>
      </c>
      <c r="D2001" s="217">
        <v>45479.594502314816</v>
      </c>
      <c r="E2001" s="217"/>
      <c r="F2001" s="218" t="s">
        <v>435</v>
      </c>
      <c r="G2001" s="219" t="s">
        <v>4242</v>
      </c>
      <c r="H2001" s="216" t="s">
        <v>265</v>
      </c>
      <c r="I2001" s="216" t="s">
        <v>399</v>
      </c>
    </row>
    <row r="2002">
      <c r="A2002" s="216" t="s">
        <v>5468</v>
      </c>
      <c r="B2002" s="216" t="s">
        <v>5457</v>
      </c>
      <c r="C2002" s="216" t="s">
        <v>5464</v>
      </c>
      <c r="D2002" s="217">
        <v>45472.48542824074</v>
      </c>
      <c r="E2002" s="217"/>
      <c r="F2002" s="218" t="s">
        <v>281</v>
      </c>
      <c r="G2002" s="219" t="s">
        <v>5469</v>
      </c>
      <c r="H2002" s="216" t="s">
        <v>265</v>
      </c>
      <c r="I2002" s="216" t="s">
        <v>399</v>
      </c>
    </row>
    <row r="2003">
      <c r="A2003" s="212" t="s">
        <v>5470</v>
      </c>
      <c r="B2003" s="212" t="s">
        <v>5457</v>
      </c>
      <c r="C2003" s="212" t="s">
        <v>5464</v>
      </c>
      <c r="D2003" s="213">
        <v>45461.84133101852</v>
      </c>
      <c r="E2003" s="213">
        <v>45462.44101851852</v>
      </c>
      <c r="F2003" s="214" t="s">
        <v>599</v>
      </c>
      <c r="G2003" s="215" t="s">
        <v>5471</v>
      </c>
      <c r="H2003" s="212" t="s">
        <v>265</v>
      </c>
      <c r="I2003" s="212" t="s">
        <v>399</v>
      </c>
    </row>
    <row r="2004">
      <c r="A2004" s="212" t="s">
        <v>5472</v>
      </c>
      <c r="B2004" s="212" t="s">
        <v>5457</v>
      </c>
      <c r="C2004" s="212" t="s">
        <v>5473</v>
      </c>
      <c r="D2004" s="213">
        <v>45459.52199074074</v>
      </c>
      <c r="E2004" s="213">
        <v>45459.40644675926</v>
      </c>
      <c r="F2004" s="214" t="s">
        <v>470</v>
      </c>
      <c r="G2004" s="215" t="s">
        <v>4535</v>
      </c>
      <c r="H2004" s="212" t="s">
        <v>265</v>
      </c>
      <c r="I2004" s="212" t="s">
        <v>399</v>
      </c>
    </row>
    <row r="2005">
      <c r="A2005" s="216" t="s">
        <v>5474</v>
      </c>
      <c r="B2005" s="216" t="s">
        <v>5457</v>
      </c>
      <c r="C2005" s="216" t="s">
        <v>5464</v>
      </c>
      <c r="D2005" s="217">
        <v>45443.49172453704</v>
      </c>
      <c r="E2005" s="217">
        <v>45443.40634259259</v>
      </c>
      <c r="F2005" s="218" t="s">
        <v>281</v>
      </c>
      <c r="G2005" s="219" t="s">
        <v>4855</v>
      </c>
      <c r="H2005" s="216" t="s">
        <v>265</v>
      </c>
      <c r="I2005" s="216" t="s">
        <v>399</v>
      </c>
    </row>
    <row r="2006">
      <c r="A2006" s="216" t="s">
        <v>5475</v>
      </c>
      <c r="B2006" s="216" t="s">
        <v>5457</v>
      </c>
      <c r="C2006" s="216" t="s">
        <v>5464</v>
      </c>
      <c r="D2006" s="217">
        <v>45431.46357638889</v>
      </c>
      <c r="E2006" s="217">
        <v>45431.312685185185</v>
      </c>
      <c r="F2006" s="218" t="s">
        <v>291</v>
      </c>
      <c r="G2006" s="219" t="s">
        <v>3646</v>
      </c>
      <c r="H2006" s="216" t="s">
        <v>265</v>
      </c>
      <c r="I2006" s="216" t="s">
        <v>399</v>
      </c>
    </row>
    <row r="2007">
      <c r="A2007" s="216" t="s">
        <v>5476</v>
      </c>
      <c r="B2007" s="216" t="s">
        <v>5457</v>
      </c>
      <c r="C2007" s="216" t="s">
        <v>5458</v>
      </c>
      <c r="D2007" s="217">
        <v>45738.512557870374</v>
      </c>
      <c r="E2007" s="217">
        <v>45738.59730324074</v>
      </c>
      <c r="F2007" s="218" t="s">
        <v>1320</v>
      </c>
      <c r="G2007" s="219" t="s">
        <v>5477</v>
      </c>
      <c r="H2007" s="216" t="s">
        <v>265</v>
      </c>
      <c r="I2007" s="216" t="s">
        <v>399</v>
      </c>
    </row>
    <row r="2008">
      <c r="A2008" s="216" t="s">
        <v>5478</v>
      </c>
      <c r="B2008" s="216" t="s">
        <v>5479</v>
      </c>
      <c r="C2008" s="216" t="s">
        <v>4627</v>
      </c>
      <c r="D2008" s="217">
        <v>45493.804814814815</v>
      </c>
      <c r="E2008" s="217"/>
      <c r="F2008" s="218" t="s">
        <v>317</v>
      </c>
      <c r="G2008" s="219" t="s">
        <v>2737</v>
      </c>
      <c r="H2008" s="216" t="s">
        <v>265</v>
      </c>
      <c r="I2008" s="216" t="s">
        <v>449</v>
      </c>
    </row>
    <row r="2009">
      <c r="A2009" s="212" t="s">
        <v>5480</v>
      </c>
      <c r="B2009" s="212" t="s">
        <v>5479</v>
      </c>
      <c r="C2009" s="212" t="s">
        <v>5481</v>
      </c>
      <c r="D2009" s="213">
        <v>45493.80386574074</v>
      </c>
      <c r="E2009" s="227"/>
      <c r="F2009" s="214" t="s">
        <v>391</v>
      </c>
      <c r="G2009" s="215" t="s">
        <v>877</v>
      </c>
      <c r="H2009" s="212" t="s">
        <v>265</v>
      </c>
      <c r="I2009" s="212" t="s">
        <v>449</v>
      </c>
    </row>
    <row r="2010">
      <c r="A2010" s="216" t="s">
        <v>5482</v>
      </c>
      <c r="B2010" s="216" t="s">
        <v>5479</v>
      </c>
      <c r="C2010" s="216" t="s">
        <v>5481</v>
      </c>
      <c r="D2010" s="217">
        <v>45479.54063657407</v>
      </c>
      <c r="E2010" s="217"/>
      <c r="F2010" s="218" t="s">
        <v>291</v>
      </c>
      <c r="G2010" s="219" t="s">
        <v>1113</v>
      </c>
      <c r="H2010" s="216" t="s">
        <v>265</v>
      </c>
      <c r="I2010" s="216" t="s">
        <v>449</v>
      </c>
    </row>
    <row r="2011">
      <c r="A2011" s="212" t="s">
        <v>5483</v>
      </c>
      <c r="B2011" s="212" t="s">
        <v>5479</v>
      </c>
      <c r="C2011" s="212" t="s">
        <v>5481</v>
      </c>
      <c r="D2011" s="213">
        <v>45459.5878125</v>
      </c>
      <c r="E2011" s="213">
        <v>45460.680625</v>
      </c>
      <c r="F2011" s="214" t="s">
        <v>281</v>
      </c>
      <c r="G2011" s="215" t="s">
        <v>1758</v>
      </c>
      <c r="H2011" s="212" t="s">
        <v>265</v>
      </c>
      <c r="I2011" s="212" t="s">
        <v>449</v>
      </c>
    </row>
    <row r="2012">
      <c r="A2012" s="212" t="s">
        <v>5484</v>
      </c>
      <c r="B2012" s="212" t="s">
        <v>5485</v>
      </c>
      <c r="C2012" s="212" t="s">
        <v>5486</v>
      </c>
      <c r="D2012" s="213">
        <v>45550.65188657407</v>
      </c>
      <c r="E2012" s="213"/>
      <c r="F2012" s="214" t="s">
        <v>658</v>
      </c>
      <c r="G2012" s="215" t="s">
        <v>5487</v>
      </c>
      <c r="H2012" s="212" t="s">
        <v>259</v>
      </c>
      <c r="I2012" s="212" t="s">
        <v>1452</v>
      </c>
    </row>
    <row r="2013">
      <c r="A2013" s="216" t="s">
        <v>5488</v>
      </c>
      <c r="B2013" s="216" t="s">
        <v>5485</v>
      </c>
      <c r="C2013" s="216" t="s">
        <v>5486</v>
      </c>
      <c r="D2013" s="217">
        <v>45543.875243055554</v>
      </c>
      <c r="E2013" s="217"/>
      <c r="F2013" s="218" t="s">
        <v>435</v>
      </c>
      <c r="G2013" s="219" t="s">
        <v>3188</v>
      </c>
      <c r="H2013" s="216" t="s">
        <v>259</v>
      </c>
      <c r="I2013" s="216" t="s">
        <v>1452</v>
      </c>
    </row>
    <row r="2014">
      <c r="A2014" s="212" t="s">
        <v>5489</v>
      </c>
      <c r="B2014" s="212" t="s">
        <v>5485</v>
      </c>
      <c r="C2014" s="212" t="s">
        <v>5486</v>
      </c>
      <c r="D2014" s="213">
        <v>45536.52730324074</v>
      </c>
      <c r="E2014" s="213"/>
      <c r="F2014" s="214" t="s">
        <v>1142</v>
      </c>
      <c r="G2014" s="215" t="s">
        <v>5490</v>
      </c>
      <c r="H2014" s="212" t="s">
        <v>259</v>
      </c>
      <c r="I2014" s="212" t="s">
        <v>1452</v>
      </c>
    </row>
    <row r="2015">
      <c r="A2015" s="212" t="s">
        <v>5491</v>
      </c>
      <c r="B2015" s="212" t="s">
        <v>5485</v>
      </c>
      <c r="C2015" s="212" t="s">
        <v>5486</v>
      </c>
      <c r="D2015" s="213">
        <v>45529.71099537037</v>
      </c>
      <c r="E2015" s="213"/>
      <c r="F2015" s="214" t="s">
        <v>4166</v>
      </c>
      <c r="G2015" s="215" t="s">
        <v>5492</v>
      </c>
      <c r="H2015" s="212" t="s">
        <v>259</v>
      </c>
      <c r="I2015" s="212" t="s">
        <v>1452</v>
      </c>
    </row>
    <row r="2016">
      <c r="A2016" s="216" t="s">
        <v>5493</v>
      </c>
      <c r="B2016" s="216" t="s">
        <v>5485</v>
      </c>
      <c r="C2016" s="216" t="s">
        <v>5486</v>
      </c>
      <c r="D2016" s="217">
        <v>45523.7556712963</v>
      </c>
      <c r="E2016" s="217"/>
      <c r="F2016" s="218" t="s">
        <v>730</v>
      </c>
      <c r="G2016" s="219" t="s">
        <v>5494</v>
      </c>
      <c r="H2016" s="216" t="s">
        <v>259</v>
      </c>
      <c r="I2016" s="216" t="s">
        <v>1452</v>
      </c>
    </row>
    <row r="2017">
      <c r="A2017" s="216" t="s">
        <v>5493</v>
      </c>
      <c r="B2017" s="216" t="s">
        <v>5485</v>
      </c>
      <c r="C2017" s="216" t="s">
        <v>5486</v>
      </c>
      <c r="D2017" s="217">
        <v>45523.7556712963</v>
      </c>
      <c r="E2017" s="217"/>
      <c r="F2017" s="218" t="s">
        <v>730</v>
      </c>
      <c r="G2017" s="219" t="s">
        <v>5494</v>
      </c>
      <c r="H2017" s="216" t="s">
        <v>259</v>
      </c>
      <c r="I2017" s="216" t="s">
        <v>1452</v>
      </c>
    </row>
    <row r="2018">
      <c r="A2018" s="216" t="s">
        <v>5495</v>
      </c>
      <c r="B2018" s="216" t="s">
        <v>5485</v>
      </c>
      <c r="C2018" s="216" t="s">
        <v>5486</v>
      </c>
      <c r="D2018" s="217">
        <v>45516.70726851852</v>
      </c>
      <c r="E2018" s="217"/>
      <c r="F2018" s="218" t="s">
        <v>291</v>
      </c>
      <c r="G2018" s="219" t="s">
        <v>5496</v>
      </c>
      <c r="H2018" s="216" t="s">
        <v>259</v>
      </c>
      <c r="I2018" s="216" t="s">
        <v>1452</v>
      </c>
    </row>
    <row r="2019">
      <c r="A2019" s="212" t="s">
        <v>5497</v>
      </c>
      <c r="B2019" s="212" t="s">
        <v>5485</v>
      </c>
      <c r="C2019" s="212" t="s">
        <v>5486</v>
      </c>
      <c r="D2019" s="213">
        <v>45495.75834490741</v>
      </c>
      <c r="E2019" s="213"/>
      <c r="F2019" s="214" t="s">
        <v>645</v>
      </c>
      <c r="G2019" s="215" t="s">
        <v>5498</v>
      </c>
      <c r="H2019" s="212" t="s">
        <v>259</v>
      </c>
      <c r="I2019" s="212" t="s">
        <v>1452</v>
      </c>
    </row>
    <row r="2020">
      <c r="A2020" s="216" t="s">
        <v>5499</v>
      </c>
      <c r="B2020" s="216" t="s">
        <v>5485</v>
      </c>
      <c r="C2020" s="216" t="s">
        <v>5486</v>
      </c>
      <c r="D2020" s="217">
        <v>45491.58997685185</v>
      </c>
      <c r="E2020" s="217"/>
      <c r="F2020" s="218" t="s">
        <v>380</v>
      </c>
      <c r="G2020" s="219" t="s">
        <v>5500</v>
      </c>
      <c r="H2020" s="216" t="s">
        <v>259</v>
      </c>
      <c r="I2020" s="216" t="s">
        <v>1452</v>
      </c>
    </row>
    <row r="2021">
      <c r="A2021" s="212" t="s">
        <v>5501</v>
      </c>
      <c r="B2021" s="212" t="s">
        <v>5485</v>
      </c>
      <c r="C2021" s="212" t="s">
        <v>5486</v>
      </c>
      <c r="D2021" s="213">
        <v>45488.83356481481</v>
      </c>
      <c r="E2021" s="213"/>
      <c r="F2021" s="214" t="s">
        <v>1652</v>
      </c>
      <c r="G2021" s="215" t="s">
        <v>5502</v>
      </c>
      <c r="H2021" s="212" t="s">
        <v>259</v>
      </c>
      <c r="I2021" s="212" t="s">
        <v>1452</v>
      </c>
    </row>
    <row r="2022">
      <c r="A2022" s="212" t="s">
        <v>5503</v>
      </c>
      <c r="B2022" s="212" t="s">
        <v>5485</v>
      </c>
      <c r="C2022" s="212" t="s">
        <v>5486</v>
      </c>
      <c r="D2022" s="213">
        <v>45485.87480324074</v>
      </c>
      <c r="E2022" s="213"/>
      <c r="F2022" s="214" t="s">
        <v>498</v>
      </c>
      <c r="G2022" s="215" t="s">
        <v>1983</v>
      </c>
      <c r="H2022" s="212" t="s">
        <v>259</v>
      </c>
      <c r="I2022" s="212" t="s">
        <v>1452</v>
      </c>
    </row>
    <row r="2023">
      <c r="A2023" s="216" t="s">
        <v>5499</v>
      </c>
      <c r="B2023" s="216" t="s">
        <v>5485</v>
      </c>
      <c r="C2023" s="216" t="s">
        <v>5486</v>
      </c>
      <c r="D2023" s="217">
        <v>45491.58997685185</v>
      </c>
      <c r="E2023" s="217"/>
      <c r="F2023" s="218" t="s">
        <v>380</v>
      </c>
      <c r="G2023" s="219" t="s">
        <v>5500</v>
      </c>
      <c r="H2023" s="216" t="s">
        <v>259</v>
      </c>
      <c r="I2023" s="216" t="s">
        <v>1452</v>
      </c>
    </row>
    <row r="2024">
      <c r="A2024" s="212" t="s">
        <v>5501</v>
      </c>
      <c r="B2024" s="212" t="s">
        <v>5485</v>
      </c>
      <c r="C2024" s="212" t="s">
        <v>5486</v>
      </c>
      <c r="D2024" s="213">
        <v>45488.83356481481</v>
      </c>
      <c r="E2024" s="213"/>
      <c r="F2024" s="214" t="s">
        <v>1652</v>
      </c>
      <c r="G2024" s="215" t="s">
        <v>5502</v>
      </c>
      <c r="H2024" s="212" t="s">
        <v>259</v>
      </c>
      <c r="I2024" s="212" t="s">
        <v>1452</v>
      </c>
    </row>
    <row r="2025">
      <c r="A2025" s="212" t="s">
        <v>5503</v>
      </c>
      <c r="B2025" s="212" t="s">
        <v>5485</v>
      </c>
      <c r="C2025" s="212" t="s">
        <v>5486</v>
      </c>
      <c r="D2025" s="213">
        <v>45485.87480324074</v>
      </c>
      <c r="E2025" s="213"/>
      <c r="F2025" s="214" t="s">
        <v>498</v>
      </c>
      <c r="G2025" s="215" t="s">
        <v>1983</v>
      </c>
      <c r="H2025" s="212" t="s">
        <v>259</v>
      </c>
      <c r="I2025" s="212" t="s">
        <v>1452</v>
      </c>
    </row>
    <row r="2026">
      <c r="A2026" s="216" t="s">
        <v>5504</v>
      </c>
      <c r="B2026" s="216" t="s">
        <v>5485</v>
      </c>
      <c r="C2026" s="216" t="s">
        <v>5486</v>
      </c>
      <c r="D2026" s="217">
        <v>45481.83902777778</v>
      </c>
      <c r="E2026" s="217"/>
      <c r="F2026" s="218" t="s">
        <v>698</v>
      </c>
      <c r="G2026" s="219" t="s">
        <v>5505</v>
      </c>
      <c r="H2026" s="216" t="s">
        <v>259</v>
      </c>
      <c r="I2026" s="216" t="s">
        <v>1452</v>
      </c>
    </row>
    <row r="2027">
      <c r="A2027" s="216" t="s">
        <v>5506</v>
      </c>
      <c r="B2027" s="216" t="s">
        <v>5485</v>
      </c>
      <c r="C2027" s="216" t="s">
        <v>5486</v>
      </c>
      <c r="D2027" s="217">
        <v>45453.83215277778</v>
      </c>
      <c r="E2027" s="217">
        <v>45453.64592592593</v>
      </c>
      <c r="F2027" s="218" t="s">
        <v>435</v>
      </c>
      <c r="G2027" s="219" t="s">
        <v>5507</v>
      </c>
      <c r="H2027" s="216" t="s">
        <v>259</v>
      </c>
      <c r="I2027" s="216" t="s">
        <v>1452</v>
      </c>
    </row>
    <row r="2028">
      <c r="A2028" s="212" t="s">
        <v>5508</v>
      </c>
      <c r="B2028" s="212" t="s">
        <v>5485</v>
      </c>
      <c r="C2028" s="212" t="s">
        <v>5509</v>
      </c>
      <c r="D2028" s="213">
        <v>45445.58447916667</v>
      </c>
      <c r="E2028" s="213">
        <v>45445.38560185185</v>
      </c>
      <c r="F2028" s="214" t="s">
        <v>291</v>
      </c>
      <c r="G2028" s="215" t="s">
        <v>1117</v>
      </c>
      <c r="H2028" s="212" t="s">
        <v>259</v>
      </c>
      <c r="I2028" s="212" t="s">
        <v>1452</v>
      </c>
    </row>
    <row r="2029">
      <c r="A2029" s="216" t="s">
        <v>5510</v>
      </c>
      <c r="B2029" s="216" t="s">
        <v>5485</v>
      </c>
      <c r="C2029" s="216" t="s">
        <v>5509</v>
      </c>
      <c r="D2029" s="217">
        <v>45439.48930555556</v>
      </c>
      <c r="E2029" s="217">
        <v>45439.29185185185</v>
      </c>
      <c r="F2029" s="218" t="s">
        <v>3561</v>
      </c>
      <c r="G2029" s="219" t="s">
        <v>5511</v>
      </c>
      <c r="H2029" s="216" t="s">
        <v>259</v>
      </c>
      <c r="I2029" s="216" t="s">
        <v>1452</v>
      </c>
    </row>
    <row r="2030">
      <c r="A2030" s="216" t="s">
        <v>5512</v>
      </c>
      <c r="B2030" s="216" t="s">
        <v>5513</v>
      </c>
      <c r="C2030" s="216" t="s">
        <v>5514</v>
      </c>
      <c r="D2030" s="217">
        <v>45543.54238425926</v>
      </c>
      <c r="E2030" s="217"/>
      <c r="F2030" s="218" t="s">
        <v>291</v>
      </c>
      <c r="G2030" s="219" t="s">
        <v>292</v>
      </c>
      <c r="H2030" s="216" t="s">
        <v>259</v>
      </c>
      <c r="I2030" s="216" t="s">
        <v>626</v>
      </c>
    </row>
    <row r="2031">
      <c r="A2031" s="216" t="s">
        <v>5515</v>
      </c>
      <c r="B2031" s="216" t="s">
        <v>5513</v>
      </c>
      <c r="C2031" s="216" t="s">
        <v>5514</v>
      </c>
      <c r="D2031" s="217">
        <v>45528.86393518518</v>
      </c>
      <c r="E2031" s="217"/>
      <c r="F2031" s="218" t="s">
        <v>498</v>
      </c>
      <c r="G2031" s="219" t="s">
        <v>5516</v>
      </c>
      <c r="H2031" s="216" t="s">
        <v>259</v>
      </c>
      <c r="I2031" s="216" t="s">
        <v>626</v>
      </c>
    </row>
    <row r="2032">
      <c r="A2032" s="212" t="s">
        <v>5517</v>
      </c>
      <c r="B2032" s="212" t="s">
        <v>5513</v>
      </c>
      <c r="C2032" s="212" t="s">
        <v>5518</v>
      </c>
      <c r="D2032" s="213">
        <v>45509.89135416667</v>
      </c>
      <c r="E2032" s="213"/>
      <c r="F2032" s="214" t="s">
        <v>281</v>
      </c>
      <c r="G2032" s="215" t="s">
        <v>1202</v>
      </c>
      <c r="H2032" s="212" t="s">
        <v>259</v>
      </c>
      <c r="I2032" s="212" t="s">
        <v>626</v>
      </c>
    </row>
    <row r="2033">
      <c r="A2033" s="216" t="s">
        <v>5519</v>
      </c>
      <c r="B2033" s="216" t="s">
        <v>5520</v>
      </c>
      <c r="C2033" s="216" t="s">
        <v>5521</v>
      </c>
      <c r="D2033" s="217">
        <v>45459.43835648148</v>
      </c>
      <c r="E2033" s="217">
        <v>45459.37530092592</v>
      </c>
      <c r="F2033" s="218" t="s">
        <v>730</v>
      </c>
      <c r="G2033" s="219" t="s">
        <v>5522</v>
      </c>
      <c r="H2033" s="216" t="s">
        <v>265</v>
      </c>
      <c r="I2033" s="216" t="s">
        <v>4978</v>
      </c>
    </row>
    <row r="2034">
      <c r="A2034" s="212" t="s">
        <v>5523</v>
      </c>
      <c r="B2034" s="212" t="s">
        <v>5520</v>
      </c>
      <c r="C2034" s="212" t="s">
        <v>5521</v>
      </c>
      <c r="D2034" s="213">
        <v>45457.922488425924</v>
      </c>
      <c r="E2034" s="213">
        <v>45459.4828125</v>
      </c>
      <c r="F2034" s="214" t="s">
        <v>730</v>
      </c>
      <c r="G2034" s="215" t="s">
        <v>5524</v>
      </c>
      <c r="H2034" s="212" t="s">
        <v>259</v>
      </c>
      <c r="I2034" s="212" t="s">
        <v>4978</v>
      </c>
    </row>
    <row r="2035">
      <c r="A2035" s="216" t="s">
        <v>5525</v>
      </c>
      <c r="B2035" s="216" t="s">
        <v>5520</v>
      </c>
      <c r="C2035" s="216" t="s">
        <v>5521</v>
      </c>
      <c r="D2035" s="217">
        <v>45433.89497685185</v>
      </c>
      <c r="E2035" s="217">
        <v>45435.33341435185</v>
      </c>
      <c r="F2035" s="218" t="s">
        <v>5526</v>
      </c>
      <c r="G2035" s="219" t="s">
        <v>5527</v>
      </c>
      <c r="H2035" s="216" t="s">
        <v>265</v>
      </c>
      <c r="I2035" s="216" t="s">
        <v>4978</v>
      </c>
    </row>
    <row r="2036">
      <c r="A2036" s="212" t="s">
        <v>5528</v>
      </c>
      <c r="B2036" s="212" t="s">
        <v>5529</v>
      </c>
      <c r="C2036" s="212" t="s">
        <v>5530</v>
      </c>
      <c r="D2036" s="213">
        <v>45703.586388888885</v>
      </c>
      <c r="E2036" s="227"/>
      <c r="F2036" s="214" t="s">
        <v>765</v>
      </c>
      <c r="G2036" s="215" t="s">
        <v>5531</v>
      </c>
      <c r="H2036" s="212" t="s">
        <v>259</v>
      </c>
      <c r="I2036" s="212" t="s">
        <v>1621</v>
      </c>
    </row>
    <row r="2037">
      <c r="A2037" s="216" t="s">
        <v>5532</v>
      </c>
      <c r="B2037" s="216" t="s">
        <v>5529</v>
      </c>
      <c r="C2037" s="216" t="s">
        <v>5530</v>
      </c>
      <c r="D2037" s="217">
        <v>45745.811273148145</v>
      </c>
      <c r="E2037" s="217">
        <v>45745.8299537037</v>
      </c>
      <c r="F2037" s="218" t="s">
        <v>730</v>
      </c>
      <c r="G2037" s="219" t="s">
        <v>5533</v>
      </c>
      <c r="H2037" s="216" t="s">
        <v>259</v>
      </c>
      <c r="I2037" s="216" t="s">
        <v>1621</v>
      </c>
    </row>
    <row r="2038">
      <c r="A2038" s="216" t="s">
        <v>5534</v>
      </c>
      <c r="B2038" s="216" t="s">
        <v>5535</v>
      </c>
      <c r="C2038" s="216" t="s">
        <v>5536</v>
      </c>
      <c r="D2038" s="217">
        <v>45707.59332175926</v>
      </c>
      <c r="E2038" s="217">
        <v>45707.63549768519</v>
      </c>
      <c r="F2038" s="218" t="s">
        <v>2943</v>
      </c>
      <c r="G2038" s="219" t="s">
        <v>5537</v>
      </c>
      <c r="H2038" s="216" t="s">
        <v>356</v>
      </c>
      <c r="I2038" s="216" t="s">
        <v>2117</v>
      </c>
    </row>
    <row r="2039">
      <c r="A2039" s="216" t="s">
        <v>5538</v>
      </c>
      <c r="B2039" s="216" t="s">
        <v>5539</v>
      </c>
      <c r="C2039" s="216" t="s">
        <v>5540</v>
      </c>
      <c r="D2039" s="217">
        <v>45462.81201388889</v>
      </c>
      <c r="E2039" s="217"/>
      <c r="F2039" s="218" t="s">
        <v>1199</v>
      </c>
      <c r="G2039" s="219" t="s">
        <v>5541</v>
      </c>
      <c r="H2039" s="216" t="s">
        <v>265</v>
      </c>
      <c r="I2039" s="216" t="s">
        <v>2971</v>
      </c>
    </row>
    <row r="2040">
      <c r="A2040" s="216" t="s">
        <v>5538</v>
      </c>
      <c r="B2040" s="216" t="s">
        <v>5539</v>
      </c>
      <c r="C2040" s="216" t="s">
        <v>5540</v>
      </c>
      <c r="D2040" s="217">
        <v>45462.81201388889</v>
      </c>
      <c r="E2040" s="217">
        <v>45462.61462962963</v>
      </c>
      <c r="F2040" s="218" t="s">
        <v>1199</v>
      </c>
      <c r="G2040" s="219" t="s">
        <v>5541</v>
      </c>
      <c r="H2040" s="216" t="s">
        <v>265</v>
      </c>
      <c r="I2040" s="216" t="s">
        <v>2971</v>
      </c>
    </row>
    <row r="2041">
      <c r="A2041" s="212" t="s">
        <v>5542</v>
      </c>
      <c r="B2041" s="212" t="s">
        <v>5543</v>
      </c>
      <c r="C2041" s="212" t="s">
        <v>5544</v>
      </c>
      <c r="D2041" s="213">
        <v>45760.61087962963</v>
      </c>
      <c r="E2041" s="213">
        <v>45761.71196759259</v>
      </c>
      <c r="F2041" s="214" t="s">
        <v>431</v>
      </c>
      <c r="G2041" s="215" t="s">
        <v>5545</v>
      </c>
      <c r="H2041" s="212" t="s">
        <v>377</v>
      </c>
      <c r="I2041" s="212" t="s">
        <v>357</v>
      </c>
    </row>
    <row r="2042">
      <c r="A2042" s="216" t="s">
        <v>5546</v>
      </c>
      <c r="B2042" s="216" t="s">
        <v>5547</v>
      </c>
      <c r="C2042" s="216" t="s">
        <v>5548</v>
      </c>
      <c r="D2042" s="217">
        <v>45536.548472222225</v>
      </c>
      <c r="E2042" s="217"/>
      <c r="F2042" s="218" t="s">
        <v>380</v>
      </c>
      <c r="G2042" s="219" t="s">
        <v>5549</v>
      </c>
      <c r="H2042" s="216" t="s">
        <v>259</v>
      </c>
      <c r="I2042" s="216" t="s">
        <v>1166</v>
      </c>
    </row>
    <row r="2043">
      <c r="A2043" s="212" t="s">
        <v>5550</v>
      </c>
      <c r="B2043" s="212" t="s">
        <v>5551</v>
      </c>
      <c r="C2043" s="212" t="s">
        <v>5552</v>
      </c>
      <c r="D2043" s="213">
        <v>45497.598715277774</v>
      </c>
      <c r="E2043" s="213"/>
      <c r="F2043" s="214" t="s">
        <v>5553</v>
      </c>
      <c r="G2043" s="215" t="s">
        <v>5554</v>
      </c>
      <c r="H2043" s="212" t="s">
        <v>259</v>
      </c>
      <c r="I2043" s="212" t="s">
        <v>3013</v>
      </c>
    </row>
    <row r="2044">
      <c r="A2044" s="212" t="s">
        <v>5555</v>
      </c>
      <c r="B2044" s="212" t="s">
        <v>5556</v>
      </c>
      <c r="C2044" s="212" t="s">
        <v>5557</v>
      </c>
      <c r="D2044" s="213">
        <v>45482.74012731481</v>
      </c>
      <c r="E2044" s="213"/>
      <c r="F2044" s="214" t="s">
        <v>538</v>
      </c>
      <c r="G2044" s="215" t="s">
        <v>5558</v>
      </c>
      <c r="H2044" s="212" t="s">
        <v>356</v>
      </c>
      <c r="I2044" s="212" t="s">
        <v>2292</v>
      </c>
    </row>
    <row r="2045">
      <c r="A2045" s="212" t="s">
        <v>5559</v>
      </c>
      <c r="B2045" s="212" t="s">
        <v>5560</v>
      </c>
      <c r="C2045" s="212" t="s">
        <v>5561</v>
      </c>
      <c r="D2045" s="213">
        <v>45748.64759259259</v>
      </c>
      <c r="E2045" s="213">
        <v>45748.65976851852</v>
      </c>
      <c r="F2045" s="214" t="s">
        <v>1866</v>
      </c>
      <c r="G2045" s="215" t="s">
        <v>5562</v>
      </c>
      <c r="H2045" s="212" t="s">
        <v>761</v>
      </c>
      <c r="I2045" s="212" t="s">
        <v>786</v>
      </c>
    </row>
    <row r="2046">
      <c r="A2046" s="212" t="s">
        <v>5563</v>
      </c>
      <c r="B2046" s="212" t="s">
        <v>5564</v>
      </c>
      <c r="C2046" s="212" t="s">
        <v>5565</v>
      </c>
      <c r="D2046" s="213">
        <v>45525.57096064815</v>
      </c>
      <c r="E2046" s="213"/>
      <c r="F2046" s="214" t="s">
        <v>5040</v>
      </c>
      <c r="G2046" s="215" t="s">
        <v>5566</v>
      </c>
      <c r="H2046" s="212" t="s">
        <v>398</v>
      </c>
      <c r="I2046" s="212" t="s">
        <v>461</v>
      </c>
    </row>
    <row r="2047">
      <c r="A2047" s="212" t="s">
        <v>5567</v>
      </c>
      <c r="B2047" s="212" t="s">
        <v>5568</v>
      </c>
      <c r="C2047" s="212" t="s">
        <v>5569</v>
      </c>
      <c r="D2047" s="213">
        <v>45451.495775462965</v>
      </c>
      <c r="E2047" s="213">
        <v>45451.298726851855</v>
      </c>
      <c r="F2047" s="214" t="s">
        <v>250</v>
      </c>
      <c r="G2047" s="215" t="s">
        <v>250</v>
      </c>
      <c r="H2047" s="212" t="s">
        <v>1355</v>
      </c>
      <c r="I2047" s="212" t="s">
        <v>1633</v>
      </c>
    </row>
    <row r="2048">
      <c r="A2048" s="216" t="s">
        <v>5570</v>
      </c>
      <c r="B2048" s="216" t="s">
        <v>5571</v>
      </c>
      <c r="C2048" s="216" t="s">
        <v>5572</v>
      </c>
      <c r="D2048" s="217">
        <v>45551.86261574074</v>
      </c>
      <c r="E2048" s="217"/>
      <c r="F2048" s="218" t="s">
        <v>538</v>
      </c>
      <c r="G2048" s="219" t="s">
        <v>5573</v>
      </c>
      <c r="H2048" s="216" t="s">
        <v>259</v>
      </c>
      <c r="I2048" s="216" t="s">
        <v>449</v>
      </c>
    </row>
    <row r="2049">
      <c r="A2049" s="212" t="s">
        <v>5574</v>
      </c>
      <c r="B2049" s="212" t="s">
        <v>5571</v>
      </c>
      <c r="C2049" s="212" t="s">
        <v>5572</v>
      </c>
      <c r="D2049" s="213">
        <v>45543.52914351852</v>
      </c>
      <c r="E2049" s="213"/>
      <c r="F2049" s="214" t="s">
        <v>538</v>
      </c>
      <c r="G2049" s="215" t="s">
        <v>5575</v>
      </c>
      <c r="H2049" s="212" t="s">
        <v>259</v>
      </c>
      <c r="I2049" s="212" t="s">
        <v>449</v>
      </c>
    </row>
    <row r="2050">
      <c r="A2050" s="216" t="s">
        <v>5576</v>
      </c>
      <c r="B2050" s="216" t="s">
        <v>5571</v>
      </c>
      <c r="C2050" s="216" t="s">
        <v>5577</v>
      </c>
      <c r="D2050" s="217">
        <v>45539.55357638889</v>
      </c>
      <c r="E2050" s="217"/>
      <c r="F2050" s="218" t="s">
        <v>538</v>
      </c>
      <c r="G2050" s="219" t="s">
        <v>5578</v>
      </c>
      <c r="H2050" s="216" t="s">
        <v>398</v>
      </c>
      <c r="I2050" s="216" t="s">
        <v>449</v>
      </c>
    </row>
    <row r="2051">
      <c r="A2051" s="212" t="s">
        <v>5579</v>
      </c>
      <c r="B2051" s="212" t="s">
        <v>5571</v>
      </c>
      <c r="C2051" s="212" t="s">
        <v>5572</v>
      </c>
      <c r="D2051" s="213">
        <v>45528.761400462965</v>
      </c>
      <c r="E2051" s="213"/>
      <c r="F2051" s="214" t="s">
        <v>431</v>
      </c>
      <c r="G2051" s="215" t="s">
        <v>5580</v>
      </c>
      <c r="H2051" s="212" t="s">
        <v>398</v>
      </c>
      <c r="I2051" s="212" t="s">
        <v>449</v>
      </c>
    </row>
    <row r="2052">
      <c r="A2052" s="216" t="s">
        <v>5581</v>
      </c>
      <c r="B2052" s="216" t="s">
        <v>5571</v>
      </c>
      <c r="C2052" s="216" t="s">
        <v>5582</v>
      </c>
      <c r="D2052" s="217">
        <v>45496.86318287037</v>
      </c>
      <c r="E2052" s="217"/>
      <c r="F2052" s="218" t="s">
        <v>3259</v>
      </c>
      <c r="G2052" s="219" t="s">
        <v>5583</v>
      </c>
      <c r="H2052" s="216" t="s">
        <v>259</v>
      </c>
      <c r="I2052" s="216" t="s">
        <v>5584</v>
      </c>
    </row>
    <row r="2053">
      <c r="A2053" s="216" t="s">
        <v>5585</v>
      </c>
      <c r="B2053" s="216" t="s">
        <v>5571</v>
      </c>
      <c r="C2053" s="216" t="s">
        <v>5572</v>
      </c>
      <c r="D2053" s="217">
        <v>45494.50876157408</v>
      </c>
      <c r="E2053" s="217"/>
      <c r="F2053" s="218" t="s">
        <v>470</v>
      </c>
      <c r="G2053" s="219" t="s">
        <v>5586</v>
      </c>
      <c r="H2053" s="216" t="s">
        <v>259</v>
      </c>
      <c r="I2053" s="216" t="s">
        <v>449</v>
      </c>
    </row>
    <row r="2054">
      <c r="A2054" s="216" t="s">
        <v>5587</v>
      </c>
      <c r="B2054" s="216" t="s">
        <v>5571</v>
      </c>
      <c r="C2054" s="216" t="s">
        <v>5572</v>
      </c>
      <c r="D2054" s="217">
        <v>45486.784097222226</v>
      </c>
      <c r="E2054" s="217"/>
      <c r="F2054" s="218" t="s">
        <v>339</v>
      </c>
      <c r="G2054" s="219" t="s">
        <v>1308</v>
      </c>
      <c r="H2054" s="216" t="s">
        <v>259</v>
      </c>
      <c r="I2054" s="216" t="s">
        <v>449</v>
      </c>
    </row>
    <row r="2055">
      <c r="A2055" s="216" t="s">
        <v>5587</v>
      </c>
      <c r="B2055" s="216" t="s">
        <v>5571</v>
      </c>
      <c r="C2055" s="216" t="s">
        <v>5572</v>
      </c>
      <c r="D2055" s="217">
        <v>45486.784097222226</v>
      </c>
      <c r="E2055" s="217"/>
      <c r="F2055" s="218" t="s">
        <v>339</v>
      </c>
      <c r="G2055" s="219" t="s">
        <v>1308</v>
      </c>
      <c r="H2055" s="216" t="s">
        <v>259</v>
      </c>
      <c r="I2055" s="216" t="s">
        <v>449</v>
      </c>
    </row>
    <row r="2056">
      <c r="A2056" s="212" t="s">
        <v>5588</v>
      </c>
      <c r="B2056" s="212" t="s">
        <v>5571</v>
      </c>
      <c r="C2056" s="212" t="s">
        <v>5572</v>
      </c>
      <c r="D2056" s="213">
        <v>45473.645844907405</v>
      </c>
      <c r="E2056" s="213"/>
      <c r="F2056" s="214" t="s">
        <v>431</v>
      </c>
      <c r="G2056" s="215" t="s">
        <v>5589</v>
      </c>
      <c r="H2056" s="212" t="s">
        <v>259</v>
      </c>
      <c r="I2056" s="212" t="s">
        <v>449</v>
      </c>
    </row>
    <row r="2057">
      <c r="A2057" s="212" t="s">
        <v>5590</v>
      </c>
      <c r="B2057" s="212" t="s">
        <v>5571</v>
      </c>
      <c r="C2057" s="212" t="s">
        <v>5572</v>
      </c>
      <c r="D2057" s="213">
        <v>45458.91956018518</v>
      </c>
      <c r="E2057" s="213">
        <v>45459.326516203706</v>
      </c>
      <c r="F2057" s="214" t="s">
        <v>380</v>
      </c>
      <c r="G2057" s="215" t="s">
        <v>5591</v>
      </c>
      <c r="H2057" s="212" t="s">
        <v>259</v>
      </c>
      <c r="I2057" s="212" t="s">
        <v>449</v>
      </c>
    </row>
    <row r="2058">
      <c r="A2058" s="212" t="s">
        <v>5592</v>
      </c>
      <c r="B2058" s="212" t="s">
        <v>5571</v>
      </c>
      <c r="C2058" s="212" t="s">
        <v>5572</v>
      </c>
      <c r="D2058" s="213">
        <v>45444.657789351855</v>
      </c>
      <c r="E2058" s="213">
        <v>45444.573159722226</v>
      </c>
      <c r="F2058" s="214" t="s">
        <v>538</v>
      </c>
      <c r="G2058" s="215" t="s">
        <v>5593</v>
      </c>
      <c r="H2058" s="212" t="s">
        <v>398</v>
      </c>
      <c r="I2058" s="212" t="s">
        <v>449</v>
      </c>
    </row>
    <row r="2059">
      <c r="A2059" s="212" t="s">
        <v>5594</v>
      </c>
      <c r="B2059" s="212" t="s">
        <v>5571</v>
      </c>
      <c r="C2059" s="212" t="s">
        <v>5595</v>
      </c>
      <c r="D2059" s="213">
        <v>45439.803391203706</v>
      </c>
      <c r="E2059" s="213">
        <v>45439.60428240741</v>
      </c>
      <c r="F2059" s="214" t="s">
        <v>5596</v>
      </c>
      <c r="G2059" s="215" t="s">
        <v>5597</v>
      </c>
      <c r="H2059" s="212" t="s">
        <v>265</v>
      </c>
      <c r="I2059" s="212" t="s">
        <v>449</v>
      </c>
    </row>
    <row r="2060">
      <c r="A2060" s="212" t="s">
        <v>5598</v>
      </c>
      <c r="B2060" s="212" t="s">
        <v>5571</v>
      </c>
      <c r="C2060" s="212" t="s">
        <v>5599</v>
      </c>
      <c r="D2060" s="213">
        <v>45716.86126157407</v>
      </c>
      <c r="E2060" s="213">
        <v>45717.55930555556</v>
      </c>
      <c r="F2060" s="214" t="s">
        <v>3373</v>
      </c>
      <c r="G2060" s="215" t="s">
        <v>5600</v>
      </c>
      <c r="H2060" s="212" t="s">
        <v>398</v>
      </c>
      <c r="I2060" s="212" t="s">
        <v>449</v>
      </c>
    </row>
    <row r="2061">
      <c r="A2061" s="216" t="s">
        <v>5601</v>
      </c>
      <c r="B2061" s="216" t="s">
        <v>5571</v>
      </c>
      <c r="C2061" s="216" t="s">
        <v>5572</v>
      </c>
      <c r="D2061" s="217">
        <v>45760.591365740744</v>
      </c>
      <c r="E2061" s="217">
        <v>45760.69809027778</v>
      </c>
      <c r="F2061" s="218" t="s">
        <v>538</v>
      </c>
      <c r="G2061" s="219" t="s">
        <v>3294</v>
      </c>
      <c r="H2061" s="216" t="s">
        <v>259</v>
      </c>
      <c r="I2061" s="216" t="s">
        <v>449</v>
      </c>
    </row>
    <row r="2062">
      <c r="A2062" s="216" t="s">
        <v>5602</v>
      </c>
      <c r="B2062" s="216" t="s">
        <v>5603</v>
      </c>
      <c r="C2062" s="216" t="s">
        <v>5604</v>
      </c>
      <c r="D2062" s="217">
        <v>45746.50292824074</v>
      </c>
      <c r="E2062" s="217">
        <v>45747.666817129626</v>
      </c>
      <c r="F2062" s="218" t="s">
        <v>281</v>
      </c>
      <c r="G2062" s="219" t="s">
        <v>2772</v>
      </c>
      <c r="H2062" s="216" t="s">
        <v>265</v>
      </c>
      <c r="I2062" s="216" t="s">
        <v>260</v>
      </c>
    </row>
    <row r="2063">
      <c r="A2063" s="212" t="s">
        <v>5605</v>
      </c>
      <c r="B2063" s="212" t="s">
        <v>5606</v>
      </c>
      <c r="C2063" s="212" t="s">
        <v>5607</v>
      </c>
      <c r="D2063" s="213">
        <v>45528.77545138889</v>
      </c>
      <c r="E2063" s="213"/>
      <c r="F2063" s="214" t="s">
        <v>1954</v>
      </c>
      <c r="G2063" s="215" t="s">
        <v>5608</v>
      </c>
      <c r="H2063" s="212" t="s">
        <v>259</v>
      </c>
      <c r="I2063" s="212" t="s">
        <v>1452</v>
      </c>
    </row>
    <row r="2064">
      <c r="A2064" s="216" t="s">
        <v>5609</v>
      </c>
      <c r="B2064" s="216" t="s">
        <v>5606</v>
      </c>
      <c r="C2064" s="216" t="s">
        <v>5607</v>
      </c>
      <c r="D2064" s="217">
        <v>45528.76671296296</v>
      </c>
      <c r="E2064" s="225"/>
      <c r="F2064" s="218" t="s">
        <v>765</v>
      </c>
      <c r="G2064" s="219" t="s">
        <v>5610</v>
      </c>
      <c r="H2064" s="216" t="s">
        <v>259</v>
      </c>
      <c r="I2064" s="216" t="s">
        <v>1452</v>
      </c>
    </row>
    <row r="2065">
      <c r="A2065" s="216" t="s">
        <v>5611</v>
      </c>
      <c r="B2065" s="216" t="s">
        <v>5606</v>
      </c>
      <c r="C2065" s="216" t="s">
        <v>5607</v>
      </c>
      <c r="D2065" s="217">
        <v>45528.54599537037</v>
      </c>
      <c r="E2065" s="225"/>
      <c r="F2065" s="218" t="s">
        <v>1954</v>
      </c>
      <c r="G2065" s="219" t="s">
        <v>5608</v>
      </c>
      <c r="H2065" s="216" t="s">
        <v>259</v>
      </c>
      <c r="I2065" s="216" t="s">
        <v>615</v>
      </c>
    </row>
    <row r="2066">
      <c r="A2066" s="212" t="s">
        <v>5612</v>
      </c>
      <c r="B2066" s="212" t="s">
        <v>5606</v>
      </c>
      <c r="C2066" s="212" t="s">
        <v>323</v>
      </c>
      <c r="D2066" s="213">
        <v>45705.77894675926</v>
      </c>
      <c r="E2066" s="227"/>
      <c r="F2066" s="214" t="s">
        <v>391</v>
      </c>
      <c r="G2066" s="215" t="s">
        <v>877</v>
      </c>
      <c r="H2066" s="212" t="s">
        <v>259</v>
      </c>
      <c r="I2066" s="212" t="s">
        <v>326</v>
      </c>
    </row>
    <row r="2067">
      <c r="A2067" s="216" t="s">
        <v>5613</v>
      </c>
      <c r="B2067" s="216" t="s">
        <v>5614</v>
      </c>
      <c r="C2067" s="216" t="s">
        <v>5615</v>
      </c>
      <c r="D2067" s="217">
        <v>45549.81951388889</v>
      </c>
      <c r="E2067" s="217"/>
      <c r="F2067" s="218" t="s">
        <v>5616</v>
      </c>
      <c r="G2067" s="219" t="s">
        <v>5617</v>
      </c>
      <c r="H2067" s="216" t="s">
        <v>561</v>
      </c>
      <c r="I2067" s="216" t="s">
        <v>1080</v>
      </c>
    </row>
    <row r="2068">
      <c r="A2068" s="212" t="s">
        <v>5618</v>
      </c>
      <c r="B2068" s="212" t="s">
        <v>5614</v>
      </c>
      <c r="C2068" s="212" t="s">
        <v>5615</v>
      </c>
      <c r="D2068" s="213">
        <v>45549.81811342593</v>
      </c>
      <c r="E2068" s="226"/>
      <c r="F2068" s="214" t="s">
        <v>391</v>
      </c>
      <c r="G2068" s="215" t="s">
        <v>877</v>
      </c>
      <c r="H2068" s="212" t="s">
        <v>561</v>
      </c>
      <c r="I2068" s="212" t="s">
        <v>1080</v>
      </c>
    </row>
    <row r="2069">
      <c r="A2069" s="216" t="s">
        <v>5619</v>
      </c>
      <c r="B2069" s="216" t="s">
        <v>5614</v>
      </c>
      <c r="C2069" s="216" t="s">
        <v>5620</v>
      </c>
      <c r="D2069" s="217">
        <v>45549.81748842593</v>
      </c>
      <c r="E2069" s="217"/>
      <c r="F2069" s="218" t="s">
        <v>5621</v>
      </c>
      <c r="G2069" s="219" t="s">
        <v>5622</v>
      </c>
      <c r="H2069" s="216" t="s">
        <v>561</v>
      </c>
      <c r="I2069" s="216" t="s">
        <v>1080</v>
      </c>
    </row>
    <row r="2070">
      <c r="A2070" s="216" t="s">
        <v>5623</v>
      </c>
      <c r="B2070" s="216" t="s">
        <v>5614</v>
      </c>
      <c r="C2070" s="216" t="s">
        <v>5615</v>
      </c>
      <c r="D2070" s="217">
        <v>45542.7172337963</v>
      </c>
      <c r="E2070" s="217"/>
      <c r="F2070" s="218" t="s">
        <v>5624</v>
      </c>
      <c r="G2070" s="219" t="s">
        <v>5625</v>
      </c>
      <c r="H2070" s="216" t="s">
        <v>561</v>
      </c>
      <c r="I2070" s="216" t="s">
        <v>1080</v>
      </c>
    </row>
    <row r="2071">
      <c r="A2071" s="212" t="s">
        <v>5626</v>
      </c>
      <c r="B2071" s="212" t="s">
        <v>5614</v>
      </c>
      <c r="C2071" s="212" t="s">
        <v>5620</v>
      </c>
      <c r="D2071" s="213">
        <v>45542.71662037037</v>
      </c>
      <c r="E2071" s="213"/>
      <c r="F2071" s="214" t="s">
        <v>5627</v>
      </c>
      <c r="G2071" s="215" t="s">
        <v>5628</v>
      </c>
      <c r="H2071" s="212" t="s">
        <v>561</v>
      </c>
      <c r="I2071" s="212" t="s">
        <v>1080</v>
      </c>
    </row>
    <row r="2072">
      <c r="A2072" s="212" t="s">
        <v>5629</v>
      </c>
      <c r="B2072" s="212" t="s">
        <v>5630</v>
      </c>
      <c r="C2072" s="212" t="s">
        <v>5604</v>
      </c>
      <c r="D2072" s="213">
        <v>45549.63539351852</v>
      </c>
      <c r="E2072" s="213"/>
      <c r="F2072" s="214" t="s">
        <v>291</v>
      </c>
      <c r="G2072" s="215" t="s">
        <v>1033</v>
      </c>
      <c r="H2072" s="212" t="s">
        <v>265</v>
      </c>
      <c r="I2072" s="212" t="s">
        <v>260</v>
      </c>
    </row>
    <row r="2073">
      <c r="A2073" s="216" t="s">
        <v>5631</v>
      </c>
      <c r="B2073" s="216" t="s">
        <v>5632</v>
      </c>
      <c r="C2073" s="216" t="s">
        <v>512</v>
      </c>
      <c r="D2073" s="217">
        <v>45774.72576388889</v>
      </c>
      <c r="E2073" s="224"/>
      <c r="F2073" s="218" t="s">
        <v>1105</v>
      </c>
      <c r="G2073" s="219" t="s">
        <v>5633</v>
      </c>
      <c r="H2073" s="216" t="s">
        <v>811</v>
      </c>
      <c r="I2073" s="216" t="s">
        <v>357</v>
      </c>
    </row>
    <row r="2074">
      <c r="A2074" s="216" t="s">
        <v>5634</v>
      </c>
      <c r="B2074" s="216" t="s">
        <v>5635</v>
      </c>
      <c r="C2074" s="216" t="s">
        <v>5636</v>
      </c>
      <c r="D2074" s="217">
        <v>45465.65400462963</v>
      </c>
      <c r="E2074" s="217"/>
      <c r="F2074" s="218" t="s">
        <v>250</v>
      </c>
      <c r="G2074" s="219" t="s">
        <v>5637</v>
      </c>
      <c r="H2074" s="216" t="s">
        <v>346</v>
      </c>
      <c r="I2074" s="216" t="s">
        <v>5638</v>
      </c>
    </row>
    <row r="2075">
      <c r="A2075" s="212" t="s">
        <v>5639</v>
      </c>
      <c r="B2075" s="212" t="s">
        <v>5635</v>
      </c>
      <c r="C2075" s="212" t="s">
        <v>5640</v>
      </c>
      <c r="D2075" s="213">
        <v>45437.83734953704</v>
      </c>
      <c r="E2075" s="213">
        <v>45438.284791666665</v>
      </c>
      <c r="F2075" s="214" t="s">
        <v>431</v>
      </c>
      <c r="G2075" s="215" t="s">
        <v>521</v>
      </c>
      <c r="H2075" s="212" t="s">
        <v>356</v>
      </c>
      <c r="I2075" s="212" t="s">
        <v>284</v>
      </c>
    </row>
    <row r="2076">
      <c r="A2076" s="216" t="s">
        <v>5641</v>
      </c>
      <c r="B2076" s="216" t="s">
        <v>5635</v>
      </c>
      <c r="C2076" s="216" t="s">
        <v>5642</v>
      </c>
      <c r="D2076" s="217">
        <v>45437.83660879629</v>
      </c>
      <c r="E2076" s="217">
        <v>45437.64939814815</v>
      </c>
      <c r="F2076" s="218" t="s">
        <v>967</v>
      </c>
      <c r="G2076" s="219" t="s">
        <v>5643</v>
      </c>
      <c r="H2076" s="216" t="s">
        <v>377</v>
      </c>
      <c r="I2076" s="216" t="s">
        <v>5638</v>
      </c>
    </row>
    <row r="2077">
      <c r="A2077" s="212" t="s">
        <v>5644</v>
      </c>
      <c r="B2077" s="212" t="s">
        <v>5635</v>
      </c>
      <c r="C2077" s="212" t="s">
        <v>5636</v>
      </c>
      <c r="D2077" s="213">
        <v>45437.82958333333</v>
      </c>
      <c r="E2077" s="213">
        <v>45437.64241898148</v>
      </c>
      <c r="F2077" s="214" t="s">
        <v>435</v>
      </c>
      <c r="G2077" s="215" t="s">
        <v>5645</v>
      </c>
      <c r="H2077" s="212" t="s">
        <v>346</v>
      </c>
      <c r="I2077" s="212" t="s">
        <v>5638</v>
      </c>
    </row>
    <row r="2078">
      <c r="A2078" s="216" t="s">
        <v>5646</v>
      </c>
      <c r="B2078" s="216" t="s">
        <v>5635</v>
      </c>
      <c r="C2078" s="216" t="s">
        <v>5640</v>
      </c>
      <c r="D2078" s="217">
        <v>45773.85815972222</v>
      </c>
      <c r="E2078" s="217">
        <v>45774.708506944444</v>
      </c>
      <c r="F2078" s="218" t="s">
        <v>967</v>
      </c>
      <c r="G2078" s="219" t="s">
        <v>5647</v>
      </c>
      <c r="H2078" s="216" t="s">
        <v>356</v>
      </c>
      <c r="I2078" s="216" t="s">
        <v>284</v>
      </c>
    </row>
    <row r="2079">
      <c r="A2079" s="212" t="s">
        <v>5648</v>
      </c>
      <c r="B2079" s="212" t="s">
        <v>5649</v>
      </c>
      <c r="C2079" s="212" t="s">
        <v>512</v>
      </c>
      <c r="D2079" s="213">
        <v>45774.75025462963</v>
      </c>
      <c r="E2079" s="213">
        <v>45774.760462962964</v>
      </c>
      <c r="F2079" s="214" t="s">
        <v>1105</v>
      </c>
      <c r="G2079" s="215" t="s">
        <v>5633</v>
      </c>
      <c r="H2079" s="212" t="s">
        <v>811</v>
      </c>
      <c r="I2079" s="212" t="s">
        <v>357</v>
      </c>
    </row>
    <row r="2080">
      <c r="A2080" s="216" t="s">
        <v>5650</v>
      </c>
      <c r="B2080" s="216" t="s">
        <v>5651</v>
      </c>
      <c r="C2080" s="216" t="s">
        <v>5652</v>
      </c>
      <c r="D2080" s="217">
        <v>45545.60722222222</v>
      </c>
      <c r="E2080" s="217"/>
      <c r="F2080" s="218" t="s">
        <v>5653</v>
      </c>
      <c r="G2080" s="219" t="s">
        <v>5654</v>
      </c>
      <c r="H2080" s="216" t="s">
        <v>293</v>
      </c>
      <c r="I2080" s="216" t="s">
        <v>549</v>
      </c>
    </row>
    <row r="2081">
      <c r="A2081" s="216" t="s">
        <v>5655</v>
      </c>
      <c r="B2081" s="216" t="s">
        <v>5651</v>
      </c>
      <c r="C2081" s="216" t="s">
        <v>571</v>
      </c>
      <c r="D2081" s="217">
        <v>45542.70508101852</v>
      </c>
      <c r="E2081" s="217"/>
      <c r="F2081" s="218" t="s">
        <v>503</v>
      </c>
      <c r="G2081" s="219" t="s">
        <v>619</v>
      </c>
      <c r="H2081" s="216" t="s">
        <v>259</v>
      </c>
      <c r="I2081" s="216" t="s">
        <v>399</v>
      </c>
    </row>
    <row r="2082">
      <c r="A2082" s="216" t="s">
        <v>5656</v>
      </c>
      <c r="B2082" s="216" t="s">
        <v>5651</v>
      </c>
      <c r="C2082" s="216" t="s">
        <v>5652</v>
      </c>
      <c r="D2082" s="217">
        <v>45535.87805555556</v>
      </c>
      <c r="E2082" s="217"/>
      <c r="F2082" s="218" t="s">
        <v>250</v>
      </c>
      <c r="G2082" s="219" t="s">
        <v>676</v>
      </c>
      <c r="H2082" s="216" t="s">
        <v>259</v>
      </c>
      <c r="I2082" s="216" t="s">
        <v>578</v>
      </c>
    </row>
    <row r="2083">
      <c r="A2083" s="212" t="s">
        <v>5657</v>
      </c>
      <c r="B2083" s="212" t="s">
        <v>5651</v>
      </c>
      <c r="C2083" s="212" t="s">
        <v>5652</v>
      </c>
      <c r="D2083" s="213">
        <v>45504.58688657408</v>
      </c>
      <c r="E2083" s="213"/>
      <c r="F2083" s="214" t="s">
        <v>730</v>
      </c>
      <c r="G2083" s="215" t="s">
        <v>5658</v>
      </c>
      <c r="H2083" s="212" t="s">
        <v>293</v>
      </c>
      <c r="I2083" s="212" t="s">
        <v>549</v>
      </c>
    </row>
    <row r="2084">
      <c r="A2084" s="216" t="s">
        <v>5659</v>
      </c>
      <c r="B2084" s="216" t="s">
        <v>5651</v>
      </c>
      <c r="C2084" s="216" t="s">
        <v>5652</v>
      </c>
      <c r="D2084" s="217">
        <v>45494.5703125</v>
      </c>
      <c r="E2084" s="217"/>
      <c r="F2084" s="218" t="s">
        <v>658</v>
      </c>
      <c r="G2084" s="219" t="s">
        <v>5660</v>
      </c>
      <c r="H2084" s="216" t="s">
        <v>259</v>
      </c>
      <c r="I2084" s="216" t="s">
        <v>578</v>
      </c>
    </row>
    <row r="2085">
      <c r="A2085" s="212" t="s">
        <v>5661</v>
      </c>
      <c r="B2085" s="212" t="s">
        <v>5651</v>
      </c>
      <c r="C2085" s="212" t="s">
        <v>5652</v>
      </c>
      <c r="D2085" s="213">
        <v>45473.58640046296</v>
      </c>
      <c r="E2085" s="213"/>
      <c r="F2085" s="214" t="s">
        <v>317</v>
      </c>
      <c r="G2085" s="215" t="s">
        <v>5662</v>
      </c>
      <c r="H2085" s="212" t="s">
        <v>259</v>
      </c>
      <c r="I2085" s="212" t="s">
        <v>578</v>
      </c>
    </row>
    <row r="2086">
      <c r="A2086" s="216" t="s">
        <v>5663</v>
      </c>
      <c r="B2086" s="216" t="s">
        <v>5651</v>
      </c>
      <c r="C2086" s="216" t="s">
        <v>5652</v>
      </c>
      <c r="D2086" s="217">
        <v>45456.888506944444</v>
      </c>
      <c r="E2086" s="217">
        <v>45457.50011574074</v>
      </c>
      <c r="F2086" s="218" t="s">
        <v>291</v>
      </c>
      <c r="G2086" s="219" t="s">
        <v>5664</v>
      </c>
      <c r="H2086" s="216" t="s">
        <v>293</v>
      </c>
      <c r="I2086" s="216" t="s">
        <v>549</v>
      </c>
    </row>
    <row r="2087">
      <c r="A2087" s="212" t="s">
        <v>5665</v>
      </c>
      <c r="B2087" s="212" t="s">
        <v>5651</v>
      </c>
      <c r="C2087" s="212" t="s">
        <v>5666</v>
      </c>
      <c r="D2087" s="213">
        <v>45447.897511574076</v>
      </c>
      <c r="E2087" s="213">
        <v>45450.368125</v>
      </c>
      <c r="F2087" s="214" t="s">
        <v>470</v>
      </c>
      <c r="G2087" s="215" t="s">
        <v>1675</v>
      </c>
      <c r="H2087" s="212" t="s">
        <v>293</v>
      </c>
      <c r="I2087" s="212" t="s">
        <v>549</v>
      </c>
    </row>
    <row r="2088">
      <c r="A2088" s="216" t="s">
        <v>5667</v>
      </c>
      <c r="B2088" s="216" t="s">
        <v>5651</v>
      </c>
      <c r="C2088" s="216" t="s">
        <v>5652</v>
      </c>
      <c r="D2088" s="217">
        <v>45437.84337962963</v>
      </c>
      <c r="E2088" s="217">
        <v>45437.64591435185</v>
      </c>
      <c r="F2088" s="218" t="s">
        <v>470</v>
      </c>
      <c r="G2088" s="219" t="s">
        <v>4613</v>
      </c>
      <c r="H2088" s="216" t="s">
        <v>259</v>
      </c>
      <c r="I2088" s="216" t="s">
        <v>578</v>
      </c>
    </row>
    <row r="2089">
      <c r="A2089" s="216" t="s">
        <v>5668</v>
      </c>
      <c r="B2089" s="216" t="s">
        <v>5669</v>
      </c>
      <c r="C2089" s="216" t="s">
        <v>5670</v>
      </c>
      <c r="D2089" s="217">
        <v>45761.61766203704</v>
      </c>
      <c r="E2089" s="217">
        <v>45763.46189814815</v>
      </c>
      <c r="F2089" s="218" t="s">
        <v>1105</v>
      </c>
      <c r="G2089" s="219" t="s">
        <v>5671</v>
      </c>
      <c r="H2089" s="216" t="s">
        <v>346</v>
      </c>
      <c r="I2089" s="216" t="s">
        <v>1533</v>
      </c>
    </row>
    <row r="2090">
      <c r="A2090" s="216" t="s">
        <v>5672</v>
      </c>
      <c r="B2090" s="216" t="s">
        <v>5669</v>
      </c>
      <c r="C2090" s="216" t="s">
        <v>5673</v>
      </c>
      <c r="D2090" s="217">
        <v>45760.56883101852</v>
      </c>
      <c r="E2090" s="217">
        <v>45760.67366898148</v>
      </c>
      <c r="F2090" s="218" t="s">
        <v>2638</v>
      </c>
      <c r="G2090" s="219" t="s">
        <v>5674</v>
      </c>
      <c r="H2090" s="216" t="s">
        <v>259</v>
      </c>
      <c r="I2090" s="216" t="s">
        <v>5675</v>
      </c>
    </row>
    <row r="2091">
      <c r="A2091" s="212" t="s">
        <v>5676</v>
      </c>
      <c r="B2091" s="212" t="s">
        <v>5669</v>
      </c>
      <c r="C2091" s="212" t="s">
        <v>5670</v>
      </c>
      <c r="D2091" s="213">
        <v>45760.566666666666</v>
      </c>
      <c r="E2091" s="227"/>
      <c r="F2091" s="214" t="s">
        <v>1105</v>
      </c>
      <c r="G2091" s="215" t="s">
        <v>5671</v>
      </c>
      <c r="H2091" s="212" t="s">
        <v>388</v>
      </c>
      <c r="I2091" s="212" t="s">
        <v>1533</v>
      </c>
    </row>
    <row r="2092">
      <c r="A2092" s="216" t="s">
        <v>5677</v>
      </c>
      <c r="B2092" s="216" t="s">
        <v>5678</v>
      </c>
      <c r="C2092" s="216" t="s">
        <v>5679</v>
      </c>
      <c r="D2092" s="217">
        <v>45551.84516203704</v>
      </c>
      <c r="E2092" s="217"/>
      <c r="F2092" s="218" t="s">
        <v>1259</v>
      </c>
      <c r="G2092" s="219" t="s">
        <v>5680</v>
      </c>
      <c r="H2092" s="216" t="s">
        <v>811</v>
      </c>
      <c r="I2092" s="216" t="s">
        <v>284</v>
      </c>
    </row>
    <row r="2093">
      <c r="A2093" s="212" t="s">
        <v>5681</v>
      </c>
      <c r="B2093" s="212" t="s">
        <v>5682</v>
      </c>
      <c r="C2093" s="212" t="s">
        <v>5683</v>
      </c>
      <c r="D2093" s="213">
        <v>45748.84884259259</v>
      </c>
      <c r="E2093" s="213">
        <v>45748.86466435185</v>
      </c>
      <c r="F2093" s="214" t="s">
        <v>572</v>
      </c>
      <c r="G2093" s="215" t="s">
        <v>2534</v>
      </c>
      <c r="H2093" s="212" t="s">
        <v>259</v>
      </c>
      <c r="I2093" s="212" t="s">
        <v>5684</v>
      </c>
    </row>
    <row r="2094">
      <c r="A2094" s="212" t="s">
        <v>5685</v>
      </c>
      <c r="B2094" s="212" t="s">
        <v>5686</v>
      </c>
      <c r="C2094" s="212" t="s">
        <v>5687</v>
      </c>
      <c r="D2094" s="213">
        <v>45544.45469907407</v>
      </c>
      <c r="E2094" s="213"/>
      <c r="F2094" s="214" t="s">
        <v>470</v>
      </c>
      <c r="G2094" s="215" t="s">
        <v>2935</v>
      </c>
      <c r="H2094" s="212" t="s">
        <v>356</v>
      </c>
      <c r="I2094" s="212" t="s">
        <v>3050</v>
      </c>
    </row>
    <row r="2095">
      <c r="A2095" s="216" t="s">
        <v>5688</v>
      </c>
      <c r="B2095" s="216" t="s">
        <v>5689</v>
      </c>
      <c r="C2095" s="216" t="s">
        <v>5690</v>
      </c>
      <c r="D2095" s="217">
        <v>45516.747245370374</v>
      </c>
      <c r="E2095" s="217"/>
      <c r="F2095" s="218" t="s">
        <v>465</v>
      </c>
      <c r="G2095" s="219" t="s">
        <v>3747</v>
      </c>
      <c r="H2095" s="216" t="s">
        <v>259</v>
      </c>
      <c r="I2095" s="216" t="s">
        <v>253</v>
      </c>
    </row>
    <row r="2096">
      <c r="A2096" s="216" t="s">
        <v>5691</v>
      </c>
      <c r="B2096" s="216" t="s">
        <v>5692</v>
      </c>
      <c r="C2096" s="216" t="s">
        <v>5693</v>
      </c>
      <c r="D2096" s="217">
        <v>45550.58277777778</v>
      </c>
      <c r="E2096" s="217"/>
      <c r="F2096" s="218" t="s">
        <v>439</v>
      </c>
      <c r="G2096" s="219" t="s">
        <v>5694</v>
      </c>
      <c r="H2096" s="216" t="s">
        <v>377</v>
      </c>
      <c r="I2096" s="216" t="s">
        <v>284</v>
      </c>
    </row>
    <row r="2097">
      <c r="A2097" s="212" t="s">
        <v>5695</v>
      </c>
      <c r="B2097" s="212" t="s">
        <v>5692</v>
      </c>
      <c r="C2097" s="212" t="s">
        <v>5693</v>
      </c>
      <c r="D2097" s="213">
        <v>45535.629479166666</v>
      </c>
      <c r="E2097" s="213"/>
      <c r="F2097" s="214" t="s">
        <v>431</v>
      </c>
      <c r="G2097" s="215" t="s">
        <v>1900</v>
      </c>
      <c r="H2097" s="212" t="s">
        <v>377</v>
      </c>
      <c r="I2097" s="212" t="s">
        <v>284</v>
      </c>
    </row>
    <row r="2098">
      <c r="A2098" s="216" t="s">
        <v>5696</v>
      </c>
      <c r="B2098" s="216" t="s">
        <v>5692</v>
      </c>
      <c r="C2098" s="216" t="s">
        <v>5697</v>
      </c>
      <c r="D2098" s="217">
        <v>45527.87648148148</v>
      </c>
      <c r="E2098" s="217"/>
      <c r="F2098" s="218" t="s">
        <v>698</v>
      </c>
      <c r="G2098" s="219" t="s">
        <v>5698</v>
      </c>
      <c r="H2098" s="216" t="s">
        <v>283</v>
      </c>
      <c r="I2098" s="216" t="s">
        <v>284</v>
      </c>
    </row>
    <row r="2099">
      <c r="A2099" s="216" t="s">
        <v>5699</v>
      </c>
      <c r="B2099" s="216" t="s">
        <v>5692</v>
      </c>
      <c r="C2099" s="216" t="s">
        <v>5700</v>
      </c>
      <c r="D2099" s="217">
        <v>45500.688784722224</v>
      </c>
      <c r="E2099" s="217"/>
      <c r="F2099" s="218" t="s">
        <v>5701</v>
      </c>
      <c r="G2099" s="219" t="s">
        <v>5702</v>
      </c>
      <c r="H2099" s="216" t="s">
        <v>377</v>
      </c>
      <c r="I2099" s="216" t="s">
        <v>284</v>
      </c>
    </row>
    <row r="2100">
      <c r="A2100" s="216" t="s">
        <v>5703</v>
      </c>
      <c r="B2100" s="216" t="s">
        <v>5692</v>
      </c>
      <c r="C2100" s="216" t="s">
        <v>5697</v>
      </c>
      <c r="D2100" s="217">
        <v>45494.86039351852</v>
      </c>
      <c r="E2100" s="217"/>
      <c r="F2100" s="218" t="s">
        <v>1553</v>
      </c>
      <c r="G2100" s="219" t="s">
        <v>5704</v>
      </c>
      <c r="H2100" s="216" t="s">
        <v>283</v>
      </c>
      <c r="I2100" s="216" t="s">
        <v>284</v>
      </c>
    </row>
    <row r="2101">
      <c r="A2101" s="216" t="s">
        <v>5705</v>
      </c>
      <c r="B2101" s="216" t="s">
        <v>5692</v>
      </c>
      <c r="C2101" s="216" t="s">
        <v>5706</v>
      </c>
      <c r="D2101" s="217">
        <v>45472.58136574074</v>
      </c>
      <c r="E2101" s="217"/>
      <c r="F2101" s="218" t="s">
        <v>442</v>
      </c>
      <c r="G2101" s="219" t="s">
        <v>5707</v>
      </c>
      <c r="H2101" s="216" t="s">
        <v>377</v>
      </c>
      <c r="I2101" s="216" t="s">
        <v>4423</v>
      </c>
    </row>
    <row r="2102">
      <c r="A2102" s="212" t="s">
        <v>5708</v>
      </c>
      <c r="B2102" s="212" t="s">
        <v>5692</v>
      </c>
      <c r="C2102" s="212" t="s">
        <v>5693</v>
      </c>
      <c r="D2102" s="213">
        <v>45472.58017361111</v>
      </c>
      <c r="E2102" s="213"/>
      <c r="F2102" s="214" t="s">
        <v>2294</v>
      </c>
      <c r="G2102" s="215" t="s">
        <v>5709</v>
      </c>
      <c r="H2102" s="212" t="s">
        <v>377</v>
      </c>
      <c r="I2102" s="212" t="s">
        <v>284</v>
      </c>
    </row>
    <row r="2103">
      <c r="A2103" s="212" t="s">
        <v>5710</v>
      </c>
      <c r="B2103" s="212" t="s">
        <v>5692</v>
      </c>
      <c r="C2103" s="212" t="s">
        <v>5693</v>
      </c>
      <c r="D2103" s="213">
        <v>45431.72195601852</v>
      </c>
      <c r="E2103" s="213">
        <v>45432.2466087963</v>
      </c>
      <c r="F2103" s="214" t="s">
        <v>503</v>
      </c>
      <c r="G2103" s="215" t="s">
        <v>4790</v>
      </c>
      <c r="H2103" s="212" t="s">
        <v>377</v>
      </c>
      <c r="I2103" s="212" t="s">
        <v>284</v>
      </c>
    </row>
    <row r="2104">
      <c r="A2104" s="212" t="s">
        <v>5711</v>
      </c>
      <c r="B2104" s="212" t="s">
        <v>5712</v>
      </c>
      <c r="C2104" s="212" t="s">
        <v>5713</v>
      </c>
      <c r="D2104" s="213">
        <v>45707.82604166667</v>
      </c>
      <c r="E2104" s="213">
        <v>45707.84032407407</v>
      </c>
      <c r="F2104" s="214" t="s">
        <v>1450</v>
      </c>
      <c r="G2104" s="215" t="s">
        <v>5714</v>
      </c>
      <c r="H2104" s="212" t="s">
        <v>252</v>
      </c>
      <c r="I2104" s="212" t="s">
        <v>640</v>
      </c>
    </row>
    <row r="2105">
      <c r="A2105" s="216" t="s">
        <v>5715</v>
      </c>
      <c r="B2105" s="216" t="s">
        <v>5716</v>
      </c>
      <c r="C2105" s="216" t="s">
        <v>2566</v>
      </c>
      <c r="D2105" s="217">
        <v>45489.86236111111</v>
      </c>
      <c r="E2105" s="217"/>
      <c r="F2105" s="218" t="s">
        <v>1199</v>
      </c>
      <c r="G2105" s="219" t="s">
        <v>5717</v>
      </c>
      <c r="H2105" s="216" t="s">
        <v>561</v>
      </c>
      <c r="I2105" s="216" t="s">
        <v>461</v>
      </c>
    </row>
    <row r="2106">
      <c r="A2106" s="216" t="s">
        <v>5715</v>
      </c>
      <c r="B2106" s="216" t="s">
        <v>5716</v>
      </c>
      <c r="C2106" s="216" t="s">
        <v>2566</v>
      </c>
      <c r="D2106" s="217">
        <v>45489.86236111111</v>
      </c>
      <c r="E2106" s="217"/>
      <c r="F2106" s="218" t="s">
        <v>1199</v>
      </c>
      <c r="G2106" s="219" t="s">
        <v>5717</v>
      </c>
      <c r="H2106" s="216" t="s">
        <v>561</v>
      </c>
      <c r="I2106" s="216" t="s">
        <v>461</v>
      </c>
    </row>
    <row r="2107">
      <c r="A2107" s="212" t="s">
        <v>5718</v>
      </c>
      <c r="B2107" s="212" t="s">
        <v>5716</v>
      </c>
      <c r="C2107" s="212" t="s">
        <v>2300</v>
      </c>
      <c r="D2107" s="213">
        <v>45446.88322916667</v>
      </c>
      <c r="E2107" s="213">
        <v>45446.68765046296</v>
      </c>
      <c r="F2107" s="214" t="s">
        <v>291</v>
      </c>
      <c r="G2107" s="215" t="s">
        <v>5719</v>
      </c>
      <c r="H2107" s="212" t="s">
        <v>561</v>
      </c>
      <c r="I2107" s="212" t="s">
        <v>461</v>
      </c>
    </row>
    <row r="2108">
      <c r="A2108" s="212" t="s">
        <v>5720</v>
      </c>
      <c r="B2108" s="212" t="s">
        <v>5716</v>
      </c>
      <c r="C2108" s="212" t="s">
        <v>2300</v>
      </c>
      <c r="D2108" s="213">
        <v>45437.613125</v>
      </c>
      <c r="E2108" s="213">
        <v>45437.41673611111</v>
      </c>
      <c r="F2108" s="214" t="s">
        <v>291</v>
      </c>
      <c r="G2108" s="215" t="s">
        <v>1043</v>
      </c>
      <c r="H2108" s="212" t="s">
        <v>561</v>
      </c>
      <c r="I2108" s="212" t="s">
        <v>461</v>
      </c>
    </row>
    <row r="2109">
      <c r="A2109" s="216" t="s">
        <v>5721</v>
      </c>
      <c r="B2109" s="216" t="s">
        <v>5716</v>
      </c>
      <c r="C2109" s="216" t="s">
        <v>2566</v>
      </c>
      <c r="D2109" s="217">
        <v>45435.85983796296</v>
      </c>
      <c r="E2109" s="217">
        <v>45435.66321759259</v>
      </c>
      <c r="F2109" s="218" t="s">
        <v>291</v>
      </c>
      <c r="G2109" s="219" t="s">
        <v>5722</v>
      </c>
      <c r="H2109" s="216" t="s">
        <v>561</v>
      </c>
      <c r="I2109" s="216" t="s">
        <v>461</v>
      </c>
    </row>
    <row r="2110">
      <c r="A2110" s="212" t="s">
        <v>5723</v>
      </c>
      <c r="B2110" s="212" t="s">
        <v>5724</v>
      </c>
      <c r="C2110" s="212" t="s">
        <v>5725</v>
      </c>
      <c r="D2110" s="213">
        <v>45522.556805555556</v>
      </c>
      <c r="E2110" s="213"/>
      <c r="F2110" s="214" t="s">
        <v>281</v>
      </c>
      <c r="G2110" s="215" t="s">
        <v>282</v>
      </c>
      <c r="H2110" s="212" t="s">
        <v>811</v>
      </c>
      <c r="I2110" s="212" t="s">
        <v>357</v>
      </c>
    </row>
    <row r="2111">
      <c r="A2111" s="216" t="s">
        <v>5726</v>
      </c>
      <c r="B2111" s="216" t="s">
        <v>5724</v>
      </c>
      <c r="C2111" s="216" t="s">
        <v>5725</v>
      </c>
      <c r="D2111" s="217">
        <v>45518.533900462964</v>
      </c>
      <c r="E2111" s="217"/>
      <c r="F2111" s="218" t="s">
        <v>1487</v>
      </c>
      <c r="G2111" s="219" t="s">
        <v>5027</v>
      </c>
      <c r="H2111" s="216" t="s">
        <v>811</v>
      </c>
      <c r="I2111" s="216" t="s">
        <v>357</v>
      </c>
    </row>
    <row r="2112">
      <c r="A2112" s="216" t="s">
        <v>5727</v>
      </c>
      <c r="B2112" s="216" t="s">
        <v>5724</v>
      </c>
      <c r="C2112" s="216" t="s">
        <v>5728</v>
      </c>
      <c r="D2112" s="217">
        <v>45487.53071759259</v>
      </c>
      <c r="E2112" s="217"/>
      <c r="F2112" s="218" t="s">
        <v>658</v>
      </c>
      <c r="G2112" s="219" t="s">
        <v>1063</v>
      </c>
      <c r="H2112" s="216" t="s">
        <v>811</v>
      </c>
      <c r="I2112" s="216" t="s">
        <v>357</v>
      </c>
    </row>
    <row r="2113">
      <c r="A2113" s="216" t="s">
        <v>5727</v>
      </c>
      <c r="B2113" s="216" t="s">
        <v>5724</v>
      </c>
      <c r="C2113" s="216" t="s">
        <v>5728</v>
      </c>
      <c r="D2113" s="217">
        <v>45487.53071759259</v>
      </c>
      <c r="E2113" s="217"/>
      <c r="F2113" s="218" t="s">
        <v>658</v>
      </c>
      <c r="G2113" s="219" t="s">
        <v>1063</v>
      </c>
      <c r="H2113" s="216" t="s">
        <v>811</v>
      </c>
      <c r="I2113" s="216" t="s">
        <v>357</v>
      </c>
    </row>
    <row r="2114">
      <c r="A2114" s="216" t="s">
        <v>5729</v>
      </c>
      <c r="B2114" s="216" t="s">
        <v>5724</v>
      </c>
      <c r="C2114" s="216" t="s">
        <v>5725</v>
      </c>
      <c r="D2114" s="217">
        <v>45732.83560185185</v>
      </c>
      <c r="E2114" s="217">
        <v>45734.531377314815</v>
      </c>
      <c r="F2114" s="218" t="s">
        <v>1531</v>
      </c>
      <c r="G2114" s="219" t="s">
        <v>5730</v>
      </c>
      <c r="H2114" s="216" t="s">
        <v>811</v>
      </c>
      <c r="I2114" s="216" t="s">
        <v>357</v>
      </c>
    </row>
    <row r="2115">
      <c r="A2115" s="212" t="s">
        <v>5731</v>
      </c>
      <c r="B2115" s="212" t="s">
        <v>5732</v>
      </c>
      <c r="C2115" s="212" t="s">
        <v>5733</v>
      </c>
      <c r="D2115" s="213">
        <v>45550.58483796296</v>
      </c>
      <c r="E2115" s="213"/>
      <c r="F2115" s="214" t="s">
        <v>2294</v>
      </c>
      <c r="G2115" s="215" t="s">
        <v>5734</v>
      </c>
      <c r="H2115" s="212" t="s">
        <v>356</v>
      </c>
      <c r="I2115" s="212" t="s">
        <v>2233</v>
      </c>
    </row>
    <row r="2116">
      <c r="A2116" s="212" t="s">
        <v>5735</v>
      </c>
      <c r="B2116" s="212" t="s">
        <v>5732</v>
      </c>
      <c r="C2116" s="212" t="s">
        <v>5733</v>
      </c>
      <c r="D2116" s="213">
        <v>45536.456087962964</v>
      </c>
      <c r="E2116" s="213"/>
      <c r="F2116" s="214" t="s">
        <v>488</v>
      </c>
      <c r="G2116" s="215" t="s">
        <v>3223</v>
      </c>
      <c r="H2116" s="212" t="s">
        <v>356</v>
      </c>
      <c r="I2116" s="212" t="s">
        <v>2233</v>
      </c>
    </row>
    <row r="2117">
      <c r="A2117" s="216" t="s">
        <v>5736</v>
      </c>
      <c r="B2117" s="216" t="s">
        <v>5732</v>
      </c>
      <c r="C2117" s="216" t="s">
        <v>5733</v>
      </c>
      <c r="D2117" s="217">
        <v>45536.455104166664</v>
      </c>
      <c r="E2117" s="225"/>
      <c r="F2117" s="218" t="s">
        <v>391</v>
      </c>
      <c r="G2117" s="219" t="s">
        <v>485</v>
      </c>
      <c r="H2117" s="216" t="s">
        <v>356</v>
      </c>
      <c r="I2117" s="216" t="s">
        <v>2233</v>
      </c>
    </row>
    <row r="2118">
      <c r="A2118" s="216" t="s">
        <v>5737</v>
      </c>
      <c r="B2118" s="216" t="s">
        <v>5732</v>
      </c>
      <c r="C2118" s="216" t="s">
        <v>5738</v>
      </c>
      <c r="D2118" s="217">
        <v>45513.80824074074</v>
      </c>
      <c r="E2118" s="217"/>
      <c r="F2118" s="218" t="s">
        <v>481</v>
      </c>
      <c r="G2118" s="219" t="s">
        <v>482</v>
      </c>
      <c r="H2118" s="216" t="s">
        <v>346</v>
      </c>
      <c r="I2118" s="216" t="s">
        <v>946</v>
      </c>
    </row>
    <row r="2119">
      <c r="A2119" s="216" t="s">
        <v>5739</v>
      </c>
      <c r="B2119" s="216" t="s">
        <v>5732</v>
      </c>
      <c r="C2119" s="216" t="s">
        <v>5733</v>
      </c>
      <c r="D2119" s="217">
        <v>45435.86949074074</v>
      </c>
      <c r="E2119" s="217">
        <v>45436.27438657408</v>
      </c>
      <c r="F2119" s="218" t="s">
        <v>706</v>
      </c>
      <c r="G2119" s="219" t="s">
        <v>5740</v>
      </c>
      <c r="H2119" s="216" t="s">
        <v>356</v>
      </c>
      <c r="I2119" s="216" t="s">
        <v>2233</v>
      </c>
    </row>
    <row r="2120">
      <c r="A2120" s="212" t="s">
        <v>5741</v>
      </c>
      <c r="B2120" s="212" t="s">
        <v>5742</v>
      </c>
      <c r="C2120" s="212" t="s">
        <v>5743</v>
      </c>
      <c r="D2120" s="213">
        <v>45549.545439814814</v>
      </c>
      <c r="E2120" s="213"/>
      <c r="F2120" s="214" t="s">
        <v>862</v>
      </c>
      <c r="G2120" s="215" t="s">
        <v>5744</v>
      </c>
      <c r="H2120" s="212" t="s">
        <v>346</v>
      </c>
      <c r="I2120" s="212" t="s">
        <v>5745</v>
      </c>
    </row>
    <row r="2121">
      <c r="A2121" s="216" t="s">
        <v>5746</v>
      </c>
      <c r="B2121" s="216" t="s">
        <v>5742</v>
      </c>
      <c r="C2121" s="216" t="s">
        <v>5747</v>
      </c>
      <c r="D2121" s="217">
        <v>45520.536840277775</v>
      </c>
      <c r="E2121" s="217"/>
      <c r="F2121" s="218" t="s">
        <v>291</v>
      </c>
      <c r="G2121" s="219" t="s">
        <v>5748</v>
      </c>
      <c r="H2121" s="216" t="s">
        <v>346</v>
      </c>
      <c r="I2121" s="216" t="s">
        <v>5749</v>
      </c>
    </row>
    <row r="2122">
      <c r="A2122" s="216" t="s">
        <v>5750</v>
      </c>
      <c r="B2122" s="216" t="s">
        <v>5742</v>
      </c>
      <c r="C2122" s="216" t="s">
        <v>5743</v>
      </c>
      <c r="D2122" s="217">
        <v>45747.47628472222</v>
      </c>
      <c r="E2122" s="217">
        <v>45750.819502314815</v>
      </c>
      <c r="F2122" s="218" t="s">
        <v>435</v>
      </c>
      <c r="G2122" s="219" t="s">
        <v>5751</v>
      </c>
      <c r="H2122" s="216" t="s">
        <v>346</v>
      </c>
      <c r="I2122" s="216" t="s">
        <v>5745</v>
      </c>
    </row>
    <row r="2123">
      <c r="A2123" s="216" t="s">
        <v>5752</v>
      </c>
      <c r="B2123" s="216" t="s">
        <v>5742</v>
      </c>
      <c r="C2123" s="216" t="s">
        <v>5743</v>
      </c>
      <c r="D2123" s="217">
        <v>45735.48033564815</v>
      </c>
      <c r="E2123" s="217">
        <v>45738.78482638889</v>
      </c>
      <c r="F2123" s="218" t="s">
        <v>435</v>
      </c>
      <c r="G2123" s="219" t="s">
        <v>5753</v>
      </c>
      <c r="H2123" s="216" t="s">
        <v>346</v>
      </c>
      <c r="I2123" s="216" t="s">
        <v>5745</v>
      </c>
    </row>
    <row r="2124">
      <c r="A2124" s="216" t="s">
        <v>5754</v>
      </c>
      <c r="B2124" s="216" t="s">
        <v>5742</v>
      </c>
      <c r="C2124" s="216" t="s">
        <v>5743</v>
      </c>
      <c r="D2124" s="217">
        <v>45748.487175925926</v>
      </c>
      <c r="E2124" s="217">
        <v>45750.81269675926</v>
      </c>
      <c r="F2124" s="218" t="s">
        <v>1275</v>
      </c>
      <c r="G2124" s="219" t="s">
        <v>5755</v>
      </c>
      <c r="H2124" s="216" t="s">
        <v>346</v>
      </c>
      <c r="I2124" s="216" t="s">
        <v>5745</v>
      </c>
    </row>
    <row r="2125">
      <c r="A2125" s="212" t="s">
        <v>5756</v>
      </c>
      <c r="B2125" s="212" t="s">
        <v>5757</v>
      </c>
      <c r="C2125" s="212" t="s">
        <v>5758</v>
      </c>
      <c r="D2125" s="213">
        <v>45441.602951388886</v>
      </c>
      <c r="E2125" s="213">
        <v>45441.56267361111</v>
      </c>
      <c r="F2125" s="214" t="s">
        <v>5759</v>
      </c>
      <c r="G2125" s="215" t="s">
        <v>5760</v>
      </c>
      <c r="H2125" s="212" t="s">
        <v>265</v>
      </c>
      <c r="I2125" s="212" t="s">
        <v>461</v>
      </c>
    </row>
    <row r="2126">
      <c r="A2126" s="212" t="s">
        <v>5761</v>
      </c>
      <c r="B2126" s="212" t="s">
        <v>5762</v>
      </c>
      <c r="C2126" s="212" t="s">
        <v>5763</v>
      </c>
      <c r="D2126" s="213">
        <v>45505.91966435185</v>
      </c>
      <c r="E2126" s="213"/>
      <c r="F2126" s="214" t="s">
        <v>1359</v>
      </c>
      <c r="G2126" s="215" t="s">
        <v>5764</v>
      </c>
      <c r="H2126" s="212" t="s">
        <v>259</v>
      </c>
      <c r="I2126" s="212" t="s">
        <v>5765</v>
      </c>
    </row>
    <row r="2127">
      <c r="A2127" s="212" t="s">
        <v>5766</v>
      </c>
      <c r="B2127" s="212" t="s">
        <v>5767</v>
      </c>
      <c r="C2127" s="212" t="s">
        <v>5768</v>
      </c>
      <c r="D2127" s="213">
        <v>45761.56234953704</v>
      </c>
      <c r="E2127" s="213">
        <v>45761.58006944445</v>
      </c>
      <c r="F2127" s="214" t="s">
        <v>5769</v>
      </c>
      <c r="G2127" s="215" t="s">
        <v>5770</v>
      </c>
      <c r="H2127" s="212" t="s">
        <v>632</v>
      </c>
      <c r="I2127" s="212" t="s">
        <v>5771</v>
      </c>
    </row>
    <row r="2128">
      <c r="A2128" s="212" t="s">
        <v>5772</v>
      </c>
      <c r="B2128" s="212" t="s">
        <v>5773</v>
      </c>
      <c r="C2128" s="212" t="s">
        <v>5774</v>
      </c>
      <c r="D2128" s="213">
        <v>45501.52118055556</v>
      </c>
      <c r="E2128" s="213"/>
      <c r="F2128" s="214" t="s">
        <v>470</v>
      </c>
      <c r="G2128" s="215" t="s">
        <v>3964</v>
      </c>
      <c r="H2128" s="212" t="s">
        <v>398</v>
      </c>
      <c r="I2128" s="212" t="s">
        <v>1673</v>
      </c>
    </row>
    <row r="2129">
      <c r="A2129" s="212" t="s">
        <v>5775</v>
      </c>
      <c r="B2129" s="212" t="s">
        <v>5773</v>
      </c>
      <c r="C2129" s="212" t="s">
        <v>5776</v>
      </c>
      <c r="D2129" s="213">
        <v>45500.76640046296</v>
      </c>
      <c r="E2129" s="213"/>
      <c r="F2129" s="214" t="s">
        <v>503</v>
      </c>
      <c r="G2129" s="215" t="s">
        <v>5777</v>
      </c>
      <c r="H2129" s="212" t="s">
        <v>398</v>
      </c>
      <c r="I2129" s="212" t="s">
        <v>1673</v>
      </c>
    </row>
    <row r="2130">
      <c r="A2130" s="216" t="s">
        <v>5778</v>
      </c>
      <c r="B2130" s="216" t="s">
        <v>5779</v>
      </c>
      <c r="C2130" s="216" t="s">
        <v>5780</v>
      </c>
      <c r="D2130" s="217">
        <v>45539.84222222222</v>
      </c>
      <c r="E2130" s="217"/>
      <c r="F2130" s="218" t="s">
        <v>5781</v>
      </c>
      <c r="G2130" s="219" t="s">
        <v>5782</v>
      </c>
      <c r="H2130" s="216" t="s">
        <v>356</v>
      </c>
      <c r="I2130" s="216" t="s">
        <v>2631</v>
      </c>
    </row>
    <row r="2131">
      <c r="A2131" s="212" t="s">
        <v>5783</v>
      </c>
      <c r="B2131" s="212" t="s">
        <v>5784</v>
      </c>
      <c r="C2131" s="212" t="s">
        <v>5785</v>
      </c>
      <c r="D2131" s="213">
        <v>45732.85524305556</v>
      </c>
      <c r="E2131" s="213">
        <v>45733.67716435185</v>
      </c>
      <c r="F2131" s="214" t="s">
        <v>4337</v>
      </c>
      <c r="G2131" s="215" t="s">
        <v>5786</v>
      </c>
      <c r="H2131" s="212" t="s">
        <v>377</v>
      </c>
      <c r="I2131" s="212" t="s">
        <v>4423</v>
      </c>
    </row>
    <row r="2132">
      <c r="A2132" s="212" t="s">
        <v>5787</v>
      </c>
      <c r="B2132" s="212" t="s">
        <v>5788</v>
      </c>
      <c r="C2132" s="212" t="s">
        <v>5789</v>
      </c>
      <c r="D2132" s="213">
        <v>45457.63302083333</v>
      </c>
      <c r="E2132" s="213">
        <v>45458.25709490741</v>
      </c>
      <c r="F2132" s="214" t="s">
        <v>431</v>
      </c>
      <c r="G2132" s="215" t="s">
        <v>5790</v>
      </c>
      <c r="H2132" s="212" t="s">
        <v>259</v>
      </c>
      <c r="I2132" s="212" t="s">
        <v>1673</v>
      </c>
    </row>
    <row r="2133">
      <c r="A2133" s="212" t="s">
        <v>5791</v>
      </c>
      <c r="B2133" s="212" t="s">
        <v>5788</v>
      </c>
      <c r="C2133" s="212" t="s">
        <v>5792</v>
      </c>
      <c r="D2133" s="213">
        <v>45709.72766203704</v>
      </c>
      <c r="E2133" s="213">
        <v>45710.50709490741</v>
      </c>
      <c r="F2133" s="214" t="s">
        <v>281</v>
      </c>
      <c r="G2133" s="215" t="s">
        <v>3025</v>
      </c>
      <c r="H2133" s="212" t="s">
        <v>265</v>
      </c>
      <c r="I2133" s="212" t="s">
        <v>4551</v>
      </c>
    </row>
    <row r="2134">
      <c r="A2134" s="212" t="s">
        <v>5793</v>
      </c>
      <c r="B2134" s="212" t="s">
        <v>5794</v>
      </c>
      <c r="C2134" s="212" t="s">
        <v>5789</v>
      </c>
      <c r="D2134" s="213">
        <v>45443.72954861111</v>
      </c>
      <c r="E2134" s="213">
        <v>45444.444560185184</v>
      </c>
      <c r="F2134" s="214" t="s">
        <v>470</v>
      </c>
      <c r="G2134" s="215" t="s">
        <v>649</v>
      </c>
      <c r="H2134" s="212" t="s">
        <v>259</v>
      </c>
      <c r="I2134" s="212" t="s">
        <v>1673</v>
      </c>
    </row>
    <row r="2135">
      <c r="A2135" s="216" t="s">
        <v>5795</v>
      </c>
      <c r="B2135" s="216" t="s">
        <v>5796</v>
      </c>
      <c r="C2135" s="216" t="s">
        <v>1729</v>
      </c>
      <c r="D2135" s="217">
        <v>45508.78980324074</v>
      </c>
      <c r="E2135" s="217"/>
      <c r="F2135" s="218" t="s">
        <v>250</v>
      </c>
      <c r="G2135" s="219" t="s">
        <v>553</v>
      </c>
      <c r="H2135" s="216" t="s">
        <v>259</v>
      </c>
      <c r="I2135" s="216" t="s">
        <v>1731</v>
      </c>
    </row>
    <row r="2136">
      <c r="A2136" s="212" t="s">
        <v>5797</v>
      </c>
      <c r="B2136" s="212" t="s">
        <v>5796</v>
      </c>
      <c r="C2136" s="212" t="s">
        <v>5798</v>
      </c>
      <c r="D2136" s="213">
        <v>45508.78916666667</v>
      </c>
      <c r="E2136" s="213"/>
      <c r="F2136" s="214" t="s">
        <v>3670</v>
      </c>
      <c r="G2136" s="215" t="s">
        <v>3671</v>
      </c>
      <c r="H2136" s="212" t="s">
        <v>252</v>
      </c>
      <c r="I2136" s="212" t="s">
        <v>1731</v>
      </c>
    </row>
    <row r="2137">
      <c r="A2137" s="212" t="s">
        <v>5799</v>
      </c>
      <c r="B2137" s="212" t="s">
        <v>5796</v>
      </c>
      <c r="C2137" s="212" t="s">
        <v>1729</v>
      </c>
      <c r="D2137" s="213">
        <v>45490.905486111114</v>
      </c>
      <c r="E2137" s="213"/>
      <c r="F2137" s="214" t="s">
        <v>3503</v>
      </c>
      <c r="G2137" s="215" t="s">
        <v>1195</v>
      </c>
      <c r="H2137" s="212" t="s">
        <v>259</v>
      </c>
      <c r="I2137" s="212" t="s">
        <v>1731</v>
      </c>
    </row>
    <row r="2138">
      <c r="A2138" s="212" t="s">
        <v>5799</v>
      </c>
      <c r="B2138" s="212" t="s">
        <v>5796</v>
      </c>
      <c r="C2138" s="212" t="s">
        <v>1729</v>
      </c>
      <c r="D2138" s="213">
        <v>45490.905486111114</v>
      </c>
      <c r="E2138" s="213"/>
      <c r="F2138" s="214" t="s">
        <v>3503</v>
      </c>
      <c r="G2138" s="215" t="s">
        <v>1195</v>
      </c>
      <c r="H2138" s="212" t="s">
        <v>259</v>
      </c>
      <c r="I2138" s="212" t="s">
        <v>1731</v>
      </c>
    </row>
    <row r="2139">
      <c r="A2139" s="212" t="s">
        <v>5800</v>
      </c>
      <c r="B2139" s="212" t="s">
        <v>5796</v>
      </c>
      <c r="C2139" s="212" t="s">
        <v>1729</v>
      </c>
      <c r="D2139" s="213">
        <v>45473.78491898148</v>
      </c>
      <c r="E2139" s="213"/>
      <c r="F2139" s="214" t="s">
        <v>503</v>
      </c>
      <c r="G2139" s="215" t="s">
        <v>5801</v>
      </c>
      <c r="H2139" s="212" t="s">
        <v>259</v>
      </c>
      <c r="I2139" s="212" t="s">
        <v>1731</v>
      </c>
    </row>
    <row r="2140">
      <c r="A2140" s="216" t="s">
        <v>5802</v>
      </c>
      <c r="B2140" s="216" t="s">
        <v>5796</v>
      </c>
      <c r="C2140" s="216" t="s">
        <v>5803</v>
      </c>
      <c r="D2140" s="217">
        <v>45473.78350694444</v>
      </c>
      <c r="E2140" s="217"/>
      <c r="F2140" s="218" t="s">
        <v>4787</v>
      </c>
      <c r="G2140" s="219" t="s">
        <v>5804</v>
      </c>
      <c r="H2140" s="216" t="s">
        <v>561</v>
      </c>
      <c r="I2140" s="216" t="s">
        <v>1731</v>
      </c>
    </row>
    <row r="2141">
      <c r="A2141" s="216" t="s">
        <v>5805</v>
      </c>
      <c r="B2141" s="216" t="s">
        <v>5796</v>
      </c>
      <c r="C2141" s="216" t="s">
        <v>5803</v>
      </c>
      <c r="D2141" s="217">
        <v>45452.706782407404</v>
      </c>
      <c r="E2141" s="217">
        <v>45452.51050925926</v>
      </c>
      <c r="F2141" s="218" t="s">
        <v>2856</v>
      </c>
      <c r="G2141" s="219" t="s">
        <v>5806</v>
      </c>
      <c r="H2141" s="216" t="s">
        <v>561</v>
      </c>
      <c r="I2141" s="216" t="s">
        <v>1731</v>
      </c>
    </row>
    <row r="2142">
      <c r="A2142" s="212" t="s">
        <v>5807</v>
      </c>
      <c r="B2142" s="212" t="s">
        <v>5796</v>
      </c>
      <c r="C2142" s="212" t="s">
        <v>1728</v>
      </c>
      <c r="D2142" s="213">
        <v>45711.75502314815</v>
      </c>
      <c r="E2142" s="213">
        <v>45711.76744212963</v>
      </c>
      <c r="F2142" s="214" t="s">
        <v>250</v>
      </c>
      <c r="G2142" s="215" t="s">
        <v>5808</v>
      </c>
      <c r="H2142" s="212" t="s">
        <v>561</v>
      </c>
      <c r="I2142" s="212" t="s">
        <v>1731</v>
      </c>
    </row>
    <row r="2143">
      <c r="A2143" s="216" t="s">
        <v>5809</v>
      </c>
      <c r="B2143" s="216" t="s">
        <v>5796</v>
      </c>
      <c r="C2143" s="216" t="s">
        <v>1728</v>
      </c>
      <c r="D2143" s="217">
        <v>45746.79371527778</v>
      </c>
      <c r="E2143" s="217">
        <v>45746.805625</v>
      </c>
      <c r="F2143" s="218" t="s">
        <v>317</v>
      </c>
      <c r="G2143" s="219" t="s">
        <v>680</v>
      </c>
      <c r="H2143" s="216" t="s">
        <v>561</v>
      </c>
      <c r="I2143" s="216" t="s">
        <v>1731</v>
      </c>
    </row>
    <row r="2144">
      <c r="A2144" s="212" t="s">
        <v>5810</v>
      </c>
      <c r="B2144" s="212" t="s">
        <v>5796</v>
      </c>
      <c r="C2144" s="212" t="s">
        <v>1729</v>
      </c>
      <c r="D2144" s="213">
        <v>45761.58005787037</v>
      </c>
      <c r="E2144" s="213">
        <v>45761.71207175926</v>
      </c>
      <c r="F2144" s="214" t="s">
        <v>5811</v>
      </c>
      <c r="G2144" s="215" t="s">
        <v>5812</v>
      </c>
      <c r="H2144" s="212" t="s">
        <v>259</v>
      </c>
      <c r="I2144" s="212" t="s">
        <v>1731</v>
      </c>
    </row>
    <row r="2145">
      <c r="A2145" s="212" t="s">
        <v>5813</v>
      </c>
      <c r="B2145" s="212" t="s">
        <v>5814</v>
      </c>
      <c r="C2145" s="212" t="s">
        <v>5815</v>
      </c>
      <c r="D2145" s="213">
        <v>45495.915821759256</v>
      </c>
      <c r="E2145" s="213"/>
      <c r="F2145" s="214" t="s">
        <v>503</v>
      </c>
      <c r="G2145" s="215" t="s">
        <v>886</v>
      </c>
      <c r="H2145" s="212" t="s">
        <v>416</v>
      </c>
      <c r="I2145" s="212" t="s">
        <v>417</v>
      </c>
    </row>
    <row r="2146">
      <c r="A2146" s="216" t="s">
        <v>5816</v>
      </c>
      <c r="B2146" s="216" t="s">
        <v>5814</v>
      </c>
      <c r="C2146" s="216" t="s">
        <v>5815</v>
      </c>
      <c r="D2146" s="217">
        <v>45487.7884375</v>
      </c>
      <c r="E2146" s="217"/>
      <c r="F2146" s="218" t="s">
        <v>470</v>
      </c>
      <c r="G2146" s="219" t="s">
        <v>5817</v>
      </c>
      <c r="H2146" s="216" t="s">
        <v>416</v>
      </c>
      <c r="I2146" s="216" t="s">
        <v>417</v>
      </c>
    </row>
    <row r="2147">
      <c r="A2147" s="216" t="s">
        <v>5816</v>
      </c>
      <c r="B2147" s="216" t="s">
        <v>5814</v>
      </c>
      <c r="C2147" s="216" t="s">
        <v>5815</v>
      </c>
      <c r="D2147" s="217">
        <v>45487.7884375</v>
      </c>
      <c r="E2147" s="217"/>
      <c r="F2147" s="218" t="s">
        <v>470</v>
      </c>
      <c r="G2147" s="219" t="s">
        <v>5817</v>
      </c>
      <c r="H2147" s="216" t="s">
        <v>416</v>
      </c>
      <c r="I2147" s="216" t="s">
        <v>417</v>
      </c>
    </row>
    <row r="2148">
      <c r="A2148" s="212" t="s">
        <v>5818</v>
      </c>
      <c r="B2148" s="212" t="s">
        <v>5819</v>
      </c>
      <c r="C2148" s="212" t="s">
        <v>5820</v>
      </c>
      <c r="D2148" s="213">
        <v>45521.655486111114</v>
      </c>
      <c r="E2148" s="213"/>
      <c r="F2148" s="214" t="s">
        <v>380</v>
      </c>
      <c r="G2148" s="215" t="s">
        <v>5821</v>
      </c>
      <c r="H2148" s="212" t="s">
        <v>356</v>
      </c>
      <c r="I2148" s="212" t="s">
        <v>3270</v>
      </c>
    </row>
    <row r="2149">
      <c r="A2149" s="212" t="s">
        <v>5822</v>
      </c>
      <c r="B2149" s="212" t="s">
        <v>5819</v>
      </c>
      <c r="C2149" s="212" t="s">
        <v>5823</v>
      </c>
      <c r="D2149" s="213">
        <v>45520.47394675926</v>
      </c>
      <c r="E2149" s="213"/>
      <c r="F2149" s="214" t="s">
        <v>5824</v>
      </c>
      <c r="G2149" s="215" t="s">
        <v>5825</v>
      </c>
      <c r="H2149" s="212" t="s">
        <v>259</v>
      </c>
      <c r="I2149" s="212" t="s">
        <v>1775</v>
      </c>
    </row>
    <row r="2150">
      <c r="A2150" s="212" t="s">
        <v>5826</v>
      </c>
      <c r="B2150" s="212" t="s">
        <v>5819</v>
      </c>
      <c r="C2150" s="212" t="s">
        <v>5827</v>
      </c>
      <c r="D2150" s="213">
        <v>45501.60537037037</v>
      </c>
      <c r="E2150" s="213"/>
      <c r="F2150" s="214" t="s">
        <v>1652</v>
      </c>
      <c r="G2150" s="215" t="s">
        <v>5828</v>
      </c>
      <c r="H2150" s="212" t="s">
        <v>259</v>
      </c>
      <c r="I2150" s="212" t="s">
        <v>1775</v>
      </c>
    </row>
    <row r="2151">
      <c r="A2151" s="216" t="s">
        <v>5829</v>
      </c>
      <c r="B2151" s="216" t="s">
        <v>5819</v>
      </c>
      <c r="C2151" s="216" t="s">
        <v>5823</v>
      </c>
      <c r="D2151" s="217">
        <v>45493.85159722222</v>
      </c>
      <c r="E2151" s="217"/>
      <c r="F2151" s="218" t="s">
        <v>3403</v>
      </c>
      <c r="G2151" s="219" t="s">
        <v>5830</v>
      </c>
      <c r="H2151" s="216" t="s">
        <v>259</v>
      </c>
      <c r="I2151" s="216" t="s">
        <v>1775</v>
      </c>
    </row>
    <row r="2152">
      <c r="A2152" s="216" t="s">
        <v>5831</v>
      </c>
      <c r="B2152" s="216" t="s">
        <v>5819</v>
      </c>
      <c r="C2152" s="216" t="s">
        <v>5823</v>
      </c>
      <c r="D2152" s="217">
        <v>45468.88303240741</v>
      </c>
      <c r="E2152" s="217"/>
      <c r="F2152" s="218" t="s">
        <v>5832</v>
      </c>
      <c r="G2152" s="219" t="s">
        <v>5833</v>
      </c>
      <c r="H2152" s="216" t="s">
        <v>259</v>
      </c>
      <c r="I2152" s="216" t="s">
        <v>1775</v>
      </c>
    </row>
    <row r="2153">
      <c r="A2153" s="212" t="s">
        <v>5834</v>
      </c>
      <c r="B2153" s="212" t="s">
        <v>5819</v>
      </c>
      <c r="C2153" s="212" t="s">
        <v>5823</v>
      </c>
      <c r="D2153" s="213">
        <v>45438.77408564815</v>
      </c>
      <c r="E2153" s="213">
        <v>45441.392430555556</v>
      </c>
      <c r="F2153" s="214" t="s">
        <v>5835</v>
      </c>
      <c r="G2153" s="215" t="s">
        <v>5836</v>
      </c>
      <c r="H2153" s="212" t="s">
        <v>259</v>
      </c>
      <c r="I2153" s="212" t="s">
        <v>1775</v>
      </c>
    </row>
    <row r="2154">
      <c r="A2154" s="216" t="s">
        <v>5837</v>
      </c>
      <c r="B2154" s="216" t="s">
        <v>5819</v>
      </c>
      <c r="C2154" s="216" t="s">
        <v>5823</v>
      </c>
      <c r="D2154" s="217">
        <v>45707.851493055554</v>
      </c>
      <c r="E2154" s="217">
        <v>45709.41324074074</v>
      </c>
      <c r="F2154" s="218" t="s">
        <v>291</v>
      </c>
      <c r="G2154" s="219" t="s">
        <v>5838</v>
      </c>
      <c r="H2154" s="216" t="s">
        <v>259</v>
      </c>
      <c r="I2154" s="216" t="s">
        <v>1775</v>
      </c>
    </row>
    <row r="2155">
      <c r="A2155" s="216" t="s">
        <v>5839</v>
      </c>
      <c r="B2155" s="216" t="s">
        <v>5819</v>
      </c>
      <c r="C2155" s="216" t="s">
        <v>5823</v>
      </c>
      <c r="D2155" s="217">
        <v>45732.78792824074</v>
      </c>
      <c r="E2155" s="217">
        <v>45735.628530092596</v>
      </c>
      <c r="F2155" s="218" t="s">
        <v>5840</v>
      </c>
      <c r="G2155" s="219" t="s">
        <v>5841</v>
      </c>
      <c r="H2155" s="216" t="s">
        <v>259</v>
      </c>
      <c r="I2155" s="216" t="s">
        <v>1775</v>
      </c>
    </row>
    <row r="2156">
      <c r="A2156" s="212" t="s">
        <v>5842</v>
      </c>
      <c r="B2156" s="212" t="s">
        <v>5843</v>
      </c>
      <c r="C2156" s="212" t="s">
        <v>5844</v>
      </c>
      <c r="D2156" s="213">
        <v>45525.812627314815</v>
      </c>
      <c r="E2156" s="213"/>
      <c r="F2156" s="214" t="s">
        <v>503</v>
      </c>
      <c r="G2156" s="215" t="s">
        <v>5845</v>
      </c>
      <c r="H2156" s="212" t="s">
        <v>1345</v>
      </c>
      <c r="I2156" s="212" t="s">
        <v>1080</v>
      </c>
    </row>
    <row r="2157">
      <c r="A2157" s="216" t="s">
        <v>5846</v>
      </c>
      <c r="B2157" s="216" t="s">
        <v>5847</v>
      </c>
      <c r="C2157" s="216" t="s">
        <v>5848</v>
      </c>
      <c r="D2157" s="217">
        <v>45513.81673611111</v>
      </c>
      <c r="E2157" s="217"/>
      <c r="F2157" s="218" t="s">
        <v>5849</v>
      </c>
      <c r="G2157" s="219" t="s">
        <v>5850</v>
      </c>
      <c r="H2157" s="216" t="s">
        <v>265</v>
      </c>
      <c r="I2157" s="216" t="s">
        <v>1094</v>
      </c>
    </row>
    <row r="2158">
      <c r="A2158" s="212" t="s">
        <v>5851</v>
      </c>
      <c r="B2158" s="212" t="s">
        <v>5852</v>
      </c>
      <c r="C2158" s="212" t="s">
        <v>5853</v>
      </c>
      <c r="D2158" s="213">
        <v>45554.65935185185</v>
      </c>
      <c r="E2158" s="226"/>
      <c r="F2158" s="214" t="s">
        <v>291</v>
      </c>
      <c r="G2158" s="215" t="s">
        <v>5854</v>
      </c>
      <c r="H2158" s="212" t="s">
        <v>259</v>
      </c>
      <c r="I2158" s="212" t="s">
        <v>2314</v>
      </c>
    </row>
    <row r="2159">
      <c r="A2159" s="212" t="s">
        <v>5855</v>
      </c>
      <c r="B2159" s="212" t="s">
        <v>5856</v>
      </c>
      <c r="C2159" s="212" t="s">
        <v>2651</v>
      </c>
      <c r="D2159" s="213">
        <v>45509.60986111111</v>
      </c>
      <c r="E2159" s="213"/>
      <c r="F2159" s="214" t="s">
        <v>651</v>
      </c>
      <c r="G2159" s="215" t="s">
        <v>5857</v>
      </c>
      <c r="H2159" s="212" t="s">
        <v>561</v>
      </c>
      <c r="I2159" s="212" t="s">
        <v>2647</v>
      </c>
    </row>
    <row r="2160">
      <c r="A2160" s="212" t="s">
        <v>5858</v>
      </c>
      <c r="B2160" s="212" t="s">
        <v>5856</v>
      </c>
      <c r="C2160" s="212" t="s">
        <v>5859</v>
      </c>
      <c r="D2160" s="213">
        <v>45462.56884259259</v>
      </c>
      <c r="E2160" s="213"/>
      <c r="F2160" s="214" t="s">
        <v>770</v>
      </c>
      <c r="G2160" s="215" t="s">
        <v>5860</v>
      </c>
      <c r="H2160" s="212" t="s">
        <v>632</v>
      </c>
      <c r="I2160" s="212" t="s">
        <v>2647</v>
      </c>
    </row>
    <row r="2161">
      <c r="A2161" s="212" t="s">
        <v>5858</v>
      </c>
      <c r="B2161" s="212" t="s">
        <v>5856</v>
      </c>
      <c r="C2161" s="212" t="s">
        <v>5859</v>
      </c>
      <c r="D2161" s="213">
        <v>45462.56884259259</v>
      </c>
      <c r="E2161" s="213">
        <v>45462.37162037037</v>
      </c>
      <c r="F2161" s="214" t="s">
        <v>770</v>
      </c>
      <c r="G2161" s="215" t="s">
        <v>5860</v>
      </c>
      <c r="H2161" s="212" t="s">
        <v>632</v>
      </c>
      <c r="I2161" s="212" t="s">
        <v>2647</v>
      </c>
    </row>
    <row r="2162">
      <c r="A2162" s="212" t="s">
        <v>5861</v>
      </c>
      <c r="B2162" s="212" t="s">
        <v>5862</v>
      </c>
      <c r="C2162" s="212" t="s">
        <v>5863</v>
      </c>
      <c r="D2162" s="213">
        <v>45734.55128472222</v>
      </c>
      <c r="E2162" s="213">
        <v>45738.55568287037</v>
      </c>
      <c r="F2162" s="214" t="s">
        <v>1394</v>
      </c>
      <c r="G2162" s="215" t="s">
        <v>5864</v>
      </c>
      <c r="H2162" s="212" t="s">
        <v>259</v>
      </c>
      <c r="I2162" s="212" t="s">
        <v>969</v>
      </c>
    </row>
    <row r="2163">
      <c r="A2163" s="212" t="s">
        <v>5865</v>
      </c>
      <c r="B2163" s="212" t="s">
        <v>5866</v>
      </c>
      <c r="C2163" s="212" t="s">
        <v>5867</v>
      </c>
      <c r="D2163" s="213">
        <v>45549.59204861111</v>
      </c>
      <c r="E2163" s="213"/>
      <c r="F2163" s="214" t="s">
        <v>269</v>
      </c>
      <c r="G2163" s="215" t="s">
        <v>5868</v>
      </c>
      <c r="H2163" s="212" t="s">
        <v>259</v>
      </c>
      <c r="I2163" s="212" t="s">
        <v>1094</v>
      </c>
    </row>
    <row r="2164">
      <c r="A2164" s="212" t="s">
        <v>5869</v>
      </c>
      <c r="B2164" s="212" t="s">
        <v>5866</v>
      </c>
      <c r="C2164" s="212" t="s">
        <v>5867</v>
      </c>
      <c r="D2164" s="213">
        <v>45541.68215277778</v>
      </c>
      <c r="E2164" s="213"/>
      <c r="F2164" s="214" t="s">
        <v>431</v>
      </c>
      <c r="G2164" s="215" t="s">
        <v>1973</v>
      </c>
      <c r="H2164" s="212" t="s">
        <v>259</v>
      </c>
      <c r="I2164" s="212" t="s">
        <v>1094</v>
      </c>
    </row>
    <row r="2165">
      <c r="A2165" s="212" t="s">
        <v>5870</v>
      </c>
      <c r="B2165" s="212" t="s">
        <v>5866</v>
      </c>
      <c r="C2165" s="212" t="s">
        <v>5867</v>
      </c>
      <c r="D2165" s="213">
        <v>45535.5890162037</v>
      </c>
      <c r="E2165" s="213"/>
      <c r="F2165" s="214" t="s">
        <v>431</v>
      </c>
      <c r="G2165" s="215" t="s">
        <v>3667</v>
      </c>
      <c r="H2165" s="212" t="s">
        <v>259</v>
      </c>
      <c r="I2165" s="212" t="s">
        <v>1094</v>
      </c>
    </row>
    <row r="2166">
      <c r="A2166" s="212" t="s">
        <v>5871</v>
      </c>
      <c r="B2166" s="212" t="s">
        <v>5866</v>
      </c>
      <c r="C2166" s="212" t="s">
        <v>5392</v>
      </c>
      <c r="D2166" s="213">
        <v>45487.78319444445</v>
      </c>
      <c r="E2166" s="213"/>
      <c r="F2166" s="214" t="s">
        <v>4390</v>
      </c>
      <c r="G2166" s="215" t="s">
        <v>5872</v>
      </c>
      <c r="H2166" s="212" t="s">
        <v>259</v>
      </c>
      <c r="I2166" s="212" t="s">
        <v>5394</v>
      </c>
    </row>
    <row r="2167">
      <c r="A2167" s="212" t="s">
        <v>5871</v>
      </c>
      <c r="B2167" s="212" t="s">
        <v>5866</v>
      </c>
      <c r="C2167" s="212" t="s">
        <v>5392</v>
      </c>
      <c r="D2167" s="213">
        <v>45487.78319444445</v>
      </c>
      <c r="E2167" s="213"/>
      <c r="F2167" s="214" t="s">
        <v>4390</v>
      </c>
      <c r="G2167" s="215" t="s">
        <v>5872</v>
      </c>
      <c r="H2167" s="212" t="s">
        <v>259</v>
      </c>
      <c r="I2167" s="212" t="s">
        <v>5394</v>
      </c>
    </row>
    <row r="2168">
      <c r="A2168" s="216" t="s">
        <v>5873</v>
      </c>
      <c r="B2168" s="216" t="s">
        <v>5866</v>
      </c>
      <c r="C2168" s="216" t="s">
        <v>5867</v>
      </c>
      <c r="D2168" s="217">
        <v>45458.507372685184</v>
      </c>
      <c r="E2168" s="217">
        <v>45458.30930555556</v>
      </c>
      <c r="F2168" s="218" t="s">
        <v>291</v>
      </c>
      <c r="G2168" s="219" t="s">
        <v>728</v>
      </c>
      <c r="H2168" s="216" t="s">
        <v>259</v>
      </c>
      <c r="I2168" s="216" t="s">
        <v>1094</v>
      </c>
    </row>
    <row r="2169">
      <c r="A2169" s="216" t="s">
        <v>5874</v>
      </c>
      <c r="B2169" s="216" t="s">
        <v>5866</v>
      </c>
      <c r="C2169" s="216" t="s">
        <v>5867</v>
      </c>
      <c r="D2169" s="217">
        <v>45444.6244212963</v>
      </c>
      <c r="E2169" s="217"/>
      <c r="F2169" s="218" t="s">
        <v>651</v>
      </c>
      <c r="G2169" s="219" t="s">
        <v>5875</v>
      </c>
      <c r="H2169" s="216" t="s">
        <v>259</v>
      </c>
      <c r="I2169" s="216" t="s">
        <v>1094</v>
      </c>
    </row>
    <row r="2170">
      <c r="A2170" s="216" t="s">
        <v>5876</v>
      </c>
      <c r="B2170" s="216" t="s">
        <v>5877</v>
      </c>
      <c r="C2170" s="216" t="s">
        <v>5878</v>
      </c>
      <c r="D2170" s="217">
        <v>45505.92018518518</v>
      </c>
      <c r="E2170" s="217"/>
      <c r="F2170" s="218" t="s">
        <v>435</v>
      </c>
      <c r="G2170" s="219" t="s">
        <v>3607</v>
      </c>
      <c r="H2170" s="216" t="s">
        <v>259</v>
      </c>
      <c r="I2170" s="216" t="s">
        <v>5765</v>
      </c>
    </row>
    <row r="2171">
      <c r="A2171" s="212" t="s">
        <v>5879</v>
      </c>
      <c r="B2171" s="212" t="s">
        <v>5877</v>
      </c>
      <c r="C2171" s="212" t="s">
        <v>5878</v>
      </c>
      <c r="D2171" s="213">
        <v>45450.890173611115</v>
      </c>
      <c r="E2171" s="213">
        <v>45451.44819444444</v>
      </c>
      <c r="F2171" s="214" t="s">
        <v>435</v>
      </c>
      <c r="G2171" s="215" t="s">
        <v>5880</v>
      </c>
      <c r="H2171" s="212" t="s">
        <v>259</v>
      </c>
      <c r="I2171" s="212" t="s">
        <v>5765</v>
      </c>
    </row>
    <row r="2172">
      <c r="A2172" s="216" t="s">
        <v>5881</v>
      </c>
      <c r="B2172" s="216" t="s">
        <v>5882</v>
      </c>
      <c r="C2172" s="216" t="s">
        <v>5883</v>
      </c>
      <c r="D2172" s="217">
        <v>45522.63353009259</v>
      </c>
      <c r="E2172" s="217"/>
      <c r="F2172" s="218" t="s">
        <v>250</v>
      </c>
      <c r="G2172" s="219" t="s">
        <v>4516</v>
      </c>
      <c r="H2172" s="216" t="s">
        <v>265</v>
      </c>
      <c r="I2172" s="216" t="s">
        <v>2307</v>
      </c>
    </row>
    <row r="2173">
      <c r="A2173" s="212" t="s">
        <v>5884</v>
      </c>
      <c r="B2173" s="212" t="s">
        <v>5882</v>
      </c>
      <c r="C2173" s="212" t="s">
        <v>5883</v>
      </c>
      <c r="D2173" s="213">
        <v>45494.73447916667</v>
      </c>
      <c r="E2173" s="213"/>
      <c r="F2173" s="214" t="s">
        <v>291</v>
      </c>
      <c r="G2173" s="215" t="s">
        <v>5885</v>
      </c>
      <c r="H2173" s="212" t="s">
        <v>265</v>
      </c>
      <c r="I2173" s="212" t="s">
        <v>2307</v>
      </c>
    </row>
    <row r="2174">
      <c r="A2174" s="216" t="s">
        <v>5886</v>
      </c>
      <c r="B2174" s="216" t="s">
        <v>5882</v>
      </c>
      <c r="C2174" s="216" t="s">
        <v>5887</v>
      </c>
      <c r="D2174" s="217">
        <v>45438.4994212963</v>
      </c>
      <c r="E2174" s="217">
        <v>45438.302199074074</v>
      </c>
      <c r="F2174" s="218" t="s">
        <v>431</v>
      </c>
      <c r="G2174" s="219" t="s">
        <v>5888</v>
      </c>
      <c r="H2174" s="216" t="s">
        <v>265</v>
      </c>
      <c r="I2174" s="216" t="s">
        <v>2307</v>
      </c>
    </row>
    <row r="2175">
      <c r="A2175" s="216" t="s">
        <v>5889</v>
      </c>
      <c r="B2175" s="216" t="s">
        <v>5882</v>
      </c>
      <c r="C2175" s="216" t="s">
        <v>5883</v>
      </c>
      <c r="D2175" s="217">
        <v>45438.49184027778</v>
      </c>
      <c r="E2175" s="217">
        <v>45440.284780092596</v>
      </c>
      <c r="F2175" s="218" t="s">
        <v>770</v>
      </c>
      <c r="G2175" s="219" t="s">
        <v>5890</v>
      </c>
      <c r="H2175" s="216" t="s">
        <v>265</v>
      </c>
      <c r="I2175" s="216" t="s">
        <v>2307</v>
      </c>
    </row>
    <row r="2176">
      <c r="A2176" s="216" t="s">
        <v>5891</v>
      </c>
      <c r="B2176" s="216" t="s">
        <v>5892</v>
      </c>
      <c r="C2176" s="216" t="s">
        <v>5893</v>
      </c>
      <c r="D2176" s="217">
        <v>45459.70518518519</v>
      </c>
      <c r="E2176" s="217">
        <v>45460.295324074075</v>
      </c>
      <c r="F2176" s="218" t="s">
        <v>431</v>
      </c>
      <c r="G2176" s="219" t="s">
        <v>1985</v>
      </c>
      <c r="H2176" s="216" t="s">
        <v>259</v>
      </c>
      <c r="I2176" s="216" t="s">
        <v>2307</v>
      </c>
    </row>
    <row r="2177">
      <c r="A2177" s="212" t="s">
        <v>5894</v>
      </c>
      <c r="B2177" s="212" t="s">
        <v>5892</v>
      </c>
      <c r="C2177" s="212" t="s">
        <v>5893</v>
      </c>
      <c r="D2177" s="213">
        <v>45438.49383101852</v>
      </c>
      <c r="E2177" s="213">
        <v>45438.44800925926</v>
      </c>
      <c r="F2177" s="214" t="s">
        <v>431</v>
      </c>
      <c r="G2177" s="215" t="s">
        <v>4643</v>
      </c>
      <c r="H2177" s="212" t="s">
        <v>259</v>
      </c>
      <c r="I2177" s="212" t="s">
        <v>2307</v>
      </c>
    </row>
    <row r="2178">
      <c r="A2178" s="216" t="s">
        <v>5895</v>
      </c>
      <c r="B2178" s="216" t="s">
        <v>5896</v>
      </c>
      <c r="C2178" s="216" t="s">
        <v>5897</v>
      </c>
      <c r="D2178" s="217">
        <v>45537.51322916667</v>
      </c>
      <c r="E2178" s="217"/>
      <c r="F2178" s="218" t="s">
        <v>360</v>
      </c>
      <c r="G2178" s="219" t="s">
        <v>361</v>
      </c>
      <c r="H2178" s="216" t="s">
        <v>811</v>
      </c>
      <c r="I2178" s="216" t="s">
        <v>2959</v>
      </c>
    </row>
    <row r="2179">
      <c r="A2179" s="216" t="s">
        <v>5898</v>
      </c>
      <c r="B2179" s="216" t="s">
        <v>5896</v>
      </c>
      <c r="C2179" s="216" t="s">
        <v>5899</v>
      </c>
      <c r="D2179" s="217">
        <v>45536.79122685185</v>
      </c>
      <c r="E2179" s="225"/>
      <c r="F2179" s="218" t="s">
        <v>360</v>
      </c>
      <c r="G2179" s="219" t="s">
        <v>361</v>
      </c>
      <c r="H2179" s="216" t="s">
        <v>811</v>
      </c>
      <c r="I2179" s="216" t="s">
        <v>2959</v>
      </c>
    </row>
    <row r="2180">
      <c r="A2180" s="216" t="s">
        <v>5900</v>
      </c>
      <c r="B2180" s="216" t="s">
        <v>5896</v>
      </c>
      <c r="C2180" s="216" t="s">
        <v>5901</v>
      </c>
      <c r="D2180" s="217">
        <v>45499.704351851855</v>
      </c>
      <c r="E2180" s="217"/>
      <c r="F2180" s="218" t="s">
        <v>3477</v>
      </c>
      <c r="G2180" s="219" t="s">
        <v>3478</v>
      </c>
      <c r="H2180" s="216" t="s">
        <v>259</v>
      </c>
      <c r="I2180" s="216" t="s">
        <v>2361</v>
      </c>
    </row>
    <row r="2181">
      <c r="A2181" s="216" t="s">
        <v>5902</v>
      </c>
      <c r="B2181" s="216" t="s">
        <v>5896</v>
      </c>
      <c r="C2181" s="216" t="s">
        <v>5896</v>
      </c>
      <c r="D2181" s="217">
        <v>45492.79896990741</v>
      </c>
      <c r="E2181" s="217"/>
      <c r="F2181" s="218" t="s">
        <v>538</v>
      </c>
      <c r="G2181" s="219" t="s">
        <v>5903</v>
      </c>
      <c r="H2181" s="216" t="s">
        <v>259</v>
      </c>
      <c r="I2181" s="216" t="s">
        <v>2361</v>
      </c>
    </row>
    <row r="2182">
      <c r="A2182" s="212" t="s">
        <v>5902</v>
      </c>
      <c r="B2182" s="212" t="s">
        <v>5896</v>
      </c>
      <c r="C2182" s="212" t="s">
        <v>5896</v>
      </c>
      <c r="D2182" s="213">
        <v>45492.79896990741</v>
      </c>
      <c r="E2182" s="213"/>
      <c r="F2182" s="214" t="s">
        <v>538</v>
      </c>
      <c r="G2182" s="215" t="s">
        <v>5903</v>
      </c>
      <c r="H2182" s="212" t="s">
        <v>259</v>
      </c>
      <c r="I2182" s="212" t="s">
        <v>2361</v>
      </c>
    </row>
    <row r="2183">
      <c r="A2183" s="212" t="s">
        <v>5902</v>
      </c>
      <c r="B2183" s="212" t="s">
        <v>5896</v>
      </c>
      <c r="C2183" s="212" t="s">
        <v>5896</v>
      </c>
      <c r="D2183" s="213">
        <v>45492.79896990741</v>
      </c>
      <c r="E2183" s="213"/>
      <c r="F2183" s="214" t="s">
        <v>538</v>
      </c>
      <c r="G2183" s="215" t="s">
        <v>5903</v>
      </c>
      <c r="H2183" s="212" t="s">
        <v>259</v>
      </c>
      <c r="I2183" s="212" t="s">
        <v>2361</v>
      </c>
    </row>
    <row r="2184">
      <c r="A2184" s="216" t="s">
        <v>5904</v>
      </c>
      <c r="B2184" s="216" t="s">
        <v>5896</v>
      </c>
      <c r="C2184" s="216" t="s">
        <v>5905</v>
      </c>
      <c r="D2184" s="217">
        <v>45464.87069444444</v>
      </c>
      <c r="E2184" s="217"/>
      <c r="F2184" s="218" t="s">
        <v>2177</v>
      </c>
      <c r="G2184" s="219" t="s">
        <v>5906</v>
      </c>
      <c r="H2184" s="216" t="s">
        <v>377</v>
      </c>
      <c r="I2184" s="216" t="s">
        <v>357</v>
      </c>
    </row>
    <row r="2185">
      <c r="A2185" s="216" t="s">
        <v>5907</v>
      </c>
      <c r="B2185" s="216" t="s">
        <v>5896</v>
      </c>
      <c r="C2185" s="216" t="s">
        <v>5899</v>
      </c>
      <c r="D2185" s="217">
        <v>45457.80005787037</v>
      </c>
      <c r="E2185" s="217">
        <v>45458.236284722225</v>
      </c>
      <c r="F2185" s="218" t="s">
        <v>380</v>
      </c>
      <c r="G2185" s="219" t="s">
        <v>1256</v>
      </c>
      <c r="H2185" s="216" t="s">
        <v>259</v>
      </c>
      <c r="I2185" s="216" t="s">
        <v>2361</v>
      </c>
    </row>
    <row r="2186">
      <c r="A2186" s="216" t="s">
        <v>5908</v>
      </c>
      <c r="B2186" s="216" t="s">
        <v>5909</v>
      </c>
      <c r="C2186" s="216" t="s">
        <v>5905</v>
      </c>
      <c r="D2186" s="217">
        <v>45702.81068287037</v>
      </c>
      <c r="E2186" s="217">
        <v>45703.43064814815</v>
      </c>
      <c r="F2186" s="218" t="s">
        <v>725</v>
      </c>
      <c r="G2186" s="219" t="s">
        <v>5910</v>
      </c>
      <c r="H2186" s="216" t="s">
        <v>377</v>
      </c>
      <c r="I2186" s="216" t="s">
        <v>357</v>
      </c>
    </row>
    <row r="2187">
      <c r="A2187" s="212" t="s">
        <v>5911</v>
      </c>
      <c r="B2187" s="212" t="s">
        <v>5909</v>
      </c>
      <c r="C2187" s="212" t="s">
        <v>5909</v>
      </c>
      <c r="D2187" s="213">
        <v>45745.812106481484</v>
      </c>
      <c r="E2187" s="213">
        <v>45745.819560185184</v>
      </c>
      <c r="F2187" s="214" t="s">
        <v>5912</v>
      </c>
      <c r="G2187" s="215" t="s">
        <v>5913</v>
      </c>
      <c r="H2187" s="212" t="s">
        <v>811</v>
      </c>
      <c r="I2187" s="212" t="s">
        <v>2361</v>
      </c>
    </row>
    <row r="2188">
      <c r="A2188" s="216" t="s">
        <v>5914</v>
      </c>
      <c r="B2188" s="216" t="s">
        <v>5909</v>
      </c>
      <c r="C2188" s="216" t="s">
        <v>5901</v>
      </c>
      <c r="D2188" s="217">
        <v>45760.64283564815</v>
      </c>
      <c r="E2188" s="217">
        <v>45761.55569444445</v>
      </c>
      <c r="F2188" s="218" t="s">
        <v>5056</v>
      </c>
      <c r="G2188" s="219" t="s">
        <v>5915</v>
      </c>
      <c r="H2188" s="216" t="s">
        <v>259</v>
      </c>
      <c r="I2188" s="216" t="s">
        <v>2361</v>
      </c>
    </row>
    <row r="2189">
      <c r="A2189" s="216" t="s">
        <v>5916</v>
      </c>
      <c r="B2189" s="216" t="s">
        <v>5917</v>
      </c>
      <c r="C2189" s="216" t="s">
        <v>5918</v>
      </c>
      <c r="D2189" s="217">
        <v>45546.67998842592</v>
      </c>
      <c r="E2189" s="217"/>
      <c r="F2189" s="218" t="s">
        <v>291</v>
      </c>
      <c r="G2189" s="219" t="s">
        <v>900</v>
      </c>
      <c r="H2189" s="216" t="s">
        <v>265</v>
      </c>
      <c r="I2189" s="216" t="s">
        <v>260</v>
      </c>
    </row>
    <row r="2190">
      <c r="A2190" s="212" t="s">
        <v>5919</v>
      </c>
      <c r="B2190" s="212" t="s">
        <v>5917</v>
      </c>
      <c r="C2190" s="212" t="s">
        <v>5918</v>
      </c>
      <c r="D2190" s="213">
        <v>45462.804560185185</v>
      </c>
      <c r="E2190" s="213"/>
      <c r="F2190" s="214" t="s">
        <v>470</v>
      </c>
      <c r="G2190" s="215" t="s">
        <v>709</v>
      </c>
      <c r="H2190" s="212" t="s">
        <v>265</v>
      </c>
      <c r="I2190" s="212" t="s">
        <v>260</v>
      </c>
    </row>
    <row r="2191">
      <c r="A2191" s="212" t="s">
        <v>5919</v>
      </c>
      <c r="B2191" s="212" t="s">
        <v>5917</v>
      </c>
      <c r="C2191" s="212" t="s">
        <v>5918</v>
      </c>
      <c r="D2191" s="213">
        <v>45462.804560185185</v>
      </c>
      <c r="E2191" s="213">
        <v>45463.59033564815</v>
      </c>
      <c r="F2191" s="214" t="s">
        <v>470</v>
      </c>
      <c r="G2191" s="215" t="s">
        <v>709</v>
      </c>
      <c r="H2191" s="212" t="s">
        <v>265</v>
      </c>
      <c r="I2191" s="212" t="s">
        <v>260</v>
      </c>
    </row>
    <row r="2192">
      <c r="A2192" s="212" t="s">
        <v>5920</v>
      </c>
      <c r="B2192" s="212" t="s">
        <v>5917</v>
      </c>
      <c r="C2192" s="212" t="s">
        <v>5918</v>
      </c>
      <c r="D2192" s="213">
        <v>45735.6769212963</v>
      </c>
      <c r="E2192" s="213">
        <v>45737.5799537037</v>
      </c>
      <c r="F2192" s="214" t="s">
        <v>470</v>
      </c>
      <c r="G2192" s="215" t="s">
        <v>1290</v>
      </c>
      <c r="H2192" s="212" t="s">
        <v>265</v>
      </c>
      <c r="I2192" s="212" t="s">
        <v>260</v>
      </c>
    </row>
    <row r="2193">
      <c r="A2193" s="216" t="s">
        <v>5921</v>
      </c>
      <c r="B2193" s="216" t="s">
        <v>5922</v>
      </c>
      <c r="C2193" s="216" t="s">
        <v>5923</v>
      </c>
      <c r="D2193" s="217">
        <v>45737.87297453704</v>
      </c>
      <c r="E2193" s="217">
        <v>45738.60769675926</v>
      </c>
      <c r="F2193" s="218" t="s">
        <v>281</v>
      </c>
      <c r="G2193" s="219" t="s">
        <v>5924</v>
      </c>
      <c r="H2193" s="216" t="s">
        <v>259</v>
      </c>
      <c r="I2193" s="216" t="s">
        <v>500</v>
      </c>
    </row>
    <row r="2194">
      <c r="A2194" s="212" t="s">
        <v>5925</v>
      </c>
      <c r="B2194" s="212" t="s">
        <v>5922</v>
      </c>
      <c r="C2194" s="212" t="s">
        <v>5923</v>
      </c>
      <c r="D2194" s="213">
        <v>45737.87201388889</v>
      </c>
      <c r="E2194" s="227"/>
      <c r="F2194" s="214" t="s">
        <v>391</v>
      </c>
      <c r="G2194" s="215" t="s">
        <v>877</v>
      </c>
      <c r="H2194" s="212" t="s">
        <v>265</v>
      </c>
      <c r="I2194" s="212" t="s">
        <v>500</v>
      </c>
    </row>
    <row r="2195">
      <c r="A2195" s="212" t="s">
        <v>5926</v>
      </c>
      <c r="B2195" s="212" t="s">
        <v>5927</v>
      </c>
      <c r="C2195" s="212" t="s">
        <v>4194</v>
      </c>
      <c r="D2195" s="213">
        <v>45535.802777777775</v>
      </c>
      <c r="E2195" s="213"/>
      <c r="F2195" s="214" t="s">
        <v>465</v>
      </c>
      <c r="G2195" s="215" t="s">
        <v>3104</v>
      </c>
      <c r="H2195" s="212" t="s">
        <v>265</v>
      </c>
      <c r="I2195" s="212" t="s">
        <v>2549</v>
      </c>
    </row>
    <row r="2196">
      <c r="A2196" s="216" t="s">
        <v>5928</v>
      </c>
      <c r="B2196" s="216" t="s">
        <v>5927</v>
      </c>
      <c r="C2196" s="216" t="s">
        <v>4194</v>
      </c>
      <c r="D2196" s="217">
        <v>45535.80247685185</v>
      </c>
      <c r="E2196" s="225"/>
      <c r="F2196" s="218" t="s">
        <v>391</v>
      </c>
      <c r="G2196" s="219" t="s">
        <v>877</v>
      </c>
      <c r="H2196" s="216" t="s">
        <v>265</v>
      </c>
      <c r="I2196" s="216" t="s">
        <v>2549</v>
      </c>
    </row>
    <row r="2197">
      <c r="A2197" s="216" t="s">
        <v>5929</v>
      </c>
      <c r="B2197" s="216" t="s">
        <v>5927</v>
      </c>
      <c r="C2197" s="216" t="s">
        <v>4194</v>
      </c>
      <c r="D2197" s="217">
        <v>45737.78891203704</v>
      </c>
      <c r="E2197" s="217">
        <v>45737.79871527778</v>
      </c>
      <c r="F2197" s="218" t="s">
        <v>291</v>
      </c>
      <c r="G2197" s="219" t="s">
        <v>1415</v>
      </c>
      <c r="H2197" s="216" t="s">
        <v>265</v>
      </c>
      <c r="I2197" s="216" t="s">
        <v>2549</v>
      </c>
    </row>
    <row r="2198">
      <c r="A2198" s="212" t="s">
        <v>5930</v>
      </c>
      <c r="B2198" s="212" t="s">
        <v>5927</v>
      </c>
      <c r="C2198" s="212" t="s">
        <v>4194</v>
      </c>
      <c r="D2198" s="213">
        <v>45773.75625</v>
      </c>
      <c r="E2198" s="213">
        <v>45773.7641087963</v>
      </c>
      <c r="F2198" s="214" t="s">
        <v>465</v>
      </c>
      <c r="G2198" s="215" t="s">
        <v>5931</v>
      </c>
      <c r="H2198" s="212" t="s">
        <v>265</v>
      </c>
      <c r="I2198" s="212" t="s">
        <v>2549</v>
      </c>
    </row>
    <row r="2199">
      <c r="A2199" s="216" t="s">
        <v>5932</v>
      </c>
      <c r="B2199" s="216" t="s">
        <v>5933</v>
      </c>
      <c r="C2199" s="216" t="s">
        <v>5933</v>
      </c>
      <c r="D2199" s="217">
        <v>45746.80603009259</v>
      </c>
      <c r="E2199" s="217">
        <v>45746.816041666665</v>
      </c>
      <c r="F2199" s="218" t="s">
        <v>840</v>
      </c>
      <c r="G2199" s="219" t="s">
        <v>5934</v>
      </c>
      <c r="H2199" s="216" t="s">
        <v>265</v>
      </c>
      <c r="I2199" s="216" t="s">
        <v>399</v>
      </c>
    </row>
    <row r="2200">
      <c r="A2200" s="216" t="s">
        <v>5935</v>
      </c>
      <c r="B2200" s="216" t="s">
        <v>5933</v>
      </c>
      <c r="C2200" s="216" t="s">
        <v>5933</v>
      </c>
      <c r="D2200" s="217">
        <v>45774.80971064815</v>
      </c>
      <c r="E2200" s="217">
        <v>45774.81958333333</v>
      </c>
      <c r="F2200" s="218" t="s">
        <v>5936</v>
      </c>
      <c r="G2200" s="219" t="s">
        <v>5937</v>
      </c>
      <c r="H2200" s="216" t="s">
        <v>265</v>
      </c>
      <c r="I2200" s="216" t="s">
        <v>399</v>
      </c>
    </row>
    <row r="2201">
      <c r="A2201" s="216" t="s">
        <v>5938</v>
      </c>
      <c r="B2201" s="216" t="s">
        <v>5933</v>
      </c>
      <c r="C2201" s="216" t="s">
        <v>5933</v>
      </c>
      <c r="D2201" s="217">
        <v>45761.83912037037</v>
      </c>
      <c r="E2201" s="217">
        <v>45761.84732638889</v>
      </c>
      <c r="F2201" s="218" t="s">
        <v>503</v>
      </c>
      <c r="G2201" s="219" t="s">
        <v>2883</v>
      </c>
      <c r="H2201" s="216" t="s">
        <v>265</v>
      </c>
      <c r="I2201" s="216" t="s">
        <v>399</v>
      </c>
    </row>
    <row r="2202">
      <c r="A2202" s="216" t="s">
        <v>5939</v>
      </c>
      <c r="B2202" s="216" t="s">
        <v>5940</v>
      </c>
      <c r="C2202" s="216" t="s">
        <v>5941</v>
      </c>
      <c r="D2202" s="217">
        <v>45495.61681712963</v>
      </c>
      <c r="E2202" s="217"/>
      <c r="F2202" s="218" t="s">
        <v>498</v>
      </c>
      <c r="G2202" s="219" t="s">
        <v>5942</v>
      </c>
      <c r="H2202" s="216" t="s">
        <v>259</v>
      </c>
      <c r="I2202" s="216" t="s">
        <v>1673</v>
      </c>
    </row>
    <row r="2203">
      <c r="A2203" s="216" t="s">
        <v>5943</v>
      </c>
      <c r="B2203" s="216" t="s">
        <v>5944</v>
      </c>
      <c r="C2203" s="216" t="s">
        <v>5945</v>
      </c>
      <c r="D2203" s="217">
        <v>45451.70459490741</v>
      </c>
      <c r="E2203" s="217">
        <v>45451.56612268519</v>
      </c>
      <c r="F2203" s="218" t="s">
        <v>1556</v>
      </c>
      <c r="G2203" s="219" t="s">
        <v>5946</v>
      </c>
      <c r="H2203" s="216" t="s">
        <v>346</v>
      </c>
      <c r="I2203" s="216" t="s">
        <v>389</v>
      </c>
    </row>
    <row r="2204">
      <c r="A2204" s="212" t="s">
        <v>5947</v>
      </c>
      <c r="B2204" s="212" t="s">
        <v>5944</v>
      </c>
      <c r="C2204" s="212" t="s">
        <v>5948</v>
      </c>
      <c r="D2204" s="213">
        <v>45437.45512731482</v>
      </c>
      <c r="E2204" s="213">
        <v>45437.2709837963</v>
      </c>
      <c r="F2204" s="214" t="s">
        <v>5949</v>
      </c>
      <c r="G2204" s="215" t="s">
        <v>5950</v>
      </c>
      <c r="H2204" s="212" t="s">
        <v>346</v>
      </c>
      <c r="I2204" s="212" t="s">
        <v>347</v>
      </c>
    </row>
    <row r="2205">
      <c r="A2205" s="212" t="s">
        <v>5951</v>
      </c>
      <c r="B2205" s="212" t="s">
        <v>5952</v>
      </c>
      <c r="C2205" s="212" t="s">
        <v>5953</v>
      </c>
      <c r="D2205" s="213">
        <v>45551.84048611111</v>
      </c>
      <c r="E2205" s="226"/>
      <c r="F2205" s="214" t="s">
        <v>439</v>
      </c>
      <c r="G2205" s="215" t="s">
        <v>5954</v>
      </c>
      <c r="H2205" s="212" t="s">
        <v>259</v>
      </c>
      <c r="I2205" s="212" t="s">
        <v>461</v>
      </c>
    </row>
    <row r="2206">
      <c r="A2206" s="212" t="s">
        <v>5955</v>
      </c>
      <c r="B2206" s="212" t="s">
        <v>5952</v>
      </c>
      <c r="C2206" s="212" t="s">
        <v>5953</v>
      </c>
      <c r="D2206" s="213">
        <v>45529.719930555555</v>
      </c>
      <c r="E2206" s="213"/>
      <c r="F2206" s="214" t="s">
        <v>439</v>
      </c>
      <c r="G2206" s="215" t="s">
        <v>5956</v>
      </c>
      <c r="H2206" s="212" t="s">
        <v>259</v>
      </c>
      <c r="I2206" s="212" t="s">
        <v>461</v>
      </c>
    </row>
    <row r="2207">
      <c r="A2207" s="216" t="s">
        <v>5957</v>
      </c>
      <c r="B2207" s="216" t="s">
        <v>5952</v>
      </c>
      <c r="C2207" s="216" t="s">
        <v>5953</v>
      </c>
      <c r="D2207" s="217">
        <v>45703.71806712963</v>
      </c>
      <c r="E2207" s="217">
        <v>45703.72928240741</v>
      </c>
      <c r="F2207" s="218" t="s">
        <v>503</v>
      </c>
      <c r="G2207" s="219" t="s">
        <v>2883</v>
      </c>
      <c r="H2207" s="216" t="s">
        <v>259</v>
      </c>
      <c r="I2207" s="216" t="s">
        <v>461</v>
      </c>
    </row>
    <row r="2208">
      <c r="A2208" s="216" t="s">
        <v>5958</v>
      </c>
      <c r="B2208" s="216" t="s">
        <v>5959</v>
      </c>
      <c r="C2208" s="216" t="s">
        <v>5960</v>
      </c>
      <c r="D2208" s="217">
        <v>45542.69353009259</v>
      </c>
      <c r="E2208" s="217"/>
      <c r="F2208" s="218" t="s">
        <v>1300</v>
      </c>
      <c r="G2208" s="219" t="s">
        <v>5961</v>
      </c>
      <c r="H2208" s="216" t="s">
        <v>259</v>
      </c>
      <c r="I2208" s="216" t="s">
        <v>531</v>
      </c>
    </row>
    <row r="2209">
      <c r="A2209" s="216" t="s">
        <v>5962</v>
      </c>
      <c r="B2209" s="216" t="s">
        <v>5959</v>
      </c>
      <c r="C2209" s="216" t="s">
        <v>5960</v>
      </c>
      <c r="D2209" s="217">
        <v>45526.766909722224</v>
      </c>
      <c r="E2209" s="217"/>
      <c r="F2209" s="218" t="s">
        <v>297</v>
      </c>
      <c r="G2209" s="219" t="s">
        <v>5963</v>
      </c>
      <c r="H2209" s="216" t="s">
        <v>259</v>
      </c>
      <c r="I2209" s="216" t="s">
        <v>531</v>
      </c>
    </row>
    <row r="2210">
      <c r="A2210" s="212" t="s">
        <v>5964</v>
      </c>
      <c r="B2210" s="212" t="s">
        <v>5959</v>
      </c>
      <c r="C2210" s="212" t="s">
        <v>5960</v>
      </c>
      <c r="D2210" s="213">
        <v>45519.77369212963</v>
      </c>
      <c r="E2210" s="213"/>
      <c r="F2210" s="214" t="s">
        <v>250</v>
      </c>
      <c r="G2210" s="215" t="s">
        <v>5965</v>
      </c>
      <c r="H2210" s="212" t="s">
        <v>259</v>
      </c>
      <c r="I2210" s="212" t="s">
        <v>531</v>
      </c>
    </row>
    <row r="2211">
      <c r="A2211" s="212" t="s">
        <v>5966</v>
      </c>
      <c r="B2211" s="212" t="s">
        <v>5959</v>
      </c>
      <c r="C2211" s="212" t="s">
        <v>5960</v>
      </c>
      <c r="D2211" s="213">
        <v>45506.556238425925</v>
      </c>
      <c r="E2211" s="213"/>
      <c r="F2211" s="214" t="s">
        <v>435</v>
      </c>
      <c r="G2211" s="215" t="s">
        <v>5967</v>
      </c>
      <c r="H2211" s="212" t="s">
        <v>259</v>
      </c>
      <c r="I2211" s="212" t="s">
        <v>531</v>
      </c>
    </row>
    <row r="2212">
      <c r="A2212" s="216" t="s">
        <v>5968</v>
      </c>
      <c r="B2212" s="216" t="s">
        <v>5959</v>
      </c>
      <c r="C2212" s="216" t="s">
        <v>5960</v>
      </c>
      <c r="D2212" s="217">
        <v>45452.674409722225</v>
      </c>
      <c r="E2212" s="217">
        <v>45453.288298611114</v>
      </c>
      <c r="F2212" s="218" t="s">
        <v>658</v>
      </c>
      <c r="G2212" s="219" t="s">
        <v>5969</v>
      </c>
      <c r="H2212" s="216" t="s">
        <v>259</v>
      </c>
      <c r="I2212" s="216" t="s">
        <v>531</v>
      </c>
    </row>
    <row r="2213">
      <c r="A2213" s="216" t="s">
        <v>5970</v>
      </c>
      <c r="B2213" s="216" t="s">
        <v>5971</v>
      </c>
      <c r="C2213" s="216" t="s">
        <v>5972</v>
      </c>
      <c r="D2213" s="217">
        <v>45447.603101851855</v>
      </c>
      <c r="E2213" s="217">
        <v>45447.70836805556</v>
      </c>
      <c r="F2213" s="218" t="s">
        <v>1019</v>
      </c>
      <c r="G2213" s="219" t="s">
        <v>1020</v>
      </c>
      <c r="H2213" s="216" t="s">
        <v>5973</v>
      </c>
      <c r="I2213" s="216" t="s">
        <v>5974</v>
      </c>
    </row>
    <row r="2214">
      <c r="A2214" s="212" t="s">
        <v>5975</v>
      </c>
      <c r="B2214" s="212" t="s">
        <v>5971</v>
      </c>
      <c r="C2214" s="212" t="s">
        <v>5976</v>
      </c>
      <c r="D2214" s="213">
        <v>45745.562893518516</v>
      </c>
      <c r="E2214" s="213">
        <v>45747.62162037037</v>
      </c>
      <c r="F2214" s="214" t="s">
        <v>503</v>
      </c>
      <c r="G2214" s="215" t="s">
        <v>5977</v>
      </c>
      <c r="H2214" s="212" t="s">
        <v>2313</v>
      </c>
      <c r="I2214" s="212" t="s">
        <v>5974</v>
      </c>
    </row>
    <row r="2215">
      <c r="A2215" s="212" t="s">
        <v>5978</v>
      </c>
      <c r="B2215" s="212" t="s">
        <v>5971</v>
      </c>
      <c r="C2215" s="212" t="s">
        <v>5976</v>
      </c>
      <c r="D2215" s="213">
        <v>45773.54547453704</v>
      </c>
      <c r="E2215" s="213">
        <v>45774.58693287037</v>
      </c>
      <c r="F2215" s="214" t="s">
        <v>624</v>
      </c>
      <c r="G2215" s="215" t="s">
        <v>5979</v>
      </c>
      <c r="H2215" s="212" t="s">
        <v>2313</v>
      </c>
      <c r="I2215" s="212" t="s">
        <v>5974</v>
      </c>
    </row>
    <row r="2216">
      <c r="A2216" s="216" t="s">
        <v>5980</v>
      </c>
      <c r="B2216" s="216" t="s">
        <v>5981</v>
      </c>
      <c r="C2216" s="216" t="s">
        <v>5982</v>
      </c>
      <c r="D2216" s="217">
        <v>45433.88747685185</v>
      </c>
      <c r="E2216" s="217">
        <v>45433.69099537037</v>
      </c>
      <c r="F2216" s="218" t="s">
        <v>1199</v>
      </c>
      <c r="G2216" s="219" t="s">
        <v>5983</v>
      </c>
      <c r="H2216" s="216" t="s">
        <v>265</v>
      </c>
      <c r="I2216" s="216" t="s">
        <v>5394</v>
      </c>
    </row>
    <row r="2217">
      <c r="A2217" s="212" t="s">
        <v>5984</v>
      </c>
      <c r="B2217" s="212" t="s">
        <v>5981</v>
      </c>
      <c r="C2217" s="212" t="s">
        <v>5982</v>
      </c>
      <c r="D2217" s="213">
        <v>45433.886030092595</v>
      </c>
      <c r="E2217" s="227"/>
      <c r="F2217" s="214" t="s">
        <v>391</v>
      </c>
      <c r="G2217" s="215" t="s">
        <v>877</v>
      </c>
      <c r="H2217" s="212" t="s">
        <v>265</v>
      </c>
      <c r="I2217" s="212" t="s">
        <v>5394</v>
      </c>
    </row>
    <row r="2218">
      <c r="A2218" s="216" t="s">
        <v>5985</v>
      </c>
      <c r="B2218" s="216" t="s">
        <v>5986</v>
      </c>
      <c r="C2218" s="216" t="s">
        <v>5987</v>
      </c>
      <c r="D2218" s="217">
        <v>45710.823599537034</v>
      </c>
      <c r="E2218" s="217">
        <v>45711.44457175926</v>
      </c>
      <c r="F2218" s="218" t="s">
        <v>5988</v>
      </c>
      <c r="G2218" s="219" t="s">
        <v>5989</v>
      </c>
      <c r="H2218" s="216" t="s">
        <v>259</v>
      </c>
      <c r="I2218" s="216" t="s">
        <v>2071</v>
      </c>
    </row>
    <row r="2219">
      <c r="A2219" s="212" t="s">
        <v>5990</v>
      </c>
      <c r="B2219" s="212" t="s">
        <v>5991</v>
      </c>
      <c r="C2219" s="212" t="s">
        <v>5992</v>
      </c>
      <c r="D2219" s="213">
        <v>45759.678877314815</v>
      </c>
      <c r="E2219" s="213">
        <v>45761.73274305555</v>
      </c>
      <c r="F2219" s="214" t="s">
        <v>439</v>
      </c>
      <c r="G2219" s="215" t="s">
        <v>5993</v>
      </c>
      <c r="H2219" s="212" t="s">
        <v>811</v>
      </c>
      <c r="I2219" s="212" t="s">
        <v>357</v>
      </c>
    </row>
    <row r="2220">
      <c r="A2220" s="216" t="s">
        <v>5994</v>
      </c>
      <c r="B2220" s="216" t="s">
        <v>5995</v>
      </c>
      <c r="C2220" s="216" t="s">
        <v>5996</v>
      </c>
      <c r="D2220" s="217">
        <v>45528.84710648148</v>
      </c>
      <c r="E2220" s="217"/>
      <c r="F2220" s="218" t="s">
        <v>3561</v>
      </c>
      <c r="G2220" s="219" t="s">
        <v>5997</v>
      </c>
      <c r="H2220" s="216" t="s">
        <v>259</v>
      </c>
      <c r="I2220" s="216" t="s">
        <v>5454</v>
      </c>
    </row>
    <row r="2221">
      <c r="A2221" s="212" t="s">
        <v>5998</v>
      </c>
      <c r="B2221" s="212" t="s">
        <v>5995</v>
      </c>
      <c r="C2221" s="212" t="s">
        <v>5996</v>
      </c>
      <c r="D2221" s="213">
        <v>45500.85238425926</v>
      </c>
      <c r="E2221" s="213"/>
      <c r="F2221" s="214" t="s">
        <v>3144</v>
      </c>
      <c r="G2221" s="215" t="s">
        <v>5999</v>
      </c>
      <c r="H2221" s="212" t="s">
        <v>259</v>
      </c>
      <c r="I2221" s="212" t="s">
        <v>5454</v>
      </c>
    </row>
    <row r="2222">
      <c r="A2222" s="216" t="s">
        <v>6000</v>
      </c>
      <c r="B2222" s="216" t="s">
        <v>5995</v>
      </c>
      <c r="C2222" s="216" t="s">
        <v>5996</v>
      </c>
      <c r="D2222" s="217">
        <v>45458.76017361111</v>
      </c>
      <c r="E2222" s="217">
        <v>45459.71876157408</v>
      </c>
      <c r="F2222" s="218" t="s">
        <v>291</v>
      </c>
      <c r="G2222" s="219" t="s">
        <v>307</v>
      </c>
      <c r="H2222" s="216" t="s">
        <v>259</v>
      </c>
      <c r="I2222" s="216" t="s">
        <v>5454</v>
      </c>
    </row>
    <row r="2223">
      <c r="A2223" s="216" t="s">
        <v>6001</v>
      </c>
      <c r="B2223" s="216" t="s">
        <v>5995</v>
      </c>
      <c r="C2223" s="216" t="s">
        <v>5996</v>
      </c>
      <c r="D2223" s="217">
        <v>45451.82716435185</v>
      </c>
      <c r="E2223" s="217">
        <v>45451.69105324074</v>
      </c>
      <c r="F2223" s="218" t="s">
        <v>1487</v>
      </c>
      <c r="G2223" s="219" t="s">
        <v>6002</v>
      </c>
      <c r="H2223" s="216" t="s">
        <v>259</v>
      </c>
      <c r="I2223" s="216" t="s">
        <v>640</v>
      </c>
    </row>
    <row r="2224">
      <c r="A2224" s="216" t="s">
        <v>6003</v>
      </c>
      <c r="B2224" s="216" t="s">
        <v>6004</v>
      </c>
      <c r="C2224" s="216" t="s">
        <v>6005</v>
      </c>
      <c r="D2224" s="217">
        <v>45746.74864583334</v>
      </c>
      <c r="E2224" s="217">
        <v>45747.77788194444</v>
      </c>
      <c r="F2224" s="218" t="s">
        <v>503</v>
      </c>
      <c r="G2224" s="219" t="s">
        <v>6006</v>
      </c>
      <c r="H2224" s="216" t="s">
        <v>398</v>
      </c>
      <c r="I2224" s="216" t="s">
        <v>1621</v>
      </c>
    </row>
    <row r="2225">
      <c r="A2225" s="216" t="s">
        <v>6007</v>
      </c>
      <c r="B2225" s="216" t="s">
        <v>6008</v>
      </c>
      <c r="C2225" s="216" t="s">
        <v>6009</v>
      </c>
      <c r="D2225" s="217">
        <v>45710.80752314815</v>
      </c>
      <c r="E2225" s="217">
        <v>45711.5105787037</v>
      </c>
      <c r="F2225" s="218" t="s">
        <v>6010</v>
      </c>
      <c r="G2225" s="219" t="s">
        <v>6011</v>
      </c>
      <c r="H2225" s="216" t="s">
        <v>259</v>
      </c>
      <c r="I2225" s="216" t="s">
        <v>626</v>
      </c>
    </row>
    <row r="2226">
      <c r="A2226" s="216" t="s">
        <v>6012</v>
      </c>
      <c r="B2226" s="216" t="s">
        <v>6008</v>
      </c>
      <c r="C2226" s="216" t="s">
        <v>6009</v>
      </c>
      <c r="D2226" s="217">
        <v>45747.86693287037</v>
      </c>
      <c r="E2226" s="217">
        <v>45748.493125</v>
      </c>
      <c r="F2226" s="218" t="s">
        <v>291</v>
      </c>
      <c r="G2226" s="219" t="s">
        <v>577</v>
      </c>
      <c r="H2226" s="216" t="s">
        <v>259</v>
      </c>
      <c r="I2226" s="216" t="s">
        <v>626</v>
      </c>
    </row>
    <row r="2227">
      <c r="A2227" s="212" t="s">
        <v>6013</v>
      </c>
      <c r="B2227" s="212" t="s">
        <v>6008</v>
      </c>
      <c r="C2227" s="212" t="s">
        <v>6009</v>
      </c>
      <c r="D2227" s="213">
        <v>45773.85325231482</v>
      </c>
      <c r="E2227" s="213">
        <v>45774.84034722222</v>
      </c>
      <c r="F2227" s="214" t="s">
        <v>470</v>
      </c>
      <c r="G2227" s="215" t="s">
        <v>1187</v>
      </c>
      <c r="H2227" s="212" t="s">
        <v>259</v>
      </c>
      <c r="I2227" s="212" t="s">
        <v>626</v>
      </c>
    </row>
    <row r="2228">
      <c r="A2228" s="212" t="s">
        <v>6014</v>
      </c>
      <c r="B2228" s="212" t="s">
        <v>6008</v>
      </c>
      <c r="C2228" s="212" t="s">
        <v>6015</v>
      </c>
      <c r="D2228" s="213">
        <v>45760.811574074076</v>
      </c>
      <c r="E2228" s="213">
        <v>45762.82303240741</v>
      </c>
      <c r="F2228" s="214" t="s">
        <v>269</v>
      </c>
      <c r="G2228" s="215" t="s">
        <v>2207</v>
      </c>
      <c r="H2228" s="212" t="s">
        <v>259</v>
      </c>
      <c r="I2228" s="212" t="s">
        <v>626</v>
      </c>
    </row>
    <row r="2229">
      <c r="A2229" s="216" t="s">
        <v>6016</v>
      </c>
      <c r="B2229" s="216" t="s">
        <v>6008</v>
      </c>
      <c r="C2229" s="216" t="s">
        <v>6009</v>
      </c>
      <c r="D2229" s="217">
        <v>45760.810902777775</v>
      </c>
      <c r="E2229" s="217">
        <v>45761.72587962963</v>
      </c>
      <c r="F2229" s="218" t="s">
        <v>291</v>
      </c>
      <c r="G2229" s="219" t="s">
        <v>577</v>
      </c>
      <c r="H2229" s="216" t="s">
        <v>259</v>
      </c>
      <c r="I2229" s="216" t="s">
        <v>626</v>
      </c>
    </row>
    <row r="2230">
      <c r="A2230" s="212" t="s">
        <v>6017</v>
      </c>
      <c r="B2230" s="212" t="s">
        <v>6018</v>
      </c>
      <c r="C2230" s="212" t="s">
        <v>4653</v>
      </c>
      <c r="D2230" s="213">
        <v>45712.90023148148</v>
      </c>
      <c r="E2230" s="213">
        <v>45713.41680555556</v>
      </c>
      <c r="F2230" s="214" t="s">
        <v>1607</v>
      </c>
      <c r="G2230" s="215" t="s">
        <v>6019</v>
      </c>
      <c r="H2230" s="212" t="s">
        <v>356</v>
      </c>
      <c r="I2230" s="212" t="s">
        <v>2160</v>
      </c>
    </row>
    <row r="2231">
      <c r="A2231" s="216" t="s">
        <v>6020</v>
      </c>
      <c r="B2231" s="216" t="s">
        <v>6018</v>
      </c>
      <c r="C2231" s="216" t="s">
        <v>4653</v>
      </c>
      <c r="D2231" s="217">
        <v>45705.88862268518</v>
      </c>
      <c r="E2231" s="217">
        <v>45706.58342592593</v>
      </c>
      <c r="F2231" s="218" t="s">
        <v>6021</v>
      </c>
      <c r="G2231" s="219" t="s">
        <v>6022</v>
      </c>
      <c r="H2231" s="216" t="s">
        <v>356</v>
      </c>
      <c r="I2231" s="216" t="s">
        <v>2160</v>
      </c>
    </row>
    <row r="2232">
      <c r="A2232" s="212" t="s">
        <v>6023</v>
      </c>
      <c r="B2232" s="212" t="s">
        <v>6024</v>
      </c>
      <c r="C2232" s="212" t="s">
        <v>6025</v>
      </c>
      <c r="D2232" s="213">
        <v>45543.60283564815</v>
      </c>
      <c r="E2232" s="213"/>
      <c r="F2232" s="214" t="s">
        <v>1652</v>
      </c>
      <c r="G2232" s="215" t="s">
        <v>6026</v>
      </c>
      <c r="H2232" s="212" t="s">
        <v>259</v>
      </c>
      <c r="I2232" s="212" t="s">
        <v>1080</v>
      </c>
    </row>
    <row r="2233">
      <c r="A2233" s="216" t="s">
        <v>6027</v>
      </c>
      <c r="B2233" s="216" t="s">
        <v>6028</v>
      </c>
      <c r="C2233" s="216" t="s">
        <v>2651</v>
      </c>
      <c r="D2233" s="217">
        <v>45509.605208333334</v>
      </c>
      <c r="E2233" s="217"/>
      <c r="F2233" s="218" t="s">
        <v>651</v>
      </c>
      <c r="G2233" s="219" t="s">
        <v>5857</v>
      </c>
      <c r="H2233" s="216" t="s">
        <v>561</v>
      </c>
      <c r="I2233" s="216" t="s">
        <v>2647</v>
      </c>
    </row>
    <row r="2234">
      <c r="A2234" s="216" t="s">
        <v>6029</v>
      </c>
      <c r="B2234" s="216" t="s">
        <v>6028</v>
      </c>
      <c r="C2234" s="216" t="s">
        <v>6030</v>
      </c>
      <c r="D2234" s="217">
        <v>45507.85010416667</v>
      </c>
      <c r="E2234" s="217"/>
      <c r="F2234" s="218" t="s">
        <v>503</v>
      </c>
      <c r="G2234" s="219" t="s">
        <v>1742</v>
      </c>
      <c r="H2234" s="216" t="s">
        <v>265</v>
      </c>
      <c r="I2234" s="216" t="s">
        <v>6031</v>
      </c>
    </row>
    <row r="2235">
      <c r="A2235" s="216" t="s">
        <v>6032</v>
      </c>
      <c r="B2235" s="216" t="s">
        <v>6028</v>
      </c>
      <c r="C2235" s="216" t="s">
        <v>6030</v>
      </c>
      <c r="D2235" s="217">
        <v>45494.90572916667</v>
      </c>
      <c r="E2235" s="217"/>
      <c r="F2235" s="218" t="s">
        <v>1092</v>
      </c>
      <c r="G2235" s="219" t="s">
        <v>6033</v>
      </c>
      <c r="H2235" s="216" t="s">
        <v>265</v>
      </c>
      <c r="I2235" s="216" t="s">
        <v>6031</v>
      </c>
    </row>
    <row r="2236">
      <c r="A2236" s="216" t="s">
        <v>6034</v>
      </c>
      <c r="B2236" s="216" t="s">
        <v>6028</v>
      </c>
      <c r="C2236" s="216" t="s">
        <v>6030</v>
      </c>
      <c r="D2236" s="217">
        <v>45484.74193287037</v>
      </c>
      <c r="E2236" s="217"/>
      <c r="F2236" s="218" t="s">
        <v>722</v>
      </c>
      <c r="G2236" s="219" t="s">
        <v>6035</v>
      </c>
      <c r="H2236" s="216" t="s">
        <v>265</v>
      </c>
      <c r="I2236" s="216" t="s">
        <v>6031</v>
      </c>
    </row>
    <row r="2237">
      <c r="A2237" s="216" t="s">
        <v>6034</v>
      </c>
      <c r="B2237" s="216" t="s">
        <v>6028</v>
      </c>
      <c r="C2237" s="216" t="s">
        <v>6030</v>
      </c>
      <c r="D2237" s="217">
        <v>45484.74193287037</v>
      </c>
      <c r="E2237" s="217"/>
      <c r="F2237" s="218" t="s">
        <v>722</v>
      </c>
      <c r="G2237" s="219" t="s">
        <v>6035</v>
      </c>
      <c r="H2237" s="216" t="s">
        <v>265</v>
      </c>
      <c r="I2237" s="216" t="s">
        <v>6031</v>
      </c>
    </row>
    <row r="2238">
      <c r="A2238" s="216" t="s">
        <v>6036</v>
      </c>
      <c r="B2238" s="216" t="s">
        <v>6028</v>
      </c>
      <c r="C2238" s="216" t="s">
        <v>6030</v>
      </c>
      <c r="D2238" s="217">
        <v>45454.72570601852</v>
      </c>
      <c r="E2238" s="217"/>
      <c r="F2238" s="218" t="s">
        <v>651</v>
      </c>
      <c r="G2238" s="219" t="s">
        <v>3285</v>
      </c>
      <c r="H2238" s="216" t="s">
        <v>265</v>
      </c>
      <c r="I2238" s="216" t="s">
        <v>6031</v>
      </c>
    </row>
    <row r="2239">
      <c r="A2239" s="212" t="s">
        <v>6037</v>
      </c>
      <c r="B2239" s="212" t="s">
        <v>6028</v>
      </c>
      <c r="C2239" s="212" t="s">
        <v>6038</v>
      </c>
      <c r="D2239" s="213">
        <v>45435.75430555556</v>
      </c>
      <c r="E2239" s="213">
        <v>45437.316400462965</v>
      </c>
      <c r="F2239" s="214" t="s">
        <v>465</v>
      </c>
      <c r="G2239" s="215" t="s">
        <v>6039</v>
      </c>
      <c r="H2239" s="212" t="s">
        <v>398</v>
      </c>
      <c r="I2239" s="212" t="s">
        <v>1512</v>
      </c>
    </row>
    <row r="2240">
      <c r="A2240" s="212" t="s">
        <v>6040</v>
      </c>
      <c r="B2240" s="212" t="s">
        <v>6041</v>
      </c>
      <c r="C2240" s="212" t="s">
        <v>6042</v>
      </c>
      <c r="D2240" s="213">
        <v>45447.65430555555</v>
      </c>
      <c r="E2240" s="213">
        <v>45448.375069444446</v>
      </c>
      <c r="F2240" s="214" t="s">
        <v>281</v>
      </c>
      <c r="G2240" s="215" t="s">
        <v>1755</v>
      </c>
      <c r="H2240" s="212" t="s">
        <v>416</v>
      </c>
      <c r="I2240" s="212" t="s">
        <v>6043</v>
      </c>
    </row>
    <row r="2241">
      <c r="A2241" s="216" t="s">
        <v>6044</v>
      </c>
      <c r="B2241" s="216" t="s">
        <v>6045</v>
      </c>
      <c r="C2241" s="216" t="s">
        <v>6046</v>
      </c>
      <c r="D2241" s="217">
        <v>45444.76440972222</v>
      </c>
      <c r="E2241" s="217">
        <v>45445.22572916667</v>
      </c>
      <c r="F2241" s="218" t="s">
        <v>658</v>
      </c>
      <c r="G2241" s="219" t="s">
        <v>6047</v>
      </c>
      <c r="H2241" s="216" t="s">
        <v>259</v>
      </c>
      <c r="I2241" s="216" t="s">
        <v>313</v>
      </c>
    </row>
    <row r="2242">
      <c r="A2242" s="212" t="s">
        <v>6048</v>
      </c>
      <c r="B2242" s="212" t="s">
        <v>6049</v>
      </c>
      <c r="C2242" s="212" t="s">
        <v>6050</v>
      </c>
      <c r="D2242" s="213">
        <v>45496.82130787037</v>
      </c>
      <c r="E2242" s="213"/>
      <c r="F2242" s="214" t="s">
        <v>431</v>
      </c>
      <c r="G2242" s="215" t="s">
        <v>6051</v>
      </c>
      <c r="H2242" s="212" t="s">
        <v>337</v>
      </c>
      <c r="I2242" s="212" t="s">
        <v>1673</v>
      </c>
    </row>
    <row r="2243">
      <c r="A2243" s="216" t="s">
        <v>6052</v>
      </c>
      <c r="B2243" s="216" t="s">
        <v>6049</v>
      </c>
      <c r="C2243" s="216" t="s">
        <v>6050</v>
      </c>
      <c r="D2243" s="217">
        <v>45496.79351851852</v>
      </c>
      <c r="E2243" s="217"/>
      <c r="F2243" s="218" t="s">
        <v>706</v>
      </c>
      <c r="G2243" s="219" t="s">
        <v>6053</v>
      </c>
      <c r="H2243" s="216" t="s">
        <v>337</v>
      </c>
      <c r="I2243" s="216" t="s">
        <v>1673</v>
      </c>
    </row>
    <row r="2244">
      <c r="A2244" s="216" t="s">
        <v>6054</v>
      </c>
      <c r="B2244" s="216" t="s">
        <v>6055</v>
      </c>
      <c r="C2244" s="216" t="s">
        <v>6056</v>
      </c>
      <c r="D2244" s="217">
        <v>45541.46668981481</v>
      </c>
      <c r="E2244" s="217"/>
      <c r="F2244" s="218" t="s">
        <v>291</v>
      </c>
      <c r="G2244" s="219" t="s">
        <v>292</v>
      </c>
      <c r="H2244" s="216" t="s">
        <v>259</v>
      </c>
      <c r="I2244" s="216" t="s">
        <v>2071</v>
      </c>
    </row>
    <row r="2245">
      <c r="A2245" s="216" t="s">
        <v>6057</v>
      </c>
      <c r="B2245" s="216" t="s">
        <v>6058</v>
      </c>
      <c r="C2245" s="216" t="s">
        <v>6059</v>
      </c>
      <c r="D2245" s="217">
        <v>45508.594363425924</v>
      </c>
      <c r="E2245" s="217"/>
      <c r="F2245" s="218" t="s">
        <v>6060</v>
      </c>
      <c r="G2245" s="219" t="s">
        <v>6061</v>
      </c>
      <c r="H2245" s="216" t="s">
        <v>259</v>
      </c>
      <c r="I2245" s="216" t="s">
        <v>2391</v>
      </c>
    </row>
    <row r="2246">
      <c r="A2246" s="216" t="s">
        <v>6062</v>
      </c>
      <c r="B2246" s="216" t="s">
        <v>6063</v>
      </c>
      <c r="C2246" s="216" t="s">
        <v>6064</v>
      </c>
      <c r="D2246" s="217">
        <v>45536.87550925926</v>
      </c>
      <c r="E2246" s="217"/>
      <c r="F2246" s="218" t="s">
        <v>765</v>
      </c>
      <c r="G2246" s="219" t="s">
        <v>6065</v>
      </c>
      <c r="H2246" s="216" t="s">
        <v>259</v>
      </c>
      <c r="I2246" s="216" t="s">
        <v>3013</v>
      </c>
    </row>
    <row r="2247">
      <c r="A2247" s="216" t="s">
        <v>6066</v>
      </c>
      <c r="B2247" s="216" t="s">
        <v>6063</v>
      </c>
      <c r="C2247" s="216" t="s">
        <v>6064</v>
      </c>
      <c r="D2247" s="217">
        <v>45473.59547453704</v>
      </c>
      <c r="E2247" s="217"/>
      <c r="F2247" s="218" t="s">
        <v>1487</v>
      </c>
      <c r="G2247" s="219" t="s">
        <v>6067</v>
      </c>
      <c r="H2247" s="216" t="s">
        <v>259</v>
      </c>
      <c r="I2247" s="216" t="s">
        <v>3013</v>
      </c>
    </row>
    <row r="2248">
      <c r="A2248" s="216" t="s">
        <v>6068</v>
      </c>
      <c r="B2248" s="216" t="s">
        <v>6063</v>
      </c>
      <c r="C2248" s="216" t="s">
        <v>6064</v>
      </c>
      <c r="D2248" s="217">
        <v>45711.74957175926</v>
      </c>
      <c r="E2248" s="217">
        <v>45712.444606481484</v>
      </c>
      <c r="F2248" s="218" t="s">
        <v>317</v>
      </c>
      <c r="G2248" s="219" t="s">
        <v>6069</v>
      </c>
      <c r="H2248" s="216" t="s">
        <v>259</v>
      </c>
      <c r="I2248" s="216" t="s">
        <v>3013</v>
      </c>
    </row>
    <row r="2249">
      <c r="A2249" s="212" t="s">
        <v>6070</v>
      </c>
      <c r="B2249" s="212" t="s">
        <v>6063</v>
      </c>
      <c r="C2249" s="212" t="s">
        <v>6064</v>
      </c>
      <c r="D2249" s="213">
        <v>45707.647141203706</v>
      </c>
      <c r="E2249" s="213">
        <v>45707.72226851852</v>
      </c>
      <c r="F2249" s="214" t="s">
        <v>281</v>
      </c>
      <c r="G2249" s="215" t="s">
        <v>1285</v>
      </c>
      <c r="H2249" s="212" t="s">
        <v>259</v>
      </c>
      <c r="I2249" s="212" t="s">
        <v>3013</v>
      </c>
    </row>
    <row r="2250">
      <c r="A2250" s="216" t="s">
        <v>6071</v>
      </c>
      <c r="B2250" s="216" t="s">
        <v>6072</v>
      </c>
      <c r="C2250" s="216" t="s">
        <v>6073</v>
      </c>
      <c r="D2250" s="217">
        <v>45537.504479166666</v>
      </c>
      <c r="E2250" s="217"/>
      <c r="F2250" s="218" t="s">
        <v>5266</v>
      </c>
      <c r="G2250" s="219" t="s">
        <v>6074</v>
      </c>
      <c r="H2250" s="216" t="s">
        <v>5973</v>
      </c>
      <c r="I2250" s="216" t="s">
        <v>2314</v>
      </c>
    </row>
    <row r="2251">
      <c r="A2251" s="212" t="s">
        <v>6075</v>
      </c>
      <c r="B2251" s="212" t="s">
        <v>6076</v>
      </c>
      <c r="C2251" s="212" t="s">
        <v>6077</v>
      </c>
      <c r="D2251" s="213">
        <v>45506.82943287037</v>
      </c>
      <c r="E2251" s="213"/>
      <c r="F2251" s="214" t="s">
        <v>651</v>
      </c>
      <c r="G2251" s="215" t="s">
        <v>6078</v>
      </c>
      <c r="H2251" s="212" t="s">
        <v>259</v>
      </c>
      <c r="I2251" s="212" t="s">
        <v>467</v>
      </c>
    </row>
    <row r="2252">
      <c r="A2252" s="216" t="s">
        <v>6079</v>
      </c>
      <c r="B2252" s="216" t="s">
        <v>6080</v>
      </c>
      <c r="C2252" s="216" t="s">
        <v>6081</v>
      </c>
      <c r="D2252" s="217">
        <v>45703.50834490741</v>
      </c>
      <c r="E2252" s="217">
        <v>45703.5278587963</v>
      </c>
      <c r="F2252" s="218" t="s">
        <v>503</v>
      </c>
      <c r="G2252" s="219" t="s">
        <v>6082</v>
      </c>
      <c r="H2252" s="216" t="s">
        <v>252</v>
      </c>
      <c r="I2252" s="216" t="s">
        <v>567</v>
      </c>
    </row>
    <row r="2253">
      <c r="A2253" s="212" t="s">
        <v>6083</v>
      </c>
      <c r="B2253" s="212" t="s">
        <v>6080</v>
      </c>
      <c r="C2253" s="212" t="s">
        <v>6081</v>
      </c>
      <c r="D2253" s="213">
        <v>45745.66501157408</v>
      </c>
      <c r="E2253" s="213">
        <v>45745.68063657408</v>
      </c>
      <c r="F2253" s="214" t="s">
        <v>503</v>
      </c>
      <c r="G2253" s="215" t="s">
        <v>1853</v>
      </c>
      <c r="H2253" s="212" t="s">
        <v>252</v>
      </c>
      <c r="I2253" s="212" t="s">
        <v>567</v>
      </c>
    </row>
    <row r="2254">
      <c r="A2254" s="216" t="s">
        <v>6084</v>
      </c>
      <c r="B2254" s="216" t="s">
        <v>6085</v>
      </c>
      <c r="C2254" s="216" t="s">
        <v>6086</v>
      </c>
      <c r="D2254" s="217">
        <v>45745.86356481481</v>
      </c>
      <c r="E2254" s="217">
        <v>45745.8750462963</v>
      </c>
      <c r="F2254" s="218" t="s">
        <v>291</v>
      </c>
      <c r="G2254" s="219" t="s">
        <v>6087</v>
      </c>
      <c r="H2254" s="216" t="s">
        <v>265</v>
      </c>
      <c r="I2254" s="216" t="s">
        <v>2342</v>
      </c>
    </row>
    <row r="2255">
      <c r="A2255" s="212" t="s">
        <v>6088</v>
      </c>
      <c r="B2255" s="212" t="s">
        <v>6085</v>
      </c>
      <c r="C2255" s="212" t="s">
        <v>6086</v>
      </c>
      <c r="D2255" s="213">
        <v>45737.75231481482</v>
      </c>
      <c r="E2255" s="213">
        <v>45737.763969907406</v>
      </c>
      <c r="F2255" s="214" t="s">
        <v>291</v>
      </c>
      <c r="G2255" s="215" t="s">
        <v>1415</v>
      </c>
      <c r="H2255" s="212" t="s">
        <v>265</v>
      </c>
      <c r="I2255" s="212" t="s">
        <v>2342</v>
      </c>
    </row>
    <row r="2256">
      <c r="A2256" s="212" t="s">
        <v>6089</v>
      </c>
      <c r="B2256" s="212" t="s">
        <v>6090</v>
      </c>
      <c r="C2256" s="212" t="s">
        <v>6091</v>
      </c>
      <c r="D2256" s="213">
        <v>45706.56694444444</v>
      </c>
      <c r="E2256" s="213">
        <v>45706.69451388889</v>
      </c>
      <c r="F2256" s="214" t="s">
        <v>651</v>
      </c>
      <c r="G2256" s="215" t="s">
        <v>6092</v>
      </c>
      <c r="H2256" s="212" t="s">
        <v>356</v>
      </c>
      <c r="I2256" s="212" t="s">
        <v>1302</v>
      </c>
    </row>
    <row r="2257">
      <c r="A2257" s="212" t="s">
        <v>6093</v>
      </c>
      <c r="B2257" s="212" t="s">
        <v>6094</v>
      </c>
      <c r="C2257" s="212" t="s">
        <v>6095</v>
      </c>
      <c r="D2257" s="213">
        <v>45777.63144675926</v>
      </c>
      <c r="E2257" s="213">
        <v>45777.64241898148</v>
      </c>
      <c r="F2257" s="214" t="s">
        <v>872</v>
      </c>
      <c r="G2257" s="215" t="s">
        <v>6096</v>
      </c>
      <c r="H2257" s="212" t="s">
        <v>265</v>
      </c>
      <c r="I2257" s="212" t="s">
        <v>467</v>
      </c>
    </row>
    <row r="2258">
      <c r="A2258" s="216" t="s">
        <v>6097</v>
      </c>
      <c r="B2258" s="216" t="s">
        <v>6094</v>
      </c>
      <c r="C2258" s="216" t="s">
        <v>6098</v>
      </c>
      <c r="D2258" s="217">
        <v>45750.44540509259</v>
      </c>
      <c r="E2258" s="217">
        <v>45750.45490740741</v>
      </c>
      <c r="F2258" s="218" t="s">
        <v>722</v>
      </c>
      <c r="G2258" s="219" t="s">
        <v>6099</v>
      </c>
      <c r="H2258" s="216" t="s">
        <v>259</v>
      </c>
      <c r="I2258" s="216" t="s">
        <v>260</v>
      </c>
    </row>
    <row r="2259">
      <c r="A2259" s="212" t="s">
        <v>6100</v>
      </c>
      <c r="B2259" s="212" t="s">
        <v>6101</v>
      </c>
      <c r="C2259" s="212" t="s">
        <v>5521</v>
      </c>
      <c r="D2259" s="213">
        <v>45550.46189814815</v>
      </c>
      <c r="E2259" s="213"/>
      <c r="F2259" s="214" t="s">
        <v>1223</v>
      </c>
      <c r="G2259" s="215" t="s">
        <v>1224</v>
      </c>
      <c r="H2259" s="212" t="s">
        <v>259</v>
      </c>
      <c r="I2259" s="212" t="s">
        <v>4978</v>
      </c>
    </row>
    <row r="2260">
      <c r="A2260" s="212" t="s">
        <v>6102</v>
      </c>
      <c r="B2260" s="212" t="s">
        <v>6101</v>
      </c>
      <c r="C2260" s="212" t="s">
        <v>5521</v>
      </c>
      <c r="D2260" s="213">
        <v>45536.614074074074</v>
      </c>
      <c r="E2260" s="213"/>
      <c r="F2260" s="214" t="s">
        <v>6103</v>
      </c>
      <c r="G2260" s="215" t="s">
        <v>6104</v>
      </c>
      <c r="H2260" s="212" t="s">
        <v>259</v>
      </c>
      <c r="I2260" s="212" t="s">
        <v>4978</v>
      </c>
    </row>
    <row r="2261">
      <c r="A2261" s="229" t="s">
        <v>6105</v>
      </c>
      <c r="B2261" s="229" t="s">
        <v>6101</v>
      </c>
      <c r="C2261" s="229" t="s">
        <v>5521</v>
      </c>
      <c r="D2261" s="230">
        <v>45522.7387962963</v>
      </c>
      <c r="E2261" s="230"/>
      <c r="F2261" s="231" t="s">
        <v>6106</v>
      </c>
      <c r="G2261" s="232" t="s">
        <v>6107</v>
      </c>
      <c r="H2261" s="229" t="s">
        <v>259</v>
      </c>
      <c r="I2261" s="229" t="s">
        <v>4978</v>
      </c>
    </row>
    <row r="2262">
      <c r="A2262" s="229" t="s">
        <v>6108</v>
      </c>
      <c r="B2262" s="229" t="s">
        <v>6109</v>
      </c>
      <c r="C2262" s="229" t="s">
        <v>6110</v>
      </c>
      <c r="D2262" s="230">
        <v>45706.56799768518</v>
      </c>
      <c r="E2262" s="230">
        <v>45707.62856481481</v>
      </c>
      <c r="F2262" s="231" t="s">
        <v>281</v>
      </c>
      <c r="G2262" s="232" t="s">
        <v>3872</v>
      </c>
      <c r="H2262" s="229" t="s">
        <v>356</v>
      </c>
      <c r="I2262" s="229" t="s">
        <v>490</v>
      </c>
    </row>
    <row r="2263">
      <c r="A2263" s="229" t="s">
        <v>6111</v>
      </c>
      <c r="B2263" s="229" t="s">
        <v>6112</v>
      </c>
      <c r="C2263" s="229" t="s">
        <v>6113</v>
      </c>
      <c r="D2263" s="230">
        <v>45703.60377314815</v>
      </c>
      <c r="E2263" s="230">
        <v>45703.69451388889</v>
      </c>
      <c r="F2263" s="231" t="s">
        <v>431</v>
      </c>
      <c r="G2263" s="232" t="s">
        <v>2814</v>
      </c>
      <c r="H2263" s="229" t="s">
        <v>259</v>
      </c>
      <c r="I2263" s="229" t="s">
        <v>1673</v>
      </c>
    </row>
    <row r="2264">
      <c r="A2264" s="229" t="s">
        <v>6114</v>
      </c>
      <c r="B2264" s="229" t="s">
        <v>6115</v>
      </c>
      <c r="C2264" s="229" t="s">
        <v>6116</v>
      </c>
      <c r="D2264" s="230">
        <v>45549.75638888889</v>
      </c>
      <c r="E2264" s="230"/>
      <c r="F2264" s="231" t="s">
        <v>3550</v>
      </c>
      <c r="G2264" s="232" t="s">
        <v>3550</v>
      </c>
      <c r="H2264" s="229" t="s">
        <v>6117</v>
      </c>
      <c r="I2264" s="229" t="s">
        <v>963</v>
      </c>
    </row>
    <row r="2265">
      <c r="A2265" s="233" t="s">
        <v>6118</v>
      </c>
      <c r="B2265" s="233" t="s">
        <v>6119</v>
      </c>
      <c r="C2265" s="233" t="s">
        <v>6120</v>
      </c>
      <c r="D2265" s="234">
        <v>45536.76484953704</v>
      </c>
      <c r="E2265" s="234"/>
      <c r="F2265" s="235" t="s">
        <v>580</v>
      </c>
      <c r="G2265" s="236" t="s">
        <v>6121</v>
      </c>
      <c r="H2265" s="233" t="s">
        <v>3516</v>
      </c>
      <c r="I2265" s="233" t="s">
        <v>6043</v>
      </c>
    </row>
    <row r="2266">
      <c r="A2266" s="229" t="s">
        <v>6122</v>
      </c>
      <c r="B2266" s="229" t="s">
        <v>6123</v>
      </c>
      <c r="C2266" s="229" t="s">
        <v>6124</v>
      </c>
      <c r="D2266" s="230">
        <v>45707.71063657408</v>
      </c>
      <c r="E2266" s="230">
        <v>45707.75011574074</v>
      </c>
      <c r="F2266" s="231" t="s">
        <v>6125</v>
      </c>
      <c r="G2266" s="232" t="s">
        <v>6126</v>
      </c>
      <c r="H2266" s="229" t="s">
        <v>356</v>
      </c>
      <c r="I2266" s="229" t="s">
        <v>1302</v>
      </c>
    </row>
    <row r="2267">
      <c r="A2267" s="233" t="s">
        <v>6127</v>
      </c>
      <c r="B2267" s="233" t="s">
        <v>6128</v>
      </c>
      <c r="C2267" s="233" t="s">
        <v>6129</v>
      </c>
      <c r="D2267" s="234">
        <v>45706.579930555556</v>
      </c>
      <c r="E2267" s="234">
        <v>45706.62159722222</v>
      </c>
      <c r="F2267" s="235" t="s">
        <v>459</v>
      </c>
      <c r="G2267" s="236" t="s">
        <v>6130</v>
      </c>
      <c r="H2267" s="233" t="s">
        <v>356</v>
      </c>
      <c r="I2267" s="233" t="s">
        <v>1302</v>
      </c>
    </row>
    <row r="2268">
      <c r="A2268" s="229" t="s">
        <v>6131</v>
      </c>
      <c r="B2268" s="229" t="s">
        <v>6132</v>
      </c>
      <c r="C2268" s="229" t="s">
        <v>6133</v>
      </c>
      <c r="D2268" s="230">
        <v>45706.55914351852</v>
      </c>
      <c r="E2268" s="230">
        <v>45714.416712962964</v>
      </c>
      <c r="F2268" s="231" t="s">
        <v>281</v>
      </c>
      <c r="G2268" s="232" t="s">
        <v>3872</v>
      </c>
      <c r="H2268" s="229" t="s">
        <v>356</v>
      </c>
      <c r="I2268" s="229" t="s">
        <v>1302</v>
      </c>
    </row>
    <row r="2269">
      <c r="A2269" s="233" t="s">
        <v>6134</v>
      </c>
      <c r="B2269" s="233" t="s">
        <v>6135</v>
      </c>
      <c r="C2269" s="233" t="s">
        <v>6136</v>
      </c>
      <c r="D2269" s="234">
        <v>45745.766377314816</v>
      </c>
      <c r="E2269" s="234">
        <v>45745.78480324074</v>
      </c>
      <c r="F2269" s="235" t="s">
        <v>538</v>
      </c>
      <c r="G2269" s="236" t="s">
        <v>538</v>
      </c>
      <c r="H2269" s="233" t="s">
        <v>1632</v>
      </c>
      <c r="I2269" s="233" t="s">
        <v>271</v>
      </c>
    </row>
    <row r="2270">
      <c r="A2270" s="229" t="s">
        <v>6137</v>
      </c>
      <c r="B2270" s="229" t="s">
        <v>6138</v>
      </c>
      <c r="C2270" s="229" t="s">
        <v>6139</v>
      </c>
      <c r="D2270" s="230">
        <v>45539.803252314814</v>
      </c>
      <c r="E2270" s="230"/>
      <c r="F2270" s="231" t="s">
        <v>281</v>
      </c>
      <c r="G2270" s="232" t="s">
        <v>281</v>
      </c>
      <c r="H2270" s="229" t="s">
        <v>2715</v>
      </c>
      <c r="I2270" s="229" t="s">
        <v>2716</v>
      </c>
    </row>
    <row r="2271">
      <c r="A2271" s="229" t="s">
        <v>6140</v>
      </c>
      <c r="B2271" s="229" t="s">
        <v>6138</v>
      </c>
      <c r="C2271" s="229" t="s">
        <v>2422</v>
      </c>
      <c r="D2271" s="230">
        <v>45494.51819444444</v>
      </c>
      <c r="E2271" s="230"/>
      <c r="F2271" s="231" t="s">
        <v>281</v>
      </c>
      <c r="G2271" s="232" t="s">
        <v>6141</v>
      </c>
      <c r="H2271" s="229" t="s">
        <v>259</v>
      </c>
      <c r="I2271" s="229" t="s">
        <v>3685</v>
      </c>
    </row>
    <row r="2272">
      <c r="A2272" s="229" t="s">
        <v>6142</v>
      </c>
      <c r="B2272" s="229" t="s">
        <v>6138</v>
      </c>
      <c r="C2272" s="229" t="s">
        <v>6143</v>
      </c>
      <c r="D2272" s="230">
        <v>45705.47739583333</v>
      </c>
      <c r="E2272" s="230">
        <v>45707.451469907406</v>
      </c>
      <c r="F2272" s="231" t="s">
        <v>281</v>
      </c>
      <c r="G2272" s="232" t="s">
        <v>281</v>
      </c>
      <c r="H2272" s="229" t="s">
        <v>1355</v>
      </c>
      <c r="I2272" s="229" t="s">
        <v>2716</v>
      </c>
    </row>
    <row r="2273">
      <c r="A2273" s="233" t="s">
        <v>6144</v>
      </c>
      <c r="B2273" s="233" t="s">
        <v>6138</v>
      </c>
      <c r="C2273" s="233" t="s">
        <v>6145</v>
      </c>
      <c r="D2273" s="234">
        <v>45746.868368055555</v>
      </c>
      <c r="E2273" s="234">
        <v>45747.32293981482</v>
      </c>
      <c r="F2273" s="235" t="s">
        <v>250</v>
      </c>
      <c r="G2273" s="236" t="s">
        <v>250</v>
      </c>
      <c r="H2273" s="233" t="s">
        <v>2715</v>
      </c>
      <c r="I2273" s="233" t="s">
        <v>3692</v>
      </c>
    </row>
    <row r="2274">
      <c r="A2274" s="229" t="s">
        <v>6146</v>
      </c>
      <c r="B2274" s="229" t="s">
        <v>6138</v>
      </c>
      <c r="C2274" s="229" t="s">
        <v>6147</v>
      </c>
      <c r="D2274" s="230">
        <v>45734.74553240741</v>
      </c>
      <c r="E2274" s="230">
        <v>45734.760462962964</v>
      </c>
      <c r="F2274" s="231" t="s">
        <v>1510</v>
      </c>
      <c r="G2274" s="232" t="s">
        <v>1510</v>
      </c>
      <c r="H2274" s="229" t="s">
        <v>5339</v>
      </c>
      <c r="I2274" s="229" t="s">
        <v>2716</v>
      </c>
    </row>
    <row r="2275">
      <c r="A2275" s="233" t="s">
        <v>6148</v>
      </c>
      <c r="B2275" s="233" t="s">
        <v>6138</v>
      </c>
      <c r="C2275" s="233" t="s">
        <v>6149</v>
      </c>
      <c r="D2275" s="234">
        <v>45761.44835648148</v>
      </c>
      <c r="E2275" s="234">
        <v>45761.47587962963</v>
      </c>
      <c r="F2275" s="235" t="s">
        <v>431</v>
      </c>
      <c r="G2275" s="236" t="s">
        <v>431</v>
      </c>
      <c r="H2275" s="233" t="s">
        <v>3231</v>
      </c>
      <c r="I2275" s="233" t="s">
        <v>2716</v>
      </c>
    </row>
    <row r="2276">
      <c r="A2276" s="229" t="s">
        <v>6150</v>
      </c>
      <c r="B2276" s="229" t="s">
        <v>6138</v>
      </c>
      <c r="C2276" s="229" t="s">
        <v>6143</v>
      </c>
      <c r="D2276" s="230">
        <v>45761.447118055556</v>
      </c>
      <c r="E2276" s="230">
        <v>45762.514085648145</v>
      </c>
      <c r="F2276" s="231" t="s">
        <v>1749</v>
      </c>
      <c r="G2276" s="232" t="s">
        <v>1749</v>
      </c>
      <c r="H2276" s="229" t="s">
        <v>3231</v>
      </c>
      <c r="I2276" s="229" t="s">
        <v>2716</v>
      </c>
    </row>
    <row r="2277">
      <c r="A2277" s="233" t="s">
        <v>6151</v>
      </c>
      <c r="B2277" s="233" t="s">
        <v>6138</v>
      </c>
      <c r="C2277" s="233" t="s">
        <v>6143</v>
      </c>
      <c r="D2277" s="234">
        <v>45761.44645833333</v>
      </c>
      <c r="E2277" s="237"/>
      <c r="F2277" s="235" t="s">
        <v>391</v>
      </c>
      <c r="G2277" s="236" t="s">
        <v>391</v>
      </c>
      <c r="H2277" s="233" t="s">
        <v>2715</v>
      </c>
      <c r="I2277" s="233" t="s">
        <v>2716</v>
      </c>
    </row>
    <row r="2278">
      <c r="A2278" s="229" t="s">
        <v>6152</v>
      </c>
      <c r="B2278" s="229" t="s">
        <v>6153</v>
      </c>
      <c r="C2278" s="229" t="s">
        <v>6154</v>
      </c>
      <c r="D2278" s="230">
        <v>45538.83016203704</v>
      </c>
      <c r="E2278" s="230"/>
      <c r="F2278" s="231" t="s">
        <v>6155</v>
      </c>
      <c r="G2278" s="232" t="s">
        <v>6156</v>
      </c>
      <c r="H2278" s="229" t="s">
        <v>259</v>
      </c>
      <c r="I2278" s="229" t="s">
        <v>6157</v>
      </c>
    </row>
    <row r="2279">
      <c r="A2279" s="238" t="s">
        <v>6158</v>
      </c>
      <c r="B2279" s="238" t="s">
        <v>6159</v>
      </c>
      <c r="C2279" s="238" t="s">
        <v>6160</v>
      </c>
      <c r="D2279" s="239">
        <v>45548.86394675926</v>
      </c>
      <c r="E2279" s="239"/>
      <c r="F2279" s="240" t="s">
        <v>498</v>
      </c>
      <c r="G2279" s="241" t="s">
        <v>6161</v>
      </c>
      <c r="H2279" s="238" t="s">
        <v>259</v>
      </c>
      <c r="I2279" s="238" t="s">
        <v>461</v>
      </c>
    </row>
    <row r="2280">
      <c r="A2280" s="233" t="s">
        <v>6162</v>
      </c>
      <c r="B2280" s="233" t="s">
        <v>6159</v>
      </c>
      <c r="C2280" s="233" t="s">
        <v>6163</v>
      </c>
      <c r="D2280" s="234">
        <v>45548.86378472222</v>
      </c>
      <c r="E2280" s="234"/>
      <c r="F2280" s="235" t="s">
        <v>1124</v>
      </c>
      <c r="G2280" s="236" t="s">
        <v>6164</v>
      </c>
      <c r="H2280" s="233" t="s">
        <v>259</v>
      </c>
      <c r="I2280" s="233" t="s">
        <v>449</v>
      </c>
    </row>
    <row r="2281">
      <c r="A2281" s="229" t="s">
        <v>6165</v>
      </c>
      <c r="B2281" s="229" t="s">
        <v>6159</v>
      </c>
      <c r="C2281" s="229" t="s">
        <v>6163</v>
      </c>
      <c r="D2281" s="230">
        <v>45534.844409722224</v>
      </c>
      <c r="E2281" s="230"/>
      <c r="F2281" s="231" t="s">
        <v>1124</v>
      </c>
      <c r="G2281" s="232" t="s">
        <v>6166</v>
      </c>
      <c r="H2281" s="229" t="s">
        <v>259</v>
      </c>
      <c r="I2281" s="229" t="s">
        <v>449</v>
      </c>
    </row>
    <row r="2282">
      <c r="A2282" s="229" t="s">
        <v>6167</v>
      </c>
      <c r="B2282" s="229" t="s">
        <v>6159</v>
      </c>
      <c r="C2282" s="229" t="s">
        <v>6160</v>
      </c>
      <c r="D2282" s="230">
        <v>45528.595717592594</v>
      </c>
      <c r="E2282" s="230"/>
      <c r="F2282" s="231" t="s">
        <v>498</v>
      </c>
      <c r="G2282" s="232" t="s">
        <v>5516</v>
      </c>
      <c r="H2282" s="229" t="s">
        <v>259</v>
      </c>
      <c r="I2282" s="229" t="s">
        <v>461</v>
      </c>
    </row>
    <row r="2283">
      <c r="A2283" s="233" t="s">
        <v>6168</v>
      </c>
      <c r="B2283" s="233" t="s">
        <v>6159</v>
      </c>
      <c r="C2283" s="233" t="s">
        <v>6163</v>
      </c>
      <c r="D2283" s="234">
        <v>45528.59512731482</v>
      </c>
      <c r="E2283" s="234"/>
      <c r="F2283" s="235" t="s">
        <v>1124</v>
      </c>
      <c r="G2283" s="236" t="s">
        <v>6169</v>
      </c>
      <c r="H2283" s="233" t="s">
        <v>259</v>
      </c>
      <c r="I2283" s="233" t="s">
        <v>449</v>
      </c>
    </row>
    <row r="2284">
      <c r="A2284" s="229" t="s">
        <v>6170</v>
      </c>
      <c r="B2284" s="229" t="s">
        <v>6159</v>
      </c>
      <c r="C2284" s="229" t="s">
        <v>6163</v>
      </c>
      <c r="D2284" s="230">
        <v>45492.90355324074</v>
      </c>
      <c r="E2284" s="230"/>
      <c r="F2284" s="231" t="s">
        <v>1124</v>
      </c>
      <c r="G2284" s="232" t="s">
        <v>3074</v>
      </c>
      <c r="H2284" s="229" t="s">
        <v>259</v>
      </c>
      <c r="I2284" s="229" t="s">
        <v>449</v>
      </c>
    </row>
    <row r="2285">
      <c r="A2285" s="233" t="s">
        <v>6170</v>
      </c>
      <c r="B2285" s="233" t="s">
        <v>6159</v>
      </c>
      <c r="C2285" s="233" t="s">
        <v>6163</v>
      </c>
      <c r="D2285" s="234">
        <v>45492.90355324074</v>
      </c>
      <c r="E2285" s="234"/>
      <c r="F2285" s="235" t="s">
        <v>1124</v>
      </c>
      <c r="G2285" s="236" t="s">
        <v>3074</v>
      </c>
      <c r="H2285" s="233" t="s">
        <v>259</v>
      </c>
      <c r="I2285" s="233" t="s">
        <v>449</v>
      </c>
    </row>
    <row r="2286">
      <c r="A2286" s="233" t="s">
        <v>6171</v>
      </c>
      <c r="B2286" s="233" t="s">
        <v>6159</v>
      </c>
      <c r="C2286" s="233" t="s">
        <v>6163</v>
      </c>
      <c r="D2286" s="234">
        <v>45485.89708333334</v>
      </c>
      <c r="E2286" s="234"/>
      <c r="F2286" s="235" t="s">
        <v>1124</v>
      </c>
      <c r="G2286" s="236" t="s">
        <v>1133</v>
      </c>
      <c r="H2286" s="233" t="s">
        <v>259</v>
      </c>
      <c r="I2286" s="233" t="s">
        <v>449</v>
      </c>
    </row>
    <row r="2287">
      <c r="A2287" s="233" t="s">
        <v>6170</v>
      </c>
      <c r="B2287" s="233" t="s">
        <v>6159</v>
      </c>
      <c r="C2287" s="233" t="s">
        <v>6163</v>
      </c>
      <c r="D2287" s="234">
        <v>45492.90355324074</v>
      </c>
      <c r="E2287" s="234"/>
      <c r="F2287" s="235" t="s">
        <v>1124</v>
      </c>
      <c r="G2287" s="236" t="s">
        <v>3074</v>
      </c>
      <c r="H2287" s="233" t="s">
        <v>259</v>
      </c>
      <c r="I2287" s="233" t="s">
        <v>449</v>
      </c>
    </row>
    <row r="2288">
      <c r="A2288" s="233" t="s">
        <v>6171</v>
      </c>
      <c r="B2288" s="233" t="s">
        <v>6159</v>
      </c>
      <c r="C2288" s="233" t="s">
        <v>6163</v>
      </c>
      <c r="D2288" s="234">
        <v>45485.89708333334</v>
      </c>
      <c r="E2288" s="234"/>
      <c r="F2288" s="235" t="s">
        <v>1124</v>
      </c>
      <c r="G2288" s="236" t="s">
        <v>1133</v>
      </c>
      <c r="H2288" s="233" t="s">
        <v>259</v>
      </c>
      <c r="I2288" s="233" t="s">
        <v>449</v>
      </c>
    </row>
    <row r="2289">
      <c r="A2289" s="233" t="s">
        <v>6172</v>
      </c>
      <c r="B2289" s="233" t="s">
        <v>6159</v>
      </c>
      <c r="C2289" s="233" t="s">
        <v>6160</v>
      </c>
      <c r="D2289" s="234">
        <v>45478.92690972222</v>
      </c>
      <c r="E2289" s="234"/>
      <c r="F2289" s="235" t="s">
        <v>498</v>
      </c>
      <c r="G2289" s="236" t="s">
        <v>6173</v>
      </c>
      <c r="H2289" s="233" t="s">
        <v>259</v>
      </c>
      <c r="I2289" s="233" t="s">
        <v>461</v>
      </c>
    </row>
    <row r="2290">
      <c r="A2290" s="229" t="s">
        <v>6174</v>
      </c>
      <c r="B2290" s="229" t="s">
        <v>6159</v>
      </c>
      <c r="C2290" s="229" t="s">
        <v>6163</v>
      </c>
      <c r="D2290" s="230">
        <v>45478.92637731481</v>
      </c>
      <c r="E2290" s="230"/>
      <c r="F2290" s="231" t="s">
        <v>1124</v>
      </c>
      <c r="G2290" s="232" t="s">
        <v>569</v>
      </c>
      <c r="H2290" s="229" t="s">
        <v>259</v>
      </c>
      <c r="I2290" s="229" t="s">
        <v>449</v>
      </c>
    </row>
    <row r="2291">
      <c r="A2291" s="229" t="s">
        <v>6175</v>
      </c>
      <c r="B2291" s="229" t="s">
        <v>6159</v>
      </c>
      <c r="C2291" s="229" t="s">
        <v>6163</v>
      </c>
      <c r="D2291" s="230">
        <v>45464.842673611114</v>
      </c>
      <c r="E2291" s="230"/>
      <c r="F2291" s="231" t="s">
        <v>1124</v>
      </c>
      <c r="G2291" s="232" t="s">
        <v>569</v>
      </c>
      <c r="H2291" s="229" t="s">
        <v>259</v>
      </c>
      <c r="I2291" s="229" t="s">
        <v>449</v>
      </c>
    </row>
    <row r="2292">
      <c r="A2292" s="233" t="s">
        <v>6176</v>
      </c>
      <c r="B2292" s="233" t="s">
        <v>6159</v>
      </c>
      <c r="C2292" s="233" t="s">
        <v>6163</v>
      </c>
      <c r="D2292" s="234">
        <v>45436.88475694445</v>
      </c>
      <c r="E2292" s="234">
        <v>45437.253587962965</v>
      </c>
      <c r="F2292" s="235" t="s">
        <v>1124</v>
      </c>
      <c r="G2292" s="236" t="s">
        <v>6177</v>
      </c>
      <c r="H2292" s="233" t="s">
        <v>259</v>
      </c>
      <c r="I2292" s="233" t="s">
        <v>449</v>
      </c>
    </row>
    <row r="2293">
      <c r="A2293" s="229" t="s">
        <v>6178</v>
      </c>
      <c r="B2293" s="229" t="s">
        <v>6159</v>
      </c>
      <c r="C2293" s="229" t="s">
        <v>6163</v>
      </c>
      <c r="D2293" s="230">
        <v>45710.63945601852</v>
      </c>
      <c r="E2293" s="230">
        <v>45711.63208333333</v>
      </c>
      <c r="F2293" s="231" t="s">
        <v>339</v>
      </c>
      <c r="G2293" s="232" t="s">
        <v>996</v>
      </c>
      <c r="H2293" s="229" t="s">
        <v>259</v>
      </c>
      <c r="I2293" s="229" t="s">
        <v>449</v>
      </c>
    </row>
    <row r="2294">
      <c r="A2294" s="229" t="s">
        <v>6179</v>
      </c>
      <c r="B2294" s="229" t="s">
        <v>6159</v>
      </c>
      <c r="C2294" s="229" t="s">
        <v>6163</v>
      </c>
      <c r="D2294" s="230">
        <v>45737.83782407407</v>
      </c>
      <c r="E2294" s="230">
        <v>45738.4828125</v>
      </c>
      <c r="F2294" s="231" t="s">
        <v>1124</v>
      </c>
      <c r="G2294" s="232" t="s">
        <v>6180</v>
      </c>
      <c r="H2294" s="229" t="s">
        <v>259</v>
      </c>
      <c r="I2294" s="229" t="s">
        <v>449</v>
      </c>
    </row>
    <row r="2295">
      <c r="A2295" s="229" t="s">
        <v>6181</v>
      </c>
      <c r="B2295" s="229" t="s">
        <v>6182</v>
      </c>
      <c r="C2295" s="229" t="s">
        <v>6183</v>
      </c>
      <c r="D2295" s="230">
        <v>45760.43115740741</v>
      </c>
      <c r="E2295" s="230">
        <v>45760.69107638889</v>
      </c>
      <c r="F2295" s="231" t="s">
        <v>6184</v>
      </c>
      <c r="G2295" s="232" t="s">
        <v>6185</v>
      </c>
      <c r="H2295" s="229" t="s">
        <v>346</v>
      </c>
      <c r="I2295" s="229" t="s">
        <v>284</v>
      </c>
    </row>
    <row r="2296">
      <c r="A2296" s="233" t="s">
        <v>6186</v>
      </c>
      <c r="B2296" s="233" t="s">
        <v>6187</v>
      </c>
      <c r="C2296" s="233" t="s">
        <v>6188</v>
      </c>
      <c r="D2296" s="234">
        <v>45501.62851851852</v>
      </c>
      <c r="E2296" s="234"/>
      <c r="F2296" s="235" t="s">
        <v>509</v>
      </c>
      <c r="G2296" s="236" t="s">
        <v>6189</v>
      </c>
      <c r="H2296" s="233" t="s">
        <v>356</v>
      </c>
      <c r="I2296" s="233" t="s">
        <v>284</v>
      </c>
    </row>
    <row r="2297">
      <c r="A2297" s="233" t="s">
        <v>6190</v>
      </c>
      <c r="B2297" s="233" t="s">
        <v>6187</v>
      </c>
      <c r="C2297" s="233" t="s">
        <v>4019</v>
      </c>
      <c r="D2297" s="234">
        <v>45711.557442129626</v>
      </c>
      <c r="E2297" s="234">
        <v>45711.642488425925</v>
      </c>
      <c r="F2297" s="235" t="s">
        <v>3057</v>
      </c>
      <c r="G2297" s="236" t="s">
        <v>6191</v>
      </c>
      <c r="H2297" s="233" t="s">
        <v>346</v>
      </c>
      <c r="I2297" s="233" t="s">
        <v>284</v>
      </c>
    </row>
    <row r="2298">
      <c r="A2298" s="229" t="s">
        <v>6192</v>
      </c>
      <c r="B2298" s="229" t="s">
        <v>6187</v>
      </c>
      <c r="C2298" s="229" t="s">
        <v>4019</v>
      </c>
      <c r="D2298" s="230">
        <v>45709.62599537037</v>
      </c>
      <c r="E2298" s="230">
        <v>45709.656331018516</v>
      </c>
      <c r="F2298" s="231" t="s">
        <v>715</v>
      </c>
      <c r="G2298" s="232" t="s">
        <v>6193</v>
      </c>
      <c r="H2298" s="229" t="s">
        <v>346</v>
      </c>
      <c r="I2298" s="229" t="s">
        <v>284</v>
      </c>
    </row>
    <row r="2299">
      <c r="A2299" s="229" t="s">
        <v>6194</v>
      </c>
      <c r="B2299" s="229" t="s">
        <v>6187</v>
      </c>
      <c r="C2299" s="229" t="s">
        <v>6195</v>
      </c>
      <c r="D2299" s="230">
        <v>45746.88395833333</v>
      </c>
      <c r="E2299" s="230">
        <v>45747.70512731482</v>
      </c>
      <c r="F2299" s="231" t="s">
        <v>350</v>
      </c>
      <c r="G2299" s="232" t="s">
        <v>6196</v>
      </c>
      <c r="H2299" s="229" t="s">
        <v>346</v>
      </c>
      <c r="I2299" s="229" t="s">
        <v>284</v>
      </c>
    </row>
    <row r="2300">
      <c r="A2300" s="233" t="s">
        <v>6197</v>
      </c>
      <c r="B2300" s="233" t="s">
        <v>6187</v>
      </c>
      <c r="C2300" s="233" t="s">
        <v>6198</v>
      </c>
      <c r="D2300" s="234">
        <v>45774.83766203704</v>
      </c>
      <c r="E2300" s="234">
        <v>45775.798784722225</v>
      </c>
      <c r="F2300" s="235" t="s">
        <v>396</v>
      </c>
      <c r="G2300" s="236" t="s">
        <v>6199</v>
      </c>
      <c r="H2300" s="233" t="s">
        <v>356</v>
      </c>
      <c r="I2300" s="233" t="s">
        <v>284</v>
      </c>
    </row>
    <row r="2301">
      <c r="A2301" s="233" t="s">
        <v>6200</v>
      </c>
      <c r="B2301" s="233" t="s">
        <v>6187</v>
      </c>
      <c r="C2301" s="233" t="s">
        <v>6201</v>
      </c>
      <c r="D2301" s="234">
        <v>45774.545578703706</v>
      </c>
      <c r="E2301" s="234">
        <v>45774.55920138889</v>
      </c>
      <c r="F2301" s="235" t="s">
        <v>396</v>
      </c>
      <c r="G2301" s="236" t="s">
        <v>6202</v>
      </c>
      <c r="H2301" s="233" t="s">
        <v>356</v>
      </c>
      <c r="I2301" s="233" t="s">
        <v>284</v>
      </c>
    </row>
    <row r="2302">
      <c r="A2302" s="229" t="s">
        <v>6203</v>
      </c>
      <c r="B2302" s="229" t="s">
        <v>6187</v>
      </c>
      <c r="C2302" s="229" t="s">
        <v>6204</v>
      </c>
      <c r="D2302" s="230">
        <v>45759.75431712963</v>
      </c>
      <c r="E2302" s="230">
        <v>45759.83347222222</v>
      </c>
      <c r="F2302" s="231" t="s">
        <v>396</v>
      </c>
      <c r="G2302" s="232" t="s">
        <v>6205</v>
      </c>
      <c r="H2302" s="229" t="s">
        <v>356</v>
      </c>
      <c r="I2302" s="229" t="s">
        <v>284</v>
      </c>
    </row>
    <row r="2303">
      <c r="A2303" s="229" t="s">
        <v>6206</v>
      </c>
      <c r="B2303" s="229" t="s">
        <v>6207</v>
      </c>
      <c r="C2303" s="229" t="s">
        <v>6207</v>
      </c>
      <c r="D2303" s="230">
        <v>45549.80626157407</v>
      </c>
      <c r="E2303" s="230"/>
      <c r="F2303" s="231" t="s">
        <v>580</v>
      </c>
      <c r="G2303" s="232" t="s">
        <v>1245</v>
      </c>
      <c r="H2303" s="229" t="s">
        <v>811</v>
      </c>
      <c r="I2303" s="229" t="s">
        <v>357</v>
      </c>
    </row>
    <row r="2304">
      <c r="A2304" s="229" t="s">
        <v>6208</v>
      </c>
      <c r="B2304" s="229" t="s">
        <v>6207</v>
      </c>
      <c r="C2304" s="229" t="s">
        <v>6207</v>
      </c>
      <c r="D2304" s="230">
        <v>45536.43991898148</v>
      </c>
      <c r="E2304" s="230"/>
      <c r="F2304" s="231" t="s">
        <v>580</v>
      </c>
      <c r="G2304" s="232" t="s">
        <v>6209</v>
      </c>
      <c r="H2304" s="229" t="s">
        <v>811</v>
      </c>
      <c r="I2304" s="229" t="s">
        <v>357</v>
      </c>
    </row>
    <row r="2305">
      <c r="A2305" s="233" t="s">
        <v>6210</v>
      </c>
      <c r="B2305" s="233" t="s">
        <v>6207</v>
      </c>
      <c r="C2305" s="233" t="s">
        <v>6207</v>
      </c>
      <c r="D2305" s="234">
        <v>45487.67648148148</v>
      </c>
      <c r="E2305" s="234"/>
      <c r="F2305" s="235" t="s">
        <v>580</v>
      </c>
      <c r="G2305" s="236" t="s">
        <v>6211</v>
      </c>
      <c r="H2305" s="233" t="s">
        <v>811</v>
      </c>
      <c r="I2305" s="233" t="s">
        <v>357</v>
      </c>
    </row>
    <row r="2306">
      <c r="A2306" s="233" t="s">
        <v>6210</v>
      </c>
      <c r="B2306" s="233" t="s">
        <v>6207</v>
      </c>
      <c r="C2306" s="233" t="s">
        <v>6207</v>
      </c>
      <c r="D2306" s="234">
        <v>45487.67648148148</v>
      </c>
      <c r="E2306" s="234"/>
      <c r="F2306" s="235" t="s">
        <v>580</v>
      </c>
      <c r="G2306" s="236" t="s">
        <v>6211</v>
      </c>
      <c r="H2306" s="233" t="s">
        <v>811</v>
      </c>
      <c r="I2306" s="233" t="s">
        <v>357</v>
      </c>
    </row>
    <row r="2307">
      <c r="A2307" s="233" t="s">
        <v>6212</v>
      </c>
      <c r="B2307" s="233" t="s">
        <v>6207</v>
      </c>
      <c r="C2307" s="233" t="s">
        <v>6207</v>
      </c>
      <c r="D2307" s="234">
        <v>45480.55266203704</v>
      </c>
      <c r="E2307" s="234"/>
      <c r="F2307" s="235" t="s">
        <v>580</v>
      </c>
      <c r="G2307" s="236" t="s">
        <v>6211</v>
      </c>
      <c r="H2307" s="233" t="s">
        <v>811</v>
      </c>
      <c r="I2307" s="233" t="s">
        <v>357</v>
      </c>
    </row>
    <row r="2308">
      <c r="A2308" s="229" t="s">
        <v>6213</v>
      </c>
      <c r="B2308" s="229" t="s">
        <v>6207</v>
      </c>
      <c r="C2308" s="229" t="s">
        <v>6207</v>
      </c>
      <c r="D2308" s="230">
        <v>45464.87847222222</v>
      </c>
      <c r="E2308" s="230"/>
      <c r="F2308" s="231" t="s">
        <v>580</v>
      </c>
      <c r="G2308" s="232" t="s">
        <v>6214</v>
      </c>
      <c r="H2308" s="229" t="s">
        <v>811</v>
      </c>
      <c r="I2308" s="229" t="s">
        <v>357</v>
      </c>
    </row>
    <row r="2309">
      <c r="A2309" s="233" t="s">
        <v>6215</v>
      </c>
      <c r="B2309" s="233" t="s">
        <v>6207</v>
      </c>
      <c r="C2309" s="233" t="s">
        <v>6207</v>
      </c>
      <c r="D2309" s="234">
        <v>45445.72377314815</v>
      </c>
      <c r="E2309" s="234">
        <v>45445.52439814815</v>
      </c>
      <c r="F2309" s="235" t="s">
        <v>580</v>
      </c>
      <c r="G2309" s="236" t="s">
        <v>6216</v>
      </c>
      <c r="H2309" s="233" t="s">
        <v>811</v>
      </c>
      <c r="I2309" s="233" t="s">
        <v>357</v>
      </c>
    </row>
    <row r="2310">
      <c r="A2310" s="233" t="s">
        <v>6217</v>
      </c>
      <c r="B2310" s="233" t="s">
        <v>6207</v>
      </c>
      <c r="C2310" s="233" t="s">
        <v>6207</v>
      </c>
      <c r="D2310" s="234">
        <v>45704.53922453704</v>
      </c>
      <c r="E2310" s="234">
        <v>45704.548738425925</v>
      </c>
      <c r="F2310" s="235" t="s">
        <v>580</v>
      </c>
      <c r="G2310" s="236" t="s">
        <v>6218</v>
      </c>
      <c r="H2310" s="233" t="s">
        <v>811</v>
      </c>
      <c r="I2310" s="233" t="s">
        <v>357</v>
      </c>
    </row>
    <row r="2311">
      <c r="A2311" s="233" t="s">
        <v>6219</v>
      </c>
      <c r="B2311" s="233" t="s">
        <v>6220</v>
      </c>
      <c r="C2311" s="233" t="s">
        <v>6221</v>
      </c>
      <c r="D2311" s="234">
        <v>45500.689618055556</v>
      </c>
      <c r="E2311" s="234"/>
      <c r="F2311" s="235" t="s">
        <v>658</v>
      </c>
      <c r="G2311" s="236" t="s">
        <v>6222</v>
      </c>
      <c r="H2311" s="233" t="s">
        <v>265</v>
      </c>
      <c r="I2311" s="233" t="s">
        <v>5454</v>
      </c>
    </row>
    <row r="2312">
      <c r="A2312" s="233" t="s">
        <v>6223</v>
      </c>
      <c r="B2312" s="233" t="s">
        <v>6224</v>
      </c>
      <c r="C2312" s="233" t="s">
        <v>6225</v>
      </c>
      <c r="D2312" s="234">
        <v>45541.82690972222</v>
      </c>
      <c r="E2312" s="234"/>
      <c r="F2312" s="235" t="s">
        <v>431</v>
      </c>
      <c r="G2312" s="236" t="s">
        <v>1973</v>
      </c>
      <c r="H2312" s="233" t="s">
        <v>535</v>
      </c>
      <c r="I2312" s="233" t="s">
        <v>578</v>
      </c>
    </row>
    <row r="2313">
      <c r="A2313" s="233" t="s">
        <v>6226</v>
      </c>
      <c r="B2313" s="233" t="s">
        <v>6224</v>
      </c>
      <c r="C2313" s="233" t="s">
        <v>6225</v>
      </c>
      <c r="D2313" s="234">
        <v>45482.83708333333</v>
      </c>
      <c r="E2313" s="234"/>
      <c r="F2313" s="235" t="s">
        <v>538</v>
      </c>
      <c r="G2313" s="236" t="s">
        <v>6227</v>
      </c>
      <c r="H2313" s="233" t="s">
        <v>535</v>
      </c>
      <c r="I2313" s="233" t="s">
        <v>578</v>
      </c>
    </row>
    <row r="2314">
      <c r="A2314" s="233" t="s">
        <v>6228</v>
      </c>
      <c r="B2314" s="233" t="s">
        <v>6224</v>
      </c>
      <c r="C2314" s="233" t="s">
        <v>6225</v>
      </c>
      <c r="D2314" s="234">
        <v>45732.85172453704</v>
      </c>
      <c r="E2314" s="234">
        <v>45733.52793981481</v>
      </c>
      <c r="F2314" s="235" t="s">
        <v>431</v>
      </c>
      <c r="G2314" s="236" t="s">
        <v>3272</v>
      </c>
      <c r="H2314" s="233" t="s">
        <v>535</v>
      </c>
      <c r="I2314" s="233" t="s">
        <v>578</v>
      </c>
    </row>
    <row r="2315">
      <c r="A2315" s="233" t="s">
        <v>6229</v>
      </c>
      <c r="B2315" s="233" t="s">
        <v>6224</v>
      </c>
      <c r="C2315" s="233" t="s">
        <v>6230</v>
      </c>
      <c r="D2315" s="234">
        <v>45759.78768518518</v>
      </c>
      <c r="E2315" s="234">
        <v>45760.89239583333</v>
      </c>
      <c r="F2315" s="235" t="s">
        <v>269</v>
      </c>
      <c r="G2315" s="236" t="s">
        <v>6231</v>
      </c>
      <c r="H2315" s="233" t="s">
        <v>535</v>
      </c>
      <c r="I2315" s="233" t="s">
        <v>578</v>
      </c>
    </row>
    <row r="2316">
      <c r="A2316" s="229" t="s">
        <v>6232</v>
      </c>
      <c r="B2316" s="229" t="s">
        <v>6224</v>
      </c>
      <c r="C2316" s="229" t="s">
        <v>6225</v>
      </c>
      <c r="D2316" s="230">
        <v>45759.786886574075</v>
      </c>
      <c r="E2316" s="230">
        <v>45760.72930555556</v>
      </c>
      <c r="F2316" s="231" t="s">
        <v>431</v>
      </c>
      <c r="G2316" s="232" t="s">
        <v>6233</v>
      </c>
      <c r="H2316" s="229" t="s">
        <v>535</v>
      </c>
      <c r="I2316" s="229" t="s">
        <v>578</v>
      </c>
    </row>
    <row r="2317">
      <c r="A2317" s="233" t="s">
        <v>6234</v>
      </c>
      <c r="B2317" s="233" t="s">
        <v>6235</v>
      </c>
      <c r="C2317" s="233" t="s">
        <v>6236</v>
      </c>
      <c r="D2317" s="234">
        <v>45489.53306712963</v>
      </c>
      <c r="E2317" s="234"/>
      <c r="F2317" s="235" t="s">
        <v>1811</v>
      </c>
      <c r="G2317" s="236" t="s">
        <v>6237</v>
      </c>
      <c r="H2317" s="233" t="s">
        <v>416</v>
      </c>
      <c r="I2317" s="233" t="s">
        <v>1759</v>
      </c>
    </row>
    <row r="2318">
      <c r="A2318" s="233" t="s">
        <v>6234</v>
      </c>
      <c r="B2318" s="233" t="s">
        <v>6235</v>
      </c>
      <c r="C2318" s="233" t="s">
        <v>6236</v>
      </c>
      <c r="D2318" s="234">
        <v>45489.53306712963</v>
      </c>
      <c r="E2318" s="234"/>
      <c r="F2318" s="235" t="s">
        <v>1811</v>
      </c>
      <c r="G2318" s="236" t="s">
        <v>6237</v>
      </c>
      <c r="H2318" s="233" t="s">
        <v>416</v>
      </c>
      <c r="I2318" s="233" t="s">
        <v>1759</v>
      </c>
    </row>
    <row r="2319">
      <c r="A2319" s="233" t="s">
        <v>6238</v>
      </c>
      <c r="B2319" s="233" t="s">
        <v>6239</v>
      </c>
      <c r="C2319" s="233" t="s">
        <v>6240</v>
      </c>
      <c r="D2319" s="234">
        <v>45493.50109953704</v>
      </c>
      <c r="E2319" s="234"/>
      <c r="F2319" s="235" t="s">
        <v>297</v>
      </c>
      <c r="G2319" s="236" t="s">
        <v>6241</v>
      </c>
      <c r="H2319" s="233" t="s">
        <v>265</v>
      </c>
      <c r="I2319" s="233" t="s">
        <v>6242</v>
      </c>
    </row>
    <row r="2320">
      <c r="A2320" s="229" t="s">
        <v>6243</v>
      </c>
      <c r="B2320" s="229" t="s">
        <v>6244</v>
      </c>
      <c r="C2320" s="229" t="s">
        <v>6245</v>
      </c>
      <c r="D2320" s="230">
        <v>45746.52976851852</v>
      </c>
      <c r="E2320" s="230">
        <v>45746.53834490741</v>
      </c>
      <c r="F2320" s="231" t="s">
        <v>503</v>
      </c>
      <c r="G2320" s="232" t="s">
        <v>1853</v>
      </c>
      <c r="H2320" s="229" t="s">
        <v>265</v>
      </c>
      <c r="I2320" s="229" t="s">
        <v>461</v>
      </c>
    </row>
    <row r="2321">
      <c r="A2321" s="229" t="s">
        <v>6246</v>
      </c>
      <c r="B2321" s="229" t="s">
        <v>6247</v>
      </c>
      <c r="C2321" s="229" t="s">
        <v>6248</v>
      </c>
      <c r="D2321" s="230">
        <v>45496.46501157407</v>
      </c>
      <c r="E2321" s="230"/>
      <c r="F2321" s="231" t="s">
        <v>281</v>
      </c>
      <c r="G2321" s="232" t="s">
        <v>6249</v>
      </c>
      <c r="H2321" s="229" t="s">
        <v>259</v>
      </c>
      <c r="I2321" s="229" t="s">
        <v>2663</v>
      </c>
    </row>
    <row r="2322">
      <c r="A2322" s="229" t="s">
        <v>6250</v>
      </c>
      <c r="B2322" s="229" t="s">
        <v>6251</v>
      </c>
      <c r="C2322" s="229" t="s">
        <v>6252</v>
      </c>
      <c r="D2322" s="230">
        <v>45508.61403935185</v>
      </c>
      <c r="E2322" s="230"/>
      <c r="F2322" s="231" t="s">
        <v>281</v>
      </c>
      <c r="G2322" s="232" t="s">
        <v>4849</v>
      </c>
      <c r="H2322" s="229" t="s">
        <v>259</v>
      </c>
      <c r="I2322" s="229" t="s">
        <v>755</v>
      </c>
    </row>
    <row r="2323">
      <c r="A2323" s="229" t="s">
        <v>6253</v>
      </c>
      <c r="B2323" s="229" t="s">
        <v>6254</v>
      </c>
      <c r="C2323" s="229" t="s">
        <v>6255</v>
      </c>
      <c r="D2323" s="230">
        <v>45550.84265046296</v>
      </c>
      <c r="E2323" s="230"/>
      <c r="F2323" s="231" t="s">
        <v>658</v>
      </c>
      <c r="G2323" s="232" t="s">
        <v>6256</v>
      </c>
      <c r="H2323" s="229" t="s">
        <v>811</v>
      </c>
      <c r="I2323" s="229" t="s">
        <v>357</v>
      </c>
    </row>
    <row r="2324">
      <c r="A2324" s="233" t="s">
        <v>6257</v>
      </c>
      <c r="B2324" s="233" t="s">
        <v>6254</v>
      </c>
      <c r="C2324" s="233" t="s">
        <v>6255</v>
      </c>
      <c r="D2324" s="234">
        <v>45529.87383101852</v>
      </c>
      <c r="E2324" s="234"/>
      <c r="F2324" s="235" t="s">
        <v>291</v>
      </c>
      <c r="G2324" s="236" t="s">
        <v>1372</v>
      </c>
      <c r="H2324" s="233" t="s">
        <v>811</v>
      </c>
      <c r="I2324" s="233" t="s">
        <v>357</v>
      </c>
    </row>
    <row r="2325">
      <c r="A2325" s="229" t="s">
        <v>6258</v>
      </c>
      <c r="B2325" s="229" t="s">
        <v>6254</v>
      </c>
      <c r="C2325" s="229" t="s">
        <v>6259</v>
      </c>
      <c r="D2325" s="230">
        <v>45508.4687037037</v>
      </c>
      <c r="E2325" s="230"/>
      <c r="F2325" s="231" t="s">
        <v>730</v>
      </c>
      <c r="G2325" s="232" t="s">
        <v>1500</v>
      </c>
      <c r="H2325" s="229" t="s">
        <v>811</v>
      </c>
      <c r="I2325" s="229" t="s">
        <v>357</v>
      </c>
    </row>
    <row r="2326">
      <c r="A2326" s="233" t="s">
        <v>6260</v>
      </c>
      <c r="B2326" s="233" t="s">
        <v>6254</v>
      </c>
      <c r="C2326" s="233" t="s">
        <v>6259</v>
      </c>
      <c r="D2326" s="234">
        <v>45459.84987268518</v>
      </c>
      <c r="E2326" s="234">
        <v>45464.25351851852</v>
      </c>
      <c r="F2326" s="235" t="s">
        <v>3436</v>
      </c>
      <c r="G2326" s="236" t="s">
        <v>6261</v>
      </c>
      <c r="H2326" s="233" t="s">
        <v>811</v>
      </c>
      <c r="I2326" s="233" t="s">
        <v>357</v>
      </c>
    </row>
    <row r="2327">
      <c r="A2327" s="233" t="s">
        <v>6262</v>
      </c>
      <c r="B2327" s="233" t="s">
        <v>6254</v>
      </c>
      <c r="C2327" s="233" t="s">
        <v>6255</v>
      </c>
      <c r="D2327" s="234">
        <v>45704.868946759256</v>
      </c>
      <c r="E2327" s="234">
        <v>45708.48626157407</v>
      </c>
      <c r="F2327" s="235" t="s">
        <v>488</v>
      </c>
      <c r="G2327" s="236" t="s">
        <v>6263</v>
      </c>
      <c r="H2327" s="233" t="s">
        <v>811</v>
      </c>
      <c r="I2327" s="233" t="s">
        <v>357</v>
      </c>
    </row>
    <row r="2328">
      <c r="A2328" s="233" t="s">
        <v>6264</v>
      </c>
      <c r="B2328" s="233" t="s">
        <v>6254</v>
      </c>
      <c r="C2328" s="233" t="s">
        <v>6265</v>
      </c>
      <c r="D2328" s="234">
        <v>45746.90825231482</v>
      </c>
      <c r="E2328" s="234">
        <v>45747.47586805555</v>
      </c>
      <c r="F2328" s="235" t="s">
        <v>269</v>
      </c>
      <c r="G2328" s="236" t="s">
        <v>6266</v>
      </c>
      <c r="H2328" s="233" t="s">
        <v>377</v>
      </c>
      <c r="I2328" s="233" t="s">
        <v>812</v>
      </c>
    </row>
    <row r="2329">
      <c r="A2329" s="229" t="s">
        <v>6267</v>
      </c>
      <c r="B2329" s="229" t="s">
        <v>6254</v>
      </c>
      <c r="C2329" s="229" t="s">
        <v>6259</v>
      </c>
      <c r="D2329" s="230">
        <v>45746.90728009259</v>
      </c>
      <c r="E2329" s="230">
        <v>45749.62503472222</v>
      </c>
      <c r="F2329" s="231" t="s">
        <v>3509</v>
      </c>
      <c r="G2329" s="232" t="s">
        <v>6268</v>
      </c>
      <c r="H2329" s="229" t="s">
        <v>811</v>
      </c>
      <c r="I2329" s="229" t="s">
        <v>357</v>
      </c>
    </row>
    <row r="2330">
      <c r="A2330" s="229" t="s">
        <v>6269</v>
      </c>
      <c r="B2330" s="229" t="s">
        <v>6254</v>
      </c>
      <c r="C2330" s="229" t="s">
        <v>6259</v>
      </c>
      <c r="D2330" s="230">
        <v>45732.86376157407</v>
      </c>
      <c r="E2330" s="230">
        <v>45733.64942129629</v>
      </c>
      <c r="F2330" s="231" t="s">
        <v>250</v>
      </c>
      <c r="G2330" s="232" t="s">
        <v>6270</v>
      </c>
      <c r="H2330" s="229" t="s">
        <v>811</v>
      </c>
      <c r="I2330" s="229" t="s">
        <v>357</v>
      </c>
    </row>
    <row r="2331">
      <c r="A2331" s="229" t="s">
        <v>6271</v>
      </c>
      <c r="B2331" s="229" t="s">
        <v>6272</v>
      </c>
      <c r="C2331" s="229" t="s">
        <v>6221</v>
      </c>
      <c r="D2331" s="230">
        <v>45734.5725</v>
      </c>
      <c r="E2331" s="230">
        <v>45744.78480324074</v>
      </c>
      <c r="F2331" s="231" t="s">
        <v>6273</v>
      </c>
      <c r="G2331" s="232" t="s">
        <v>6274</v>
      </c>
      <c r="H2331" s="229" t="s">
        <v>265</v>
      </c>
      <c r="I2331" s="229" t="s">
        <v>626</v>
      </c>
    </row>
    <row r="2332">
      <c r="A2332" s="229" t="s">
        <v>6275</v>
      </c>
      <c r="B2332" s="229" t="s">
        <v>6276</v>
      </c>
      <c r="C2332" s="229" t="s">
        <v>6277</v>
      </c>
      <c r="D2332" s="230">
        <v>45540.835694444446</v>
      </c>
      <c r="E2332" s="230"/>
      <c r="F2332" s="231" t="s">
        <v>988</v>
      </c>
      <c r="G2332" s="232" t="s">
        <v>6278</v>
      </c>
      <c r="H2332" s="229" t="s">
        <v>416</v>
      </c>
      <c r="I2332" s="229" t="s">
        <v>417</v>
      </c>
    </row>
    <row r="2333">
      <c r="A2333" s="233" t="s">
        <v>6279</v>
      </c>
      <c r="B2333" s="233" t="s">
        <v>6276</v>
      </c>
      <c r="C2333" s="233" t="s">
        <v>6277</v>
      </c>
      <c r="D2333" s="234">
        <v>45493.80788194444</v>
      </c>
      <c r="E2333" s="234"/>
      <c r="F2333" s="235" t="s">
        <v>988</v>
      </c>
      <c r="G2333" s="236" t="s">
        <v>6280</v>
      </c>
      <c r="H2333" s="233" t="s">
        <v>319</v>
      </c>
      <c r="I2333" s="233" t="s">
        <v>417</v>
      </c>
    </row>
    <row r="2334">
      <c r="A2334" s="229" t="s">
        <v>6281</v>
      </c>
      <c r="B2334" s="229" t="s">
        <v>6282</v>
      </c>
      <c r="C2334" s="229" t="s">
        <v>6282</v>
      </c>
      <c r="D2334" s="230">
        <v>45451.8975</v>
      </c>
      <c r="E2334" s="230">
        <v>45451.69798611111</v>
      </c>
      <c r="F2334" s="231" t="s">
        <v>1199</v>
      </c>
      <c r="G2334" s="232" t="s">
        <v>4238</v>
      </c>
      <c r="H2334" s="229" t="s">
        <v>265</v>
      </c>
      <c r="I2334" s="229" t="s">
        <v>260</v>
      </c>
    </row>
    <row r="2335">
      <c r="A2335" s="229" t="s">
        <v>6283</v>
      </c>
      <c r="B2335" s="229" t="s">
        <v>6284</v>
      </c>
      <c r="C2335" s="229" t="s">
        <v>6285</v>
      </c>
      <c r="D2335" s="230">
        <v>45525.76841435185</v>
      </c>
      <c r="E2335" s="230"/>
      <c r="F2335" s="231" t="s">
        <v>6286</v>
      </c>
      <c r="G2335" s="232" t="s">
        <v>6287</v>
      </c>
      <c r="H2335" s="229" t="s">
        <v>377</v>
      </c>
      <c r="I2335" s="229" t="s">
        <v>3050</v>
      </c>
    </row>
    <row r="2336">
      <c r="A2336" s="233" t="s">
        <v>6288</v>
      </c>
      <c r="B2336" s="233" t="s">
        <v>6289</v>
      </c>
      <c r="C2336" s="233" t="s">
        <v>6290</v>
      </c>
      <c r="D2336" s="234">
        <v>45436.84180555555</v>
      </c>
      <c r="E2336" s="234">
        <v>45438.211851851855</v>
      </c>
      <c r="F2336" s="235" t="s">
        <v>281</v>
      </c>
      <c r="G2336" s="236" t="s">
        <v>6291</v>
      </c>
      <c r="H2336" s="233" t="s">
        <v>259</v>
      </c>
      <c r="I2336" s="233" t="s">
        <v>313</v>
      </c>
    </row>
    <row r="2337">
      <c r="A2337" s="229" t="s">
        <v>6292</v>
      </c>
      <c r="B2337" s="229" t="s">
        <v>6293</v>
      </c>
      <c r="C2337" s="229" t="s">
        <v>6294</v>
      </c>
      <c r="D2337" s="230">
        <v>45736.5705787037</v>
      </c>
      <c r="E2337" s="230">
        <v>45736.59032407407</v>
      </c>
      <c r="F2337" s="231" t="s">
        <v>6295</v>
      </c>
      <c r="G2337" s="232" t="s">
        <v>6296</v>
      </c>
      <c r="H2337" s="229" t="s">
        <v>377</v>
      </c>
      <c r="I2337" s="229" t="s">
        <v>357</v>
      </c>
    </row>
    <row r="2338">
      <c r="A2338" s="233" t="s">
        <v>6297</v>
      </c>
      <c r="B2338" s="233" t="s">
        <v>6293</v>
      </c>
      <c r="C2338" s="233" t="s">
        <v>6294</v>
      </c>
      <c r="D2338" s="234">
        <v>45733.89048611111</v>
      </c>
      <c r="E2338" s="237"/>
      <c r="F2338" s="235" t="s">
        <v>6295</v>
      </c>
      <c r="G2338" s="236" t="s">
        <v>6296</v>
      </c>
      <c r="H2338" s="233" t="s">
        <v>377</v>
      </c>
      <c r="I2338" s="233" t="s">
        <v>357</v>
      </c>
    </row>
    <row r="2339">
      <c r="A2339" s="233" t="s">
        <v>6298</v>
      </c>
      <c r="B2339" s="233" t="s">
        <v>6299</v>
      </c>
      <c r="C2339" s="233" t="s">
        <v>4379</v>
      </c>
      <c r="D2339" s="234">
        <v>45542.71890046296</v>
      </c>
      <c r="E2339" s="234"/>
      <c r="F2339" s="235" t="s">
        <v>1313</v>
      </c>
      <c r="G2339" s="236" t="s">
        <v>6300</v>
      </c>
      <c r="H2339" s="233" t="s">
        <v>377</v>
      </c>
      <c r="I2339" s="233" t="s">
        <v>357</v>
      </c>
    </row>
    <row r="2340">
      <c r="A2340" s="233" t="s">
        <v>6301</v>
      </c>
      <c r="B2340" s="233" t="s">
        <v>6299</v>
      </c>
      <c r="C2340" s="233" t="s">
        <v>4376</v>
      </c>
      <c r="D2340" s="234">
        <v>45464.840416666666</v>
      </c>
      <c r="E2340" s="234"/>
      <c r="F2340" s="235" t="s">
        <v>651</v>
      </c>
      <c r="G2340" s="236" t="s">
        <v>6302</v>
      </c>
      <c r="H2340" s="233" t="s">
        <v>811</v>
      </c>
      <c r="I2340" s="233" t="s">
        <v>357</v>
      </c>
    </row>
    <row r="2341">
      <c r="A2341" s="233" t="s">
        <v>6303</v>
      </c>
      <c r="B2341" s="233" t="s">
        <v>6304</v>
      </c>
      <c r="C2341" s="233" t="s">
        <v>6305</v>
      </c>
      <c r="D2341" s="234">
        <v>45777.75101851852</v>
      </c>
      <c r="E2341" s="234">
        <v>45777.76050925926</v>
      </c>
      <c r="F2341" s="235" t="s">
        <v>6306</v>
      </c>
      <c r="G2341" s="236" t="s">
        <v>6307</v>
      </c>
      <c r="H2341" s="233" t="s">
        <v>561</v>
      </c>
      <c r="I2341" s="233" t="s">
        <v>260</v>
      </c>
    </row>
    <row r="2342">
      <c r="A2342" s="229" t="s">
        <v>6308</v>
      </c>
      <c r="B2342" s="229" t="s">
        <v>6304</v>
      </c>
      <c r="C2342" s="229" t="s">
        <v>6309</v>
      </c>
      <c r="D2342" s="230">
        <v>45777.74863425926</v>
      </c>
      <c r="E2342" s="230">
        <v>45777.76047453703</v>
      </c>
      <c r="F2342" s="231" t="s">
        <v>6310</v>
      </c>
      <c r="G2342" s="232" t="s">
        <v>6311</v>
      </c>
      <c r="H2342" s="229" t="s">
        <v>761</v>
      </c>
      <c r="I2342" s="229" t="s">
        <v>260</v>
      </c>
    </row>
    <row r="2343">
      <c r="A2343" s="233" t="s">
        <v>6312</v>
      </c>
      <c r="B2343" s="233" t="s">
        <v>6313</v>
      </c>
      <c r="C2343" s="233" t="s">
        <v>6314</v>
      </c>
      <c r="D2343" s="234">
        <v>45497.74055555555</v>
      </c>
      <c r="E2343" s="234"/>
      <c r="F2343" s="235" t="s">
        <v>281</v>
      </c>
      <c r="G2343" s="236" t="s">
        <v>1603</v>
      </c>
      <c r="H2343" s="233" t="s">
        <v>259</v>
      </c>
      <c r="I2343" s="233" t="s">
        <v>1452</v>
      </c>
    </row>
    <row r="2344">
      <c r="A2344" s="229" t="s">
        <v>6315</v>
      </c>
      <c r="B2344" s="229" t="s">
        <v>6313</v>
      </c>
      <c r="C2344" s="229" t="s">
        <v>6316</v>
      </c>
      <c r="D2344" s="230">
        <v>45482.844872685186</v>
      </c>
      <c r="E2344" s="230"/>
      <c r="F2344" s="231" t="s">
        <v>269</v>
      </c>
      <c r="G2344" s="232" t="s">
        <v>6317</v>
      </c>
      <c r="H2344" s="229" t="s">
        <v>259</v>
      </c>
      <c r="I2344" s="229" t="s">
        <v>1452</v>
      </c>
    </row>
    <row r="2345">
      <c r="A2345" s="229" t="s">
        <v>6318</v>
      </c>
      <c r="B2345" s="229" t="s">
        <v>6313</v>
      </c>
      <c r="C2345" s="229" t="s">
        <v>6316</v>
      </c>
      <c r="D2345" s="230">
        <v>45443.805497685185</v>
      </c>
      <c r="E2345" s="230">
        <v>45443.60832175926</v>
      </c>
      <c r="F2345" s="231" t="s">
        <v>431</v>
      </c>
      <c r="G2345" s="232" t="s">
        <v>6319</v>
      </c>
      <c r="H2345" s="229" t="s">
        <v>761</v>
      </c>
      <c r="I2345" s="229" t="s">
        <v>1452</v>
      </c>
    </row>
    <row r="2346">
      <c r="A2346" s="233" t="s">
        <v>6320</v>
      </c>
      <c r="B2346" s="233" t="s">
        <v>6313</v>
      </c>
      <c r="C2346" s="233" t="s">
        <v>6316</v>
      </c>
      <c r="D2346" s="234">
        <v>45708.55427083333</v>
      </c>
      <c r="E2346" s="234">
        <v>45708.614652777775</v>
      </c>
      <c r="F2346" s="235" t="s">
        <v>269</v>
      </c>
      <c r="G2346" s="236" t="s">
        <v>2207</v>
      </c>
      <c r="H2346" s="233" t="s">
        <v>259</v>
      </c>
      <c r="I2346" s="233" t="s">
        <v>1452</v>
      </c>
    </row>
    <row r="2347">
      <c r="A2347" s="229" t="s">
        <v>6321</v>
      </c>
      <c r="B2347" s="229" t="s">
        <v>6313</v>
      </c>
      <c r="C2347" s="229" t="s">
        <v>6314</v>
      </c>
      <c r="D2347" s="230">
        <v>45708.554074074076</v>
      </c>
      <c r="E2347" s="230">
        <v>45708.56601851852</v>
      </c>
      <c r="F2347" s="231" t="s">
        <v>503</v>
      </c>
      <c r="G2347" s="232" t="s">
        <v>1853</v>
      </c>
      <c r="H2347" s="229" t="s">
        <v>761</v>
      </c>
      <c r="I2347" s="229" t="s">
        <v>1452</v>
      </c>
    </row>
    <row r="2348">
      <c r="A2348" s="233" t="s">
        <v>6322</v>
      </c>
      <c r="B2348" s="233" t="s">
        <v>6323</v>
      </c>
      <c r="C2348" s="233" t="s">
        <v>6324</v>
      </c>
      <c r="D2348" s="234">
        <v>45552.88361111111</v>
      </c>
      <c r="E2348" s="242"/>
      <c r="F2348" s="235" t="s">
        <v>988</v>
      </c>
      <c r="G2348" s="236" t="s">
        <v>6325</v>
      </c>
      <c r="H2348" s="233" t="s">
        <v>356</v>
      </c>
      <c r="I2348" s="233" t="s">
        <v>946</v>
      </c>
    </row>
    <row r="2349">
      <c r="A2349" s="233" t="s">
        <v>6326</v>
      </c>
      <c r="B2349" s="233" t="s">
        <v>6323</v>
      </c>
      <c r="C2349" s="233" t="s">
        <v>6324</v>
      </c>
      <c r="D2349" s="234">
        <v>45536.66804398148</v>
      </c>
      <c r="E2349" s="234"/>
      <c r="F2349" s="235" t="s">
        <v>339</v>
      </c>
      <c r="G2349" s="236" t="s">
        <v>6327</v>
      </c>
      <c r="H2349" s="233" t="s">
        <v>356</v>
      </c>
      <c r="I2349" s="233" t="s">
        <v>946</v>
      </c>
    </row>
    <row r="2350">
      <c r="A2350" s="233" t="s">
        <v>6328</v>
      </c>
      <c r="B2350" s="233" t="s">
        <v>6329</v>
      </c>
      <c r="C2350" s="233" t="s">
        <v>6330</v>
      </c>
      <c r="D2350" s="234">
        <v>45486.55388888889</v>
      </c>
      <c r="E2350" s="234"/>
      <c r="F2350" s="235" t="s">
        <v>281</v>
      </c>
      <c r="G2350" s="236" t="s">
        <v>6331</v>
      </c>
      <c r="H2350" s="233" t="s">
        <v>632</v>
      </c>
      <c r="I2350" s="233" t="s">
        <v>313</v>
      </c>
    </row>
    <row r="2351">
      <c r="A2351" s="233" t="s">
        <v>6328</v>
      </c>
      <c r="B2351" s="233" t="s">
        <v>6329</v>
      </c>
      <c r="C2351" s="233" t="s">
        <v>6330</v>
      </c>
      <c r="D2351" s="234">
        <v>45486.55388888889</v>
      </c>
      <c r="E2351" s="234"/>
      <c r="F2351" s="235" t="s">
        <v>281</v>
      </c>
      <c r="G2351" s="236" t="s">
        <v>6331</v>
      </c>
      <c r="H2351" s="233" t="s">
        <v>632</v>
      </c>
      <c r="I2351" s="233" t="s">
        <v>313</v>
      </c>
    </row>
    <row r="2352">
      <c r="A2352" s="233" t="s">
        <v>6332</v>
      </c>
      <c r="B2352" s="233" t="s">
        <v>6333</v>
      </c>
      <c r="C2352" s="233" t="s">
        <v>6334</v>
      </c>
      <c r="D2352" s="234">
        <v>45536.575949074075</v>
      </c>
      <c r="E2352" s="234"/>
      <c r="F2352" s="235" t="s">
        <v>257</v>
      </c>
      <c r="G2352" s="236" t="s">
        <v>6335</v>
      </c>
      <c r="H2352" s="233" t="s">
        <v>259</v>
      </c>
      <c r="I2352" s="233" t="s">
        <v>313</v>
      </c>
    </row>
    <row r="2353">
      <c r="A2353" s="233" t="s">
        <v>6336</v>
      </c>
      <c r="B2353" s="233" t="s">
        <v>6337</v>
      </c>
      <c r="C2353" s="233" t="s">
        <v>6338</v>
      </c>
      <c r="D2353" s="234">
        <v>45452.527280092596</v>
      </c>
      <c r="E2353" s="234">
        <v>45452.33</v>
      </c>
      <c r="F2353" s="235" t="s">
        <v>465</v>
      </c>
      <c r="G2353" s="236" t="s">
        <v>6339</v>
      </c>
      <c r="H2353" s="233" t="s">
        <v>265</v>
      </c>
      <c r="I2353" s="233" t="s">
        <v>6340</v>
      </c>
    </row>
    <row r="2354">
      <c r="A2354" s="233" t="s">
        <v>6341</v>
      </c>
      <c r="B2354" s="233" t="s">
        <v>6337</v>
      </c>
      <c r="C2354" s="233" t="s">
        <v>6342</v>
      </c>
      <c r="D2354" s="234">
        <v>45451.65642361111</v>
      </c>
      <c r="E2354" s="234">
        <v>45452.23268518518</v>
      </c>
      <c r="F2354" s="235" t="s">
        <v>706</v>
      </c>
      <c r="G2354" s="236" t="s">
        <v>6343</v>
      </c>
      <c r="H2354" s="233" t="s">
        <v>259</v>
      </c>
      <c r="I2354" s="233" t="s">
        <v>531</v>
      </c>
    </row>
    <row r="2355">
      <c r="A2355" s="229" t="s">
        <v>6344</v>
      </c>
      <c r="B2355" s="229" t="s">
        <v>6345</v>
      </c>
      <c r="C2355" s="229" t="s">
        <v>6346</v>
      </c>
      <c r="D2355" s="230">
        <v>45482.4497337963</v>
      </c>
      <c r="E2355" s="230"/>
      <c r="F2355" s="231" t="s">
        <v>470</v>
      </c>
      <c r="G2355" s="232" t="s">
        <v>6347</v>
      </c>
      <c r="H2355" s="229" t="s">
        <v>561</v>
      </c>
      <c r="I2355" s="229" t="s">
        <v>260</v>
      </c>
    </row>
    <row r="2356">
      <c r="A2356" s="233" t="s">
        <v>6348</v>
      </c>
      <c r="B2356" s="233" t="s">
        <v>6349</v>
      </c>
      <c r="C2356" s="233" t="s">
        <v>6350</v>
      </c>
      <c r="D2356" s="234">
        <v>45777.74508101852</v>
      </c>
      <c r="E2356" s="234">
        <v>45778.91320601852</v>
      </c>
      <c r="F2356" s="235" t="s">
        <v>6351</v>
      </c>
      <c r="G2356" s="236" t="s">
        <v>6352</v>
      </c>
      <c r="H2356" s="233" t="s">
        <v>259</v>
      </c>
      <c r="I2356" s="233" t="s">
        <v>969</v>
      </c>
    </row>
    <row r="2357">
      <c r="A2357" s="229" t="s">
        <v>6353</v>
      </c>
      <c r="B2357" s="229" t="s">
        <v>6354</v>
      </c>
      <c r="C2357" s="229" t="s">
        <v>6355</v>
      </c>
      <c r="D2357" s="230">
        <v>45549.850335648145</v>
      </c>
      <c r="E2357" s="230"/>
      <c r="F2357" s="231" t="s">
        <v>538</v>
      </c>
      <c r="G2357" s="232" t="s">
        <v>775</v>
      </c>
      <c r="H2357" s="229" t="s">
        <v>377</v>
      </c>
      <c r="I2357" s="229" t="s">
        <v>284</v>
      </c>
    </row>
    <row r="2358">
      <c r="A2358" s="229" t="s">
        <v>6356</v>
      </c>
      <c r="B2358" s="229" t="s">
        <v>6357</v>
      </c>
      <c r="C2358" s="229" t="s">
        <v>6358</v>
      </c>
      <c r="D2358" s="230">
        <v>45535.46792824074</v>
      </c>
      <c r="E2358" s="230"/>
      <c r="F2358" s="231" t="s">
        <v>872</v>
      </c>
      <c r="G2358" s="232" t="s">
        <v>6359</v>
      </c>
      <c r="H2358" s="229" t="s">
        <v>561</v>
      </c>
      <c r="I2358" s="229" t="s">
        <v>1080</v>
      </c>
    </row>
    <row r="2359">
      <c r="A2359" s="233" t="s">
        <v>6360</v>
      </c>
      <c r="B2359" s="233" t="s">
        <v>6357</v>
      </c>
      <c r="C2359" s="233" t="s">
        <v>6358</v>
      </c>
      <c r="D2359" s="234">
        <v>45519.79734953704</v>
      </c>
      <c r="E2359" s="234"/>
      <c r="F2359" s="235" t="s">
        <v>872</v>
      </c>
      <c r="G2359" s="236" t="s">
        <v>6361</v>
      </c>
      <c r="H2359" s="233" t="s">
        <v>561</v>
      </c>
      <c r="I2359" s="233" t="s">
        <v>1080</v>
      </c>
    </row>
    <row r="2360">
      <c r="A2360" s="229" t="s">
        <v>6362</v>
      </c>
      <c r="B2360" s="229" t="s">
        <v>6357</v>
      </c>
      <c r="C2360" s="229" t="s">
        <v>6363</v>
      </c>
      <c r="D2360" s="230">
        <v>45519.79283564815</v>
      </c>
      <c r="E2360" s="230"/>
      <c r="F2360" s="231" t="s">
        <v>6364</v>
      </c>
      <c r="G2360" s="232" t="s">
        <v>6365</v>
      </c>
      <c r="H2360" s="229" t="s">
        <v>561</v>
      </c>
      <c r="I2360" s="229" t="s">
        <v>1080</v>
      </c>
    </row>
    <row r="2361">
      <c r="A2361" s="229" t="s">
        <v>6366</v>
      </c>
      <c r="B2361" s="229" t="s">
        <v>6357</v>
      </c>
      <c r="C2361" s="229" t="s">
        <v>6358</v>
      </c>
      <c r="D2361" s="230">
        <v>45517.70149305555</v>
      </c>
      <c r="E2361" s="243"/>
      <c r="F2361" s="231" t="s">
        <v>1884</v>
      </c>
      <c r="G2361" s="232" t="s">
        <v>6367</v>
      </c>
      <c r="H2361" s="229" t="s">
        <v>252</v>
      </c>
      <c r="I2361" s="229" t="s">
        <v>1080</v>
      </c>
    </row>
    <row r="2362">
      <c r="A2362" s="233" t="s">
        <v>6368</v>
      </c>
      <c r="B2362" s="233" t="s">
        <v>6357</v>
      </c>
      <c r="C2362" s="233" t="s">
        <v>6363</v>
      </c>
      <c r="D2362" s="234">
        <v>45517.69918981481</v>
      </c>
      <c r="E2362" s="234"/>
      <c r="F2362" s="235" t="s">
        <v>503</v>
      </c>
      <c r="G2362" s="236" t="s">
        <v>6369</v>
      </c>
      <c r="H2362" s="233" t="s">
        <v>561</v>
      </c>
      <c r="I2362" s="233" t="s">
        <v>1080</v>
      </c>
    </row>
    <row r="2363">
      <c r="A2363" s="233" t="s">
        <v>6370</v>
      </c>
      <c r="B2363" s="233" t="s">
        <v>6357</v>
      </c>
      <c r="C2363" s="233" t="s">
        <v>6363</v>
      </c>
      <c r="D2363" s="234">
        <v>45507.75482638889</v>
      </c>
      <c r="E2363" s="234"/>
      <c r="F2363" s="235" t="s">
        <v>503</v>
      </c>
      <c r="G2363" s="236" t="s">
        <v>1975</v>
      </c>
      <c r="H2363" s="233" t="s">
        <v>561</v>
      </c>
      <c r="I2363" s="233" t="s">
        <v>1080</v>
      </c>
    </row>
    <row r="2364">
      <c r="A2364" s="233" t="s">
        <v>6371</v>
      </c>
      <c r="B2364" s="233" t="s">
        <v>6357</v>
      </c>
      <c r="C2364" s="233" t="s">
        <v>6363</v>
      </c>
      <c r="D2364" s="234">
        <v>45496.79510416667</v>
      </c>
      <c r="E2364" s="234"/>
      <c r="F2364" s="235" t="s">
        <v>380</v>
      </c>
      <c r="G2364" s="236" t="s">
        <v>6372</v>
      </c>
      <c r="H2364" s="233" t="s">
        <v>561</v>
      </c>
      <c r="I2364" s="233" t="s">
        <v>1080</v>
      </c>
    </row>
    <row r="2365">
      <c r="A2365" s="229" t="s">
        <v>6373</v>
      </c>
      <c r="B2365" s="229" t="s">
        <v>6357</v>
      </c>
      <c r="C2365" s="229" t="s">
        <v>6363</v>
      </c>
      <c r="D2365" s="230">
        <v>45490.43775462963</v>
      </c>
      <c r="E2365" s="230"/>
      <c r="F2365" s="231" t="s">
        <v>339</v>
      </c>
      <c r="G2365" s="232" t="s">
        <v>6374</v>
      </c>
      <c r="H2365" s="229" t="s">
        <v>561</v>
      </c>
      <c r="I2365" s="229" t="s">
        <v>1080</v>
      </c>
    </row>
    <row r="2366">
      <c r="A2366" s="229" t="s">
        <v>6375</v>
      </c>
      <c r="B2366" s="229" t="s">
        <v>6357</v>
      </c>
      <c r="C2366" s="229" t="s">
        <v>6363</v>
      </c>
      <c r="D2366" s="230">
        <v>45489.6880787037</v>
      </c>
      <c r="E2366" s="230"/>
      <c r="F2366" s="231" t="s">
        <v>269</v>
      </c>
      <c r="G2366" s="232" t="s">
        <v>6376</v>
      </c>
      <c r="H2366" s="229" t="s">
        <v>561</v>
      </c>
      <c r="I2366" s="229" t="s">
        <v>1080</v>
      </c>
    </row>
    <row r="2367">
      <c r="A2367" s="229" t="s">
        <v>6373</v>
      </c>
      <c r="B2367" s="229" t="s">
        <v>6357</v>
      </c>
      <c r="C2367" s="229" t="s">
        <v>6363</v>
      </c>
      <c r="D2367" s="230">
        <v>45490.43775462963</v>
      </c>
      <c r="E2367" s="230"/>
      <c r="F2367" s="231" t="s">
        <v>339</v>
      </c>
      <c r="G2367" s="232" t="s">
        <v>6374</v>
      </c>
      <c r="H2367" s="229" t="s">
        <v>561</v>
      </c>
      <c r="I2367" s="229" t="s">
        <v>1080</v>
      </c>
    </row>
    <row r="2368">
      <c r="A2368" s="229" t="s">
        <v>6375</v>
      </c>
      <c r="B2368" s="229" t="s">
        <v>6357</v>
      </c>
      <c r="C2368" s="229" t="s">
        <v>6363</v>
      </c>
      <c r="D2368" s="230">
        <v>45489.6880787037</v>
      </c>
      <c r="E2368" s="230"/>
      <c r="F2368" s="231" t="s">
        <v>269</v>
      </c>
      <c r="G2368" s="232" t="s">
        <v>6376</v>
      </c>
      <c r="H2368" s="229" t="s">
        <v>561</v>
      </c>
      <c r="I2368" s="229" t="s">
        <v>1080</v>
      </c>
    </row>
    <row r="2369">
      <c r="A2369" s="233" t="s">
        <v>6377</v>
      </c>
      <c r="B2369" s="233" t="s">
        <v>6357</v>
      </c>
      <c r="C2369" s="233" t="s">
        <v>6378</v>
      </c>
      <c r="D2369" s="234">
        <v>45469.79188657407</v>
      </c>
      <c r="E2369" s="234"/>
      <c r="F2369" s="235" t="s">
        <v>715</v>
      </c>
      <c r="G2369" s="236" t="s">
        <v>6379</v>
      </c>
      <c r="H2369" s="233" t="s">
        <v>252</v>
      </c>
      <c r="I2369" s="233" t="s">
        <v>1080</v>
      </c>
    </row>
    <row r="2370">
      <c r="A2370" s="233" t="s">
        <v>6380</v>
      </c>
      <c r="B2370" s="233" t="s">
        <v>6357</v>
      </c>
      <c r="C2370" s="233" t="s">
        <v>6363</v>
      </c>
      <c r="D2370" s="234">
        <v>45734.69267361111</v>
      </c>
      <c r="E2370" s="234">
        <v>45734.7049537037</v>
      </c>
      <c r="F2370" s="235" t="s">
        <v>470</v>
      </c>
      <c r="G2370" s="236" t="s">
        <v>6381</v>
      </c>
      <c r="H2370" s="233" t="s">
        <v>561</v>
      </c>
      <c r="I2370" s="233" t="s">
        <v>1080</v>
      </c>
    </row>
    <row r="2371">
      <c r="A2371" s="233" t="s">
        <v>6382</v>
      </c>
      <c r="B2371" s="233" t="s">
        <v>6383</v>
      </c>
      <c r="C2371" s="233" t="s">
        <v>6384</v>
      </c>
      <c r="D2371" s="234">
        <v>45467.61696759259</v>
      </c>
      <c r="E2371" s="234"/>
      <c r="F2371" s="235" t="s">
        <v>380</v>
      </c>
      <c r="G2371" s="236" t="s">
        <v>2309</v>
      </c>
      <c r="H2371" s="233" t="s">
        <v>259</v>
      </c>
      <c r="I2371" s="233" t="s">
        <v>449</v>
      </c>
    </row>
    <row r="2372">
      <c r="A2372" s="229" t="s">
        <v>6385</v>
      </c>
      <c r="B2372" s="229" t="s">
        <v>6383</v>
      </c>
      <c r="C2372" s="229" t="s">
        <v>6384</v>
      </c>
      <c r="D2372" s="230">
        <v>45461.73701388889</v>
      </c>
      <c r="E2372" s="230">
        <v>45461.67017361111</v>
      </c>
      <c r="F2372" s="231" t="s">
        <v>470</v>
      </c>
      <c r="G2372" s="232" t="s">
        <v>6386</v>
      </c>
      <c r="H2372" s="229" t="s">
        <v>259</v>
      </c>
      <c r="I2372" s="229" t="s">
        <v>449</v>
      </c>
    </row>
    <row r="2373">
      <c r="A2373" s="229" t="s">
        <v>6387</v>
      </c>
      <c r="B2373" s="229" t="s">
        <v>6388</v>
      </c>
      <c r="C2373" s="229" t="s">
        <v>6389</v>
      </c>
      <c r="D2373" s="230">
        <v>45467.64224537037</v>
      </c>
      <c r="E2373" s="230"/>
      <c r="F2373" s="231" t="s">
        <v>330</v>
      </c>
      <c r="G2373" s="232" t="s">
        <v>6390</v>
      </c>
      <c r="H2373" s="229" t="s">
        <v>259</v>
      </c>
      <c r="I2373" s="229" t="s">
        <v>5765</v>
      </c>
    </row>
    <row r="2374">
      <c r="A2374" s="233" t="s">
        <v>6391</v>
      </c>
      <c r="B2374" s="233" t="s">
        <v>6392</v>
      </c>
      <c r="C2374" s="233" t="s">
        <v>6393</v>
      </c>
      <c r="D2374" s="234">
        <v>45431.753958333335</v>
      </c>
      <c r="E2374" s="234">
        <v>45432.38202546296</v>
      </c>
      <c r="F2374" s="235" t="s">
        <v>250</v>
      </c>
      <c r="G2374" s="236" t="s">
        <v>6394</v>
      </c>
      <c r="H2374" s="233" t="s">
        <v>265</v>
      </c>
      <c r="I2374" s="233" t="s">
        <v>615</v>
      </c>
    </row>
    <row r="2375">
      <c r="A2375" s="229" t="s">
        <v>6395</v>
      </c>
      <c r="B2375" s="229" t="s">
        <v>6396</v>
      </c>
      <c r="C2375" s="229" t="s">
        <v>6397</v>
      </c>
      <c r="D2375" s="230">
        <v>45513.52690972222</v>
      </c>
      <c r="E2375" s="230"/>
      <c r="F2375" s="231" t="s">
        <v>291</v>
      </c>
      <c r="G2375" s="232" t="s">
        <v>3088</v>
      </c>
      <c r="H2375" s="229" t="s">
        <v>259</v>
      </c>
      <c r="I2375" s="229" t="s">
        <v>6398</v>
      </c>
    </row>
    <row r="2376">
      <c r="A2376" s="233" t="s">
        <v>6399</v>
      </c>
      <c r="B2376" s="233" t="s">
        <v>6400</v>
      </c>
      <c r="C2376" s="233" t="s">
        <v>6401</v>
      </c>
      <c r="D2376" s="234">
        <v>45549.44238425926</v>
      </c>
      <c r="E2376" s="234"/>
      <c r="F2376" s="235" t="s">
        <v>435</v>
      </c>
      <c r="G2376" s="236" t="s">
        <v>435</v>
      </c>
      <c r="H2376" s="233" t="s">
        <v>1632</v>
      </c>
      <c r="I2376" s="233" t="s">
        <v>271</v>
      </c>
    </row>
    <row r="2377">
      <c r="A2377" s="229" t="s">
        <v>6402</v>
      </c>
      <c r="B2377" s="229" t="s">
        <v>6400</v>
      </c>
      <c r="C2377" s="229" t="s">
        <v>6403</v>
      </c>
      <c r="D2377" s="230">
        <v>45474.69269675926</v>
      </c>
      <c r="E2377" s="230"/>
      <c r="F2377" s="231" t="s">
        <v>470</v>
      </c>
      <c r="G2377" s="232" t="s">
        <v>6404</v>
      </c>
      <c r="H2377" s="229" t="s">
        <v>259</v>
      </c>
      <c r="I2377" s="229" t="s">
        <v>2088</v>
      </c>
    </row>
    <row r="2378">
      <c r="A2378" s="233" t="s">
        <v>6405</v>
      </c>
      <c r="B2378" s="233" t="s">
        <v>6400</v>
      </c>
      <c r="C2378" s="233" t="s">
        <v>4127</v>
      </c>
      <c r="D2378" s="234">
        <v>45474.6908912037</v>
      </c>
      <c r="E2378" s="234"/>
      <c r="F2378" s="235" t="s">
        <v>658</v>
      </c>
      <c r="G2378" s="236" t="s">
        <v>658</v>
      </c>
      <c r="H2378" s="233" t="s">
        <v>1632</v>
      </c>
      <c r="I2378" s="233" t="s">
        <v>271</v>
      </c>
    </row>
    <row r="2379">
      <c r="A2379" s="233" t="s">
        <v>6406</v>
      </c>
      <c r="B2379" s="233" t="s">
        <v>6400</v>
      </c>
      <c r="C2379" s="233" t="s">
        <v>4127</v>
      </c>
      <c r="D2379" s="234">
        <v>45716.611608796295</v>
      </c>
      <c r="E2379" s="234">
        <v>45717.44451388889</v>
      </c>
      <c r="F2379" s="235" t="s">
        <v>658</v>
      </c>
      <c r="G2379" s="236" t="s">
        <v>658</v>
      </c>
      <c r="H2379" s="233" t="s">
        <v>1632</v>
      </c>
      <c r="I2379" s="233" t="s">
        <v>271</v>
      </c>
    </row>
    <row r="2380">
      <c r="A2380" s="233" t="s">
        <v>6407</v>
      </c>
      <c r="B2380" s="233" t="s">
        <v>6400</v>
      </c>
      <c r="C2380" s="233" t="s">
        <v>4127</v>
      </c>
      <c r="D2380" s="234">
        <v>45705.46135416667</v>
      </c>
      <c r="E2380" s="237"/>
      <c r="F2380" s="235" t="s">
        <v>391</v>
      </c>
      <c r="G2380" s="236" t="s">
        <v>391</v>
      </c>
      <c r="H2380" s="233" t="s">
        <v>1632</v>
      </c>
      <c r="I2380" s="233" t="s">
        <v>271</v>
      </c>
    </row>
    <row r="2381">
      <c r="A2381" s="229" t="s">
        <v>6408</v>
      </c>
      <c r="B2381" s="229" t="s">
        <v>6409</v>
      </c>
      <c r="C2381" s="229" t="s">
        <v>6410</v>
      </c>
      <c r="D2381" s="230">
        <v>45548.89475694444</v>
      </c>
      <c r="E2381" s="230"/>
      <c r="F2381" s="231" t="s">
        <v>1556</v>
      </c>
      <c r="G2381" s="232" t="s">
        <v>6411</v>
      </c>
      <c r="H2381" s="229" t="s">
        <v>346</v>
      </c>
      <c r="I2381" s="229" t="s">
        <v>776</v>
      </c>
    </row>
    <row r="2382">
      <c r="A2382" s="233" t="s">
        <v>6412</v>
      </c>
      <c r="B2382" s="233" t="s">
        <v>6409</v>
      </c>
      <c r="C2382" s="233" t="s">
        <v>774</v>
      </c>
      <c r="D2382" s="234">
        <v>45548.893229166664</v>
      </c>
      <c r="E2382" s="234"/>
      <c r="F2382" s="235" t="s">
        <v>725</v>
      </c>
      <c r="G2382" s="236" t="s">
        <v>6413</v>
      </c>
      <c r="H2382" s="233" t="s">
        <v>346</v>
      </c>
      <c r="I2382" s="233" t="s">
        <v>776</v>
      </c>
    </row>
    <row r="2383">
      <c r="A2383" s="233" t="s">
        <v>6414</v>
      </c>
      <c r="B2383" s="233" t="s">
        <v>6409</v>
      </c>
      <c r="C2383" s="233" t="s">
        <v>774</v>
      </c>
      <c r="D2383" s="234">
        <v>45538.8816087963</v>
      </c>
      <c r="E2383" s="234"/>
      <c r="F2383" s="235" t="s">
        <v>1822</v>
      </c>
      <c r="G2383" s="236" t="s">
        <v>6415</v>
      </c>
      <c r="H2383" s="233" t="s">
        <v>346</v>
      </c>
      <c r="I2383" s="233" t="s">
        <v>776</v>
      </c>
    </row>
    <row r="2384">
      <c r="A2384" s="229" t="s">
        <v>6416</v>
      </c>
      <c r="B2384" s="229" t="s">
        <v>6409</v>
      </c>
      <c r="C2384" s="229" t="s">
        <v>774</v>
      </c>
      <c r="D2384" s="230">
        <v>45507.76403935185</v>
      </c>
      <c r="E2384" s="230"/>
      <c r="F2384" s="231" t="s">
        <v>6010</v>
      </c>
      <c r="G2384" s="232" t="s">
        <v>6417</v>
      </c>
      <c r="H2384" s="229" t="s">
        <v>346</v>
      </c>
      <c r="I2384" s="229" t="s">
        <v>776</v>
      </c>
    </row>
    <row r="2385">
      <c r="A2385" s="229" t="s">
        <v>6418</v>
      </c>
      <c r="B2385" s="229" t="s">
        <v>6409</v>
      </c>
      <c r="C2385" s="229" t="s">
        <v>6419</v>
      </c>
      <c r="D2385" s="230">
        <v>45712.43304398148</v>
      </c>
      <c r="E2385" s="230">
        <v>45712.47597222222</v>
      </c>
      <c r="F2385" s="231" t="s">
        <v>6420</v>
      </c>
      <c r="G2385" s="232" t="s">
        <v>6421</v>
      </c>
      <c r="H2385" s="229" t="s">
        <v>346</v>
      </c>
      <c r="I2385" s="229" t="s">
        <v>776</v>
      </c>
    </row>
    <row r="2386">
      <c r="A2386" s="229" t="s">
        <v>6422</v>
      </c>
      <c r="B2386" s="229" t="s">
        <v>6409</v>
      </c>
      <c r="C2386" s="229" t="s">
        <v>6423</v>
      </c>
      <c r="D2386" s="230">
        <v>45746.518645833334</v>
      </c>
      <c r="E2386" s="230">
        <v>45746.538310185184</v>
      </c>
      <c r="F2386" s="231" t="s">
        <v>317</v>
      </c>
      <c r="G2386" s="232" t="s">
        <v>6424</v>
      </c>
      <c r="H2386" s="229" t="s">
        <v>377</v>
      </c>
      <c r="I2386" s="229" t="s">
        <v>776</v>
      </c>
    </row>
    <row r="2387">
      <c r="A2387" s="229" t="s">
        <v>6425</v>
      </c>
      <c r="B2387" s="229" t="s">
        <v>6426</v>
      </c>
      <c r="C2387" s="229" t="s">
        <v>6427</v>
      </c>
      <c r="D2387" s="230">
        <v>45530.776296296295</v>
      </c>
      <c r="E2387" s="230"/>
      <c r="F2387" s="231" t="s">
        <v>658</v>
      </c>
      <c r="G2387" s="232" t="s">
        <v>2116</v>
      </c>
      <c r="H2387" s="229" t="s">
        <v>356</v>
      </c>
      <c r="I2387" s="229" t="s">
        <v>2451</v>
      </c>
    </row>
    <row r="2388">
      <c r="A2388" s="233" t="s">
        <v>6428</v>
      </c>
      <c r="B2388" s="233" t="s">
        <v>6426</v>
      </c>
      <c r="C2388" s="233" t="s">
        <v>6427</v>
      </c>
      <c r="D2388" s="234">
        <v>45515.702210648145</v>
      </c>
      <c r="E2388" s="234"/>
      <c r="F2388" s="235" t="s">
        <v>722</v>
      </c>
      <c r="G2388" s="236" t="s">
        <v>6429</v>
      </c>
      <c r="H2388" s="233" t="s">
        <v>356</v>
      </c>
      <c r="I2388" s="233" t="s">
        <v>2451</v>
      </c>
    </row>
    <row r="2389">
      <c r="A2389" s="229" t="s">
        <v>6430</v>
      </c>
      <c r="B2389" s="229" t="s">
        <v>6426</v>
      </c>
      <c r="C2389" s="229" t="s">
        <v>6427</v>
      </c>
      <c r="D2389" s="230">
        <v>45515.7016087963</v>
      </c>
      <c r="E2389" s="243"/>
      <c r="F2389" s="231" t="s">
        <v>391</v>
      </c>
      <c r="G2389" s="232" t="s">
        <v>485</v>
      </c>
      <c r="H2389" s="229" t="s">
        <v>356</v>
      </c>
      <c r="I2389" s="229" t="s">
        <v>2451</v>
      </c>
    </row>
    <row r="2390">
      <c r="A2390" s="229" t="s">
        <v>6431</v>
      </c>
      <c r="B2390" s="229" t="s">
        <v>6432</v>
      </c>
      <c r="C2390" s="229" t="s">
        <v>6433</v>
      </c>
      <c r="D2390" s="230">
        <v>45544.58</v>
      </c>
      <c r="E2390" s="230"/>
      <c r="F2390" s="231" t="s">
        <v>498</v>
      </c>
      <c r="G2390" s="232" t="s">
        <v>6434</v>
      </c>
      <c r="H2390" s="229" t="s">
        <v>259</v>
      </c>
      <c r="I2390" s="229" t="s">
        <v>1080</v>
      </c>
    </row>
    <row r="2391">
      <c r="A2391" s="233" t="s">
        <v>6435</v>
      </c>
      <c r="B2391" s="233" t="s">
        <v>6436</v>
      </c>
      <c r="C2391" s="233" t="s">
        <v>6437</v>
      </c>
      <c r="D2391" s="234">
        <v>45515.69980324074</v>
      </c>
      <c r="E2391" s="234"/>
      <c r="F2391" s="235" t="s">
        <v>6438</v>
      </c>
      <c r="G2391" s="236" t="s">
        <v>6439</v>
      </c>
      <c r="H2391" s="233" t="s">
        <v>356</v>
      </c>
      <c r="I2391" s="233" t="s">
        <v>946</v>
      </c>
    </row>
    <row r="2392">
      <c r="A2392" s="233" t="s">
        <v>6440</v>
      </c>
      <c r="B2392" s="233" t="s">
        <v>6441</v>
      </c>
      <c r="C2392" s="233" t="s">
        <v>6442</v>
      </c>
      <c r="D2392" s="234">
        <v>45776.877592592595</v>
      </c>
      <c r="E2392" s="234">
        <v>45777.46878472222</v>
      </c>
      <c r="F2392" s="235" t="s">
        <v>431</v>
      </c>
      <c r="G2392" s="236" t="s">
        <v>6443</v>
      </c>
      <c r="H2392" s="233" t="s">
        <v>259</v>
      </c>
      <c r="I2392" s="233" t="s">
        <v>6444</v>
      </c>
    </row>
    <row r="2393">
      <c r="A2393" s="229" t="s">
        <v>6445</v>
      </c>
      <c r="B2393" s="229" t="s">
        <v>6446</v>
      </c>
      <c r="C2393" s="229" t="s">
        <v>6447</v>
      </c>
      <c r="D2393" s="230">
        <v>45537.849074074074</v>
      </c>
      <c r="E2393" s="243"/>
      <c r="F2393" s="231" t="s">
        <v>317</v>
      </c>
      <c r="G2393" s="232" t="s">
        <v>6448</v>
      </c>
      <c r="H2393" s="229" t="s">
        <v>6449</v>
      </c>
      <c r="I2393" s="229" t="s">
        <v>1080</v>
      </c>
    </row>
    <row r="2394">
      <c r="A2394" s="233" t="s">
        <v>6450</v>
      </c>
      <c r="B2394" s="233" t="s">
        <v>6451</v>
      </c>
      <c r="C2394" s="233" t="s">
        <v>1065</v>
      </c>
      <c r="D2394" s="234">
        <v>45485.88837962963</v>
      </c>
      <c r="E2394" s="234"/>
      <c r="F2394" s="235" t="s">
        <v>431</v>
      </c>
      <c r="G2394" s="236" t="s">
        <v>4766</v>
      </c>
      <c r="H2394" s="233" t="s">
        <v>388</v>
      </c>
      <c r="I2394" s="233" t="s">
        <v>1067</v>
      </c>
    </row>
    <row r="2395">
      <c r="A2395" s="229" t="s">
        <v>6452</v>
      </c>
      <c r="B2395" s="229" t="s">
        <v>6451</v>
      </c>
      <c r="C2395" s="229" t="s">
        <v>1065</v>
      </c>
      <c r="D2395" s="230">
        <v>45485.888020833336</v>
      </c>
      <c r="E2395" s="244"/>
      <c r="F2395" s="231" t="s">
        <v>391</v>
      </c>
      <c r="G2395" s="232" t="s">
        <v>392</v>
      </c>
      <c r="H2395" s="229" t="s">
        <v>346</v>
      </c>
      <c r="I2395" s="229" t="s">
        <v>1067</v>
      </c>
    </row>
    <row r="2396">
      <c r="A2396" s="233" t="s">
        <v>6453</v>
      </c>
      <c r="B2396" s="233" t="s">
        <v>6451</v>
      </c>
      <c r="C2396" s="233" t="s">
        <v>6454</v>
      </c>
      <c r="D2396" s="234">
        <v>45485.88686342593</v>
      </c>
      <c r="E2396" s="234"/>
      <c r="F2396" s="235" t="s">
        <v>2279</v>
      </c>
      <c r="G2396" s="236" t="s">
        <v>6455</v>
      </c>
      <c r="H2396" s="233" t="s">
        <v>346</v>
      </c>
      <c r="I2396" s="233" t="s">
        <v>812</v>
      </c>
    </row>
    <row r="2397">
      <c r="A2397" s="229" t="s">
        <v>6456</v>
      </c>
      <c r="B2397" s="229" t="s">
        <v>6451</v>
      </c>
      <c r="C2397" s="229" t="s">
        <v>6457</v>
      </c>
      <c r="D2397" s="230">
        <v>45485.885833333334</v>
      </c>
      <c r="E2397" s="230"/>
      <c r="F2397" s="231" t="s">
        <v>291</v>
      </c>
      <c r="G2397" s="232" t="s">
        <v>6458</v>
      </c>
      <c r="H2397" s="229" t="s">
        <v>346</v>
      </c>
      <c r="I2397" s="229" t="s">
        <v>284</v>
      </c>
    </row>
    <row r="2398">
      <c r="A2398" s="233" t="s">
        <v>6450</v>
      </c>
      <c r="B2398" s="233" t="s">
        <v>6451</v>
      </c>
      <c r="C2398" s="233" t="s">
        <v>1065</v>
      </c>
      <c r="D2398" s="234">
        <v>45485.88837962963</v>
      </c>
      <c r="E2398" s="234"/>
      <c r="F2398" s="235" t="s">
        <v>431</v>
      </c>
      <c r="G2398" s="236" t="s">
        <v>4766</v>
      </c>
      <c r="H2398" s="233" t="s">
        <v>388</v>
      </c>
      <c r="I2398" s="233" t="s">
        <v>1067</v>
      </c>
    </row>
    <row r="2399">
      <c r="A2399" s="229" t="s">
        <v>6452</v>
      </c>
      <c r="B2399" s="229" t="s">
        <v>6451</v>
      </c>
      <c r="C2399" s="229" t="s">
        <v>1065</v>
      </c>
      <c r="D2399" s="230">
        <v>45485.888020833336</v>
      </c>
      <c r="E2399" s="244"/>
      <c r="F2399" s="231" t="s">
        <v>391</v>
      </c>
      <c r="G2399" s="232" t="s">
        <v>392</v>
      </c>
      <c r="H2399" s="229" t="s">
        <v>346</v>
      </c>
      <c r="I2399" s="229" t="s">
        <v>1067</v>
      </c>
    </row>
    <row r="2400">
      <c r="A2400" s="233" t="s">
        <v>6453</v>
      </c>
      <c r="B2400" s="233" t="s">
        <v>6451</v>
      </c>
      <c r="C2400" s="233" t="s">
        <v>6454</v>
      </c>
      <c r="D2400" s="234">
        <v>45485.88686342593</v>
      </c>
      <c r="E2400" s="234"/>
      <c r="F2400" s="235" t="s">
        <v>2279</v>
      </c>
      <c r="G2400" s="236" t="s">
        <v>6455</v>
      </c>
      <c r="H2400" s="233" t="s">
        <v>346</v>
      </c>
      <c r="I2400" s="233" t="s">
        <v>812</v>
      </c>
    </row>
    <row r="2401">
      <c r="A2401" s="229" t="s">
        <v>6456</v>
      </c>
      <c r="B2401" s="229" t="s">
        <v>6451</v>
      </c>
      <c r="C2401" s="229" t="s">
        <v>6457</v>
      </c>
      <c r="D2401" s="230">
        <v>45485.885833333334</v>
      </c>
      <c r="E2401" s="230"/>
      <c r="F2401" s="231" t="s">
        <v>291</v>
      </c>
      <c r="G2401" s="232" t="s">
        <v>6458</v>
      </c>
      <c r="H2401" s="229" t="s">
        <v>346</v>
      </c>
      <c r="I2401" s="229" t="s">
        <v>284</v>
      </c>
    </row>
    <row r="2402">
      <c r="A2402" s="233" t="s">
        <v>6459</v>
      </c>
      <c r="B2402" s="233" t="s">
        <v>6460</v>
      </c>
      <c r="C2402" s="233" t="s">
        <v>6461</v>
      </c>
      <c r="D2402" s="234">
        <v>45777.82456018519</v>
      </c>
      <c r="E2402" s="234">
        <v>45778.53824074074</v>
      </c>
      <c r="F2402" s="235" t="s">
        <v>2975</v>
      </c>
      <c r="G2402" s="236" t="s">
        <v>6462</v>
      </c>
      <c r="H2402" s="233" t="s">
        <v>259</v>
      </c>
      <c r="I2402" s="233" t="s">
        <v>6463</v>
      </c>
    </row>
    <row r="2403">
      <c r="A2403" s="233" t="s">
        <v>6464</v>
      </c>
      <c r="B2403" s="233" t="s">
        <v>6460</v>
      </c>
      <c r="C2403" s="233" t="s">
        <v>6465</v>
      </c>
      <c r="D2403" s="234">
        <v>45774.56082175926</v>
      </c>
      <c r="E2403" s="234">
        <v>45774.65658564815</v>
      </c>
      <c r="F2403" s="235" t="s">
        <v>6466</v>
      </c>
      <c r="G2403" s="236" t="s">
        <v>6467</v>
      </c>
      <c r="H2403" s="233" t="s">
        <v>259</v>
      </c>
      <c r="I2403" s="233" t="s">
        <v>6463</v>
      </c>
    </row>
    <row r="2404">
      <c r="A2404" s="233" t="s">
        <v>6468</v>
      </c>
      <c r="B2404" s="233" t="s">
        <v>6460</v>
      </c>
      <c r="C2404" s="233" t="s">
        <v>6465</v>
      </c>
      <c r="D2404" s="234">
        <v>45760.86541666667</v>
      </c>
      <c r="E2404" s="234">
        <v>45761.48971064815</v>
      </c>
      <c r="F2404" s="235" t="s">
        <v>339</v>
      </c>
      <c r="G2404" s="236" t="s">
        <v>996</v>
      </c>
      <c r="H2404" s="233" t="s">
        <v>259</v>
      </c>
      <c r="I2404" s="233" t="s">
        <v>6463</v>
      </c>
    </row>
    <row r="2405">
      <c r="A2405" s="229" t="s">
        <v>6469</v>
      </c>
      <c r="B2405" s="229" t="s">
        <v>6470</v>
      </c>
      <c r="C2405" s="229" t="s">
        <v>3048</v>
      </c>
      <c r="D2405" s="230">
        <v>45449.82041666667</v>
      </c>
      <c r="E2405" s="230">
        <v>45450.49663194444</v>
      </c>
      <c r="F2405" s="231" t="s">
        <v>770</v>
      </c>
      <c r="G2405" s="232" t="s">
        <v>6471</v>
      </c>
      <c r="H2405" s="229" t="s">
        <v>356</v>
      </c>
      <c r="I2405" s="229" t="s">
        <v>1242</v>
      </c>
    </row>
    <row r="2406">
      <c r="A2406" s="229" t="s">
        <v>6472</v>
      </c>
      <c r="B2406" s="229" t="s">
        <v>6470</v>
      </c>
      <c r="C2406" s="229" t="s">
        <v>3048</v>
      </c>
      <c r="D2406" s="230">
        <v>45746.576145833336</v>
      </c>
      <c r="E2406" s="230">
        <v>45747.71540509259</v>
      </c>
      <c r="F2406" s="231" t="s">
        <v>4298</v>
      </c>
      <c r="G2406" s="232" t="s">
        <v>4299</v>
      </c>
      <c r="H2406" s="229" t="s">
        <v>356</v>
      </c>
      <c r="I2406" s="229" t="s">
        <v>1242</v>
      </c>
    </row>
    <row r="2407">
      <c r="A2407" s="233" t="s">
        <v>6473</v>
      </c>
      <c r="B2407" s="233" t="s">
        <v>6470</v>
      </c>
      <c r="C2407" s="233" t="s">
        <v>3048</v>
      </c>
      <c r="D2407" s="234">
        <v>45773.60303240741</v>
      </c>
      <c r="E2407" s="234">
        <v>45775.70149305555</v>
      </c>
      <c r="F2407" s="235" t="s">
        <v>1320</v>
      </c>
      <c r="G2407" s="236" t="s">
        <v>6474</v>
      </c>
      <c r="H2407" s="233" t="s">
        <v>356</v>
      </c>
      <c r="I2407" s="233" t="s">
        <v>1242</v>
      </c>
    </row>
    <row r="2408">
      <c r="A2408" s="229" t="s">
        <v>6475</v>
      </c>
      <c r="B2408" s="229" t="s">
        <v>6476</v>
      </c>
      <c r="C2408" s="229" t="s">
        <v>6477</v>
      </c>
      <c r="D2408" s="230">
        <v>45738.66689814815</v>
      </c>
      <c r="E2408" s="230">
        <v>45738.81952546296</v>
      </c>
      <c r="F2408" s="231" t="s">
        <v>1300</v>
      </c>
      <c r="G2408" s="232" t="s">
        <v>6478</v>
      </c>
      <c r="H2408" s="229" t="s">
        <v>795</v>
      </c>
      <c r="I2408" s="229" t="s">
        <v>2292</v>
      </c>
    </row>
    <row r="2409">
      <c r="A2409" s="229" t="s">
        <v>6479</v>
      </c>
      <c r="B2409" s="229" t="s">
        <v>6476</v>
      </c>
      <c r="C2409" s="229" t="s">
        <v>6477</v>
      </c>
      <c r="D2409" s="230">
        <v>45733.75392361111</v>
      </c>
      <c r="E2409" s="230">
        <v>45733.79525462963</v>
      </c>
      <c r="F2409" s="231" t="s">
        <v>3057</v>
      </c>
      <c r="G2409" s="232" t="s">
        <v>6480</v>
      </c>
      <c r="H2409" s="229" t="s">
        <v>795</v>
      </c>
      <c r="I2409" s="229" t="s">
        <v>2292</v>
      </c>
    </row>
    <row r="2410">
      <c r="A2410" s="229" t="s">
        <v>6481</v>
      </c>
      <c r="B2410" s="229" t="s">
        <v>6482</v>
      </c>
      <c r="C2410" s="229" t="s">
        <v>3153</v>
      </c>
      <c r="D2410" s="230">
        <v>45708.59049768518</v>
      </c>
      <c r="E2410" s="230">
        <v>45711.45494212963</v>
      </c>
      <c r="F2410" s="231" t="s">
        <v>6483</v>
      </c>
      <c r="G2410" s="232" t="s">
        <v>6484</v>
      </c>
      <c r="H2410" s="229" t="s">
        <v>416</v>
      </c>
      <c r="I2410" s="229" t="s">
        <v>3155</v>
      </c>
    </row>
    <row r="2411">
      <c r="A2411" s="233" t="s">
        <v>6485</v>
      </c>
      <c r="B2411" s="233" t="s">
        <v>6482</v>
      </c>
      <c r="C2411" s="233" t="s">
        <v>3153</v>
      </c>
      <c r="D2411" s="234">
        <v>45708.589733796296</v>
      </c>
      <c r="E2411" s="234">
        <v>45711.45148148148</v>
      </c>
      <c r="F2411" s="235" t="s">
        <v>317</v>
      </c>
      <c r="G2411" s="236" t="s">
        <v>6486</v>
      </c>
      <c r="H2411" s="233" t="s">
        <v>416</v>
      </c>
      <c r="I2411" s="233" t="s">
        <v>3155</v>
      </c>
    </row>
    <row r="2412">
      <c r="A2412" s="233" t="s">
        <v>6487</v>
      </c>
      <c r="B2412" s="233" t="s">
        <v>6482</v>
      </c>
      <c r="C2412" s="233" t="s">
        <v>1773</v>
      </c>
      <c r="D2412" s="234">
        <v>45774.45721064815</v>
      </c>
      <c r="E2412" s="234">
        <v>45775.750243055554</v>
      </c>
      <c r="F2412" s="235" t="s">
        <v>498</v>
      </c>
      <c r="G2412" s="236" t="s">
        <v>6488</v>
      </c>
      <c r="H2412" s="233" t="s">
        <v>259</v>
      </c>
      <c r="I2412" s="233" t="s">
        <v>1775</v>
      </c>
    </row>
    <row r="2413">
      <c r="A2413" s="229" t="s">
        <v>6489</v>
      </c>
      <c r="B2413" s="229" t="s">
        <v>6482</v>
      </c>
      <c r="C2413" s="229" t="s">
        <v>3153</v>
      </c>
      <c r="D2413" s="230">
        <v>45774.45631944444</v>
      </c>
      <c r="E2413" s="230">
        <v>45774.49317129629</v>
      </c>
      <c r="F2413" s="231" t="s">
        <v>6490</v>
      </c>
      <c r="G2413" s="232" t="s">
        <v>6491</v>
      </c>
      <c r="H2413" s="229" t="s">
        <v>416</v>
      </c>
      <c r="I2413" s="229" t="s">
        <v>3155</v>
      </c>
    </row>
    <row r="2414">
      <c r="A2414" s="229" t="s">
        <v>6492</v>
      </c>
      <c r="B2414" s="229" t="s">
        <v>6482</v>
      </c>
      <c r="C2414" s="229" t="s">
        <v>6493</v>
      </c>
      <c r="D2414" s="230">
        <v>45760.62258101852</v>
      </c>
      <c r="E2414" s="244"/>
      <c r="F2414" s="231" t="s">
        <v>269</v>
      </c>
      <c r="G2414" s="232" t="s">
        <v>6231</v>
      </c>
      <c r="H2414" s="229" t="s">
        <v>416</v>
      </c>
      <c r="I2414" s="229" t="s">
        <v>3155</v>
      </c>
    </row>
    <row r="2415">
      <c r="A2415" s="233" t="s">
        <v>6494</v>
      </c>
      <c r="B2415" s="233" t="s">
        <v>6482</v>
      </c>
      <c r="C2415" s="233" t="s">
        <v>3153</v>
      </c>
      <c r="D2415" s="234">
        <v>45760.62194444444</v>
      </c>
      <c r="E2415" s="234">
        <v>45761.71549768518</v>
      </c>
      <c r="F2415" s="235" t="s">
        <v>281</v>
      </c>
      <c r="G2415" s="236" t="s">
        <v>606</v>
      </c>
      <c r="H2415" s="233" t="s">
        <v>416</v>
      </c>
      <c r="I2415" s="233" t="s">
        <v>3155</v>
      </c>
    </row>
    <row r="2416">
      <c r="A2416" s="233" t="s">
        <v>6495</v>
      </c>
      <c r="B2416" s="233" t="s">
        <v>6496</v>
      </c>
      <c r="C2416" s="233" t="s">
        <v>6334</v>
      </c>
      <c r="D2416" s="234">
        <v>45493.816979166666</v>
      </c>
      <c r="E2416" s="234"/>
      <c r="F2416" s="235" t="s">
        <v>651</v>
      </c>
      <c r="G2416" s="236" t="s">
        <v>6497</v>
      </c>
      <c r="H2416" s="233" t="s">
        <v>259</v>
      </c>
      <c r="I2416" s="233" t="s">
        <v>313</v>
      </c>
    </row>
    <row r="2417">
      <c r="A2417" s="229" t="s">
        <v>6498</v>
      </c>
      <c r="B2417" s="229" t="s">
        <v>6499</v>
      </c>
      <c r="C2417" s="229" t="s">
        <v>6500</v>
      </c>
      <c r="D2417" s="230">
        <v>45761.86456018518</v>
      </c>
      <c r="E2417" s="230">
        <v>45761.882002314815</v>
      </c>
      <c r="F2417" s="231" t="s">
        <v>431</v>
      </c>
      <c r="G2417" s="232" t="s">
        <v>431</v>
      </c>
      <c r="H2417" s="229" t="s">
        <v>1632</v>
      </c>
      <c r="I2417" s="229" t="s">
        <v>6501</v>
      </c>
    </row>
    <row r="2418">
      <c r="A2418" s="229" t="s">
        <v>6502</v>
      </c>
      <c r="B2418" s="229" t="s">
        <v>6503</v>
      </c>
      <c r="C2418" s="229" t="s">
        <v>6504</v>
      </c>
      <c r="D2418" s="230">
        <v>45550.54037037037</v>
      </c>
      <c r="E2418" s="230"/>
      <c r="F2418" s="231" t="s">
        <v>4298</v>
      </c>
      <c r="G2418" s="232" t="s">
        <v>6505</v>
      </c>
      <c r="H2418" s="229" t="s">
        <v>346</v>
      </c>
      <c r="I2418" s="229" t="s">
        <v>2150</v>
      </c>
    </row>
    <row r="2419">
      <c r="A2419" s="229" t="s">
        <v>6506</v>
      </c>
      <c r="B2419" s="229" t="s">
        <v>6503</v>
      </c>
      <c r="C2419" s="229" t="s">
        <v>6507</v>
      </c>
      <c r="D2419" s="230">
        <v>45544.447280092594</v>
      </c>
      <c r="E2419" s="230"/>
      <c r="F2419" s="231" t="s">
        <v>6508</v>
      </c>
      <c r="G2419" s="232" t="s">
        <v>6508</v>
      </c>
      <c r="H2419" s="229" t="s">
        <v>962</v>
      </c>
      <c r="I2419" s="229" t="s">
        <v>6509</v>
      </c>
    </row>
    <row r="2420">
      <c r="A2420" s="233" t="s">
        <v>6510</v>
      </c>
      <c r="B2420" s="233" t="s">
        <v>6503</v>
      </c>
      <c r="C2420" s="233" t="s">
        <v>6504</v>
      </c>
      <c r="D2420" s="234">
        <v>45543.70554398148</v>
      </c>
      <c r="E2420" s="234"/>
      <c r="F2420" s="235" t="s">
        <v>493</v>
      </c>
      <c r="G2420" s="236" t="s">
        <v>3492</v>
      </c>
      <c r="H2420" s="233" t="s">
        <v>346</v>
      </c>
      <c r="I2420" s="233" t="s">
        <v>2150</v>
      </c>
    </row>
    <row r="2421">
      <c r="A2421" s="233" t="s">
        <v>6511</v>
      </c>
      <c r="B2421" s="233" t="s">
        <v>6503</v>
      </c>
      <c r="C2421" s="233" t="s">
        <v>6507</v>
      </c>
      <c r="D2421" s="234">
        <v>45494.475335648145</v>
      </c>
      <c r="E2421" s="234"/>
      <c r="F2421" s="235" t="s">
        <v>5653</v>
      </c>
      <c r="G2421" s="236" t="s">
        <v>5653</v>
      </c>
      <c r="H2421" s="233" t="s">
        <v>962</v>
      </c>
      <c r="I2421" s="233" t="s">
        <v>6509</v>
      </c>
    </row>
    <row r="2422">
      <c r="A2422" s="233" t="s">
        <v>6512</v>
      </c>
      <c r="B2422" s="233" t="s">
        <v>6503</v>
      </c>
      <c r="C2422" s="233" t="s">
        <v>6513</v>
      </c>
      <c r="D2422" s="234">
        <v>45714.5371875</v>
      </c>
      <c r="E2422" s="234">
        <v>45714.64246527778</v>
      </c>
      <c r="F2422" s="235" t="s">
        <v>865</v>
      </c>
      <c r="G2422" s="236" t="s">
        <v>865</v>
      </c>
      <c r="H2422" s="233" t="s">
        <v>962</v>
      </c>
      <c r="I2422" s="233" t="s">
        <v>1633</v>
      </c>
    </row>
    <row r="2423">
      <c r="A2423" s="229" t="s">
        <v>6514</v>
      </c>
      <c r="B2423" s="229" t="s">
        <v>6503</v>
      </c>
      <c r="C2423" s="229" t="s">
        <v>6507</v>
      </c>
      <c r="D2423" s="230">
        <v>45714.534097222226</v>
      </c>
      <c r="E2423" s="230">
        <v>45714.65284722222</v>
      </c>
      <c r="F2423" s="231" t="s">
        <v>2294</v>
      </c>
      <c r="G2423" s="232" t="s">
        <v>2294</v>
      </c>
      <c r="H2423" s="229" t="s">
        <v>962</v>
      </c>
      <c r="I2423" s="229" t="s">
        <v>6509</v>
      </c>
    </row>
    <row r="2424">
      <c r="A2424" s="229" t="s">
        <v>6515</v>
      </c>
      <c r="B2424" s="229" t="s">
        <v>6503</v>
      </c>
      <c r="C2424" s="229" t="s">
        <v>6516</v>
      </c>
      <c r="D2424" s="230">
        <v>45761.424837962964</v>
      </c>
      <c r="E2424" s="230">
        <v>45761.43408564815</v>
      </c>
      <c r="F2424" s="231" t="s">
        <v>6517</v>
      </c>
      <c r="G2424" s="232" t="s">
        <v>6518</v>
      </c>
      <c r="H2424" s="229" t="s">
        <v>811</v>
      </c>
      <c r="I2424" s="229" t="s">
        <v>1315</v>
      </c>
    </row>
    <row r="2425">
      <c r="A2425" s="229" t="s">
        <v>6519</v>
      </c>
      <c r="B2425" s="229" t="s">
        <v>6503</v>
      </c>
      <c r="C2425" s="229" t="s">
        <v>6516</v>
      </c>
      <c r="D2425" s="230">
        <v>45760.616736111115</v>
      </c>
      <c r="E2425" s="230">
        <v>45760.628530092596</v>
      </c>
      <c r="F2425" s="231" t="s">
        <v>6520</v>
      </c>
      <c r="G2425" s="232" t="s">
        <v>6521</v>
      </c>
      <c r="H2425" s="229" t="s">
        <v>811</v>
      </c>
      <c r="I2425" s="229" t="s">
        <v>1315</v>
      </c>
    </row>
    <row r="2426">
      <c r="A2426" s="233" t="s">
        <v>6522</v>
      </c>
      <c r="B2426" s="233" t="s">
        <v>6523</v>
      </c>
      <c r="C2426" s="233" t="s">
        <v>6524</v>
      </c>
      <c r="D2426" s="234">
        <v>45475.50304398148</v>
      </c>
      <c r="E2426" s="234"/>
      <c r="F2426" s="235" t="s">
        <v>658</v>
      </c>
      <c r="G2426" s="236" t="s">
        <v>658</v>
      </c>
      <c r="H2426" s="233" t="s">
        <v>3401</v>
      </c>
      <c r="I2426" s="233" t="s">
        <v>6525</v>
      </c>
    </row>
    <row r="2427">
      <c r="A2427" s="229" t="s">
        <v>6526</v>
      </c>
      <c r="B2427" s="229" t="s">
        <v>6527</v>
      </c>
      <c r="C2427" s="229" t="s">
        <v>6528</v>
      </c>
      <c r="D2427" s="230">
        <v>45518.68400462963</v>
      </c>
      <c r="E2427" s="230"/>
      <c r="F2427" s="231" t="s">
        <v>651</v>
      </c>
      <c r="G2427" s="232" t="s">
        <v>6529</v>
      </c>
      <c r="H2427" s="229" t="s">
        <v>632</v>
      </c>
      <c r="I2427" s="229" t="s">
        <v>6530</v>
      </c>
    </row>
    <row r="2428">
      <c r="A2428" s="229" t="s">
        <v>6531</v>
      </c>
      <c r="B2428" s="229" t="s">
        <v>6527</v>
      </c>
      <c r="C2428" s="229" t="s">
        <v>6528</v>
      </c>
      <c r="D2428" s="230">
        <v>45509.87579861111</v>
      </c>
      <c r="E2428" s="230"/>
      <c r="F2428" s="231" t="s">
        <v>1259</v>
      </c>
      <c r="G2428" s="232" t="s">
        <v>1351</v>
      </c>
      <c r="H2428" s="229" t="s">
        <v>632</v>
      </c>
      <c r="I2428" s="229" t="s">
        <v>6530</v>
      </c>
    </row>
    <row r="2429">
      <c r="A2429" s="233" t="s">
        <v>6532</v>
      </c>
      <c r="B2429" s="233" t="s">
        <v>6533</v>
      </c>
      <c r="C2429" s="233" t="s">
        <v>6534</v>
      </c>
      <c r="D2429" s="234">
        <v>45494.434224537035</v>
      </c>
      <c r="E2429" s="234"/>
      <c r="F2429" s="235" t="s">
        <v>250</v>
      </c>
      <c r="G2429" s="236" t="s">
        <v>1131</v>
      </c>
      <c r="H2429" s="233" t="s">
        <v>416</v>
      </c>
      <c r="I2429" s="233" t="s">
        <v>6535</v>
      </c>
    </row>
    <row r="2430">
      <c r="A2430" s="233" t="s">
        <v>6536</v>
      </c>
      <c r="B2430" s="233" t="s">
        <v>6533</v>
      </c>
      <c r="C2430" s="233" t="s">
        <v>6534</v>
      </c>
      <c r="D2430" s="234">
        <v>45486.774189814816</v>
      </c>
      <c r="E2430" s="234"/>
      <c r="F2430" s="235" t="s">
        <v>250</v>
      </c>
      <c r="G2430" s="236" t="s">
        <v>6537</v>
      </c>
      <c r="H2430" s="233" t="s">
        <v>416</v>
      </c>
      <c r="I2430" s="233" t="s">
        <v>6535</v>
      </c>
    </row>
    <row r="2431">
      <c r="A2431" s="233" t="s">
        <v>6536</v>
      </c>
      <c r="B2431" s="233" t="s">
        <v>6533</v>
      </c>
      <c r="C2431" s="233" t="s">
        <v>6534</v>
      </c>
      <c r="D2431" s="234">
        <v>45486.774189814816</v>
      </c>
      <c r="E2431" s="234"/>
      <c r="F2431" s="235" t="s">
        <v>250</v>
      </c>
      <c r="G2431" s="236" t="s">
        <v>6537</v>
      </c>
      <c r="H2431" s="233" t="s">
        <v>416</v>
      </c>
      <c r="I2431" s="233" t="s">
        <v>6535</v>
      </c>
    </row>
    <row r="2432">
      <c r="A2432" s="233" t="s">
        <v>6538</v>
      </c>
      <c r="B2432" s="233" t="s">
        <v>6533</v>
      </c>
      <c r="C2432" s="233" t="s">
        <v>6534</v>
      </c>
      <c r="D2432" s="234">
        <v>45458.7246875</v>
      </c>
      <c r="E2432" s="234">
        <v>45461.468877314815</v>
      </c>
      <c r="F2432" s="235" t="s">
        <v>317</v>
      </c>
      <c r="G2432" s="236" t="s">
        <v>1024</v>
      </c>
      <c r="H2432" s="233" t="s">
        <v>416</v>
      </c>
      <c r="I2432" s="233" t="s">
        <v>6535</v>
      </c>
    </row>
    <row r="2433">
      <c r="A2433" s="229" t="s">
        <v>6539</v>
      </c>
      <c r="B2433" s="229" t="s">
        <v>6540</v>
      </c>
      <c r="C2433" s="229" t="s">
        <v>6541</v>
      </c>
      <c r="D2433" s="230">
        <v>45746.72119212963</v>
      </c>
      <c r="E2433" s="230">
        <v>45747.63211805555</v>
      </c>
      <c r="F2433" s="231" t="s">
        <v>1002</v>
      </c>
      <c r="G2433" s="232" t="s">
        <v>6542</v>
      </c>
      <c r="H2433" s="229" t="s">
        <v>259</v>
      </c>
      <c r="I2433" s="229" t="s">
        <v>3909</v>
      </c>
    </row>
    <row r="2434">
      <c r="A2434" s="229" t="s">
        <v>6543</v>
      </c>
      <c r="B2434" s="229" t="s">
        <v>6544</v>
      </c>
      <c r="C2434" s="229" t="s">
        <v>6545</v>
      </c>
      <c r="D2434" s="230">
        <v>45549.739375</v>
      </c>
      <c r="E2434" s="230"/>
      <c r="F2434" s="231" t="s">
        <v>706</v>
      </c>
      <c r="G2434" s="232" t="s">
        <v>1971</v>
      </c>
      <c r="H2434" s="229" t="s">
        <v>259</v>
      </c>
      <c r="I2434" s="229" t="s">
        <v>615</v>
      </c>
    </row>
    <row r="2435">
      <c r="A2435" s="233" t="s">
        <v>6546</v>
      </c>
      <c r="B2435" s="233" t="s">
        <v>6544</v>
      </c>
      <c r="C2435" s="233" t="s">
        <v>6547</v>
      </c>
      <c r="D2435" s="234">
        <v>45521.81721064815</v>
      </c>
      <c r="E2435" s="234"/>
      <c r="F2435" s="235" t="s">
        <v>538</v>
      </c>
      <c r="G2435" s="236" t="s">
        <v>6548</v>
      </c>
      <c r="H2435" s="233" t="s">
        <v>265</v>
      </c>
      <c r="I2435" s="233" t="s">
        <v>615</v>
      </c>
    </row>
    <row r="2436">
      <c r="A2436" s="229" t="s">
        <v>6549</v>
      </c>
      <c r="B2436" s="229" t="s">
        <v>6544</v>
      </c>
      <c r="C2436" s="229" t="s">
        <v>6547</v>
      </c>
      <c r="D2436" s="230">
        <v>45466.87269675926</v>
      </c>
      <c r="E2436" s="230"/>
      <c r="F2436" s="231" t="s">
        <v>1553</v>
      </c>
      <c r="G2436" s="232" t="s">
        <v>4699</v>
      </c>
      <c r="H2436" s="229" t="s">
        <v>265</v>
      </c>
      <c r="I2436" s="229" t="s">
        <v>615</v>
      </c>
    </row>
    <row r="2437">
      <c r="A2437" s="233" t="s">
        <v>6550</v>
      </c>
      <c r="B2437" s="233" t="s">
        <v>6544</v>
      </c>
      <c r="C2437" s="233" t="s">
        <v>6551</v>
      </c>
      <c r="D2437" s="234">
        <v>45704.632581018515</v>
      </c>
      <c r="E2437" s="234">
        <v>45705.579988425925</v>
      </c>
      <c r="F2437" s="235" t="s">
        <v>722</v>
      </c>
      <c r="G2437" s="236" t="s">
        <v>6552</v>
      </c>
      <c r="H2437" s="233" t="s">
        <v>259</v>
      </c>
      <c r="I2437" s="233" t="s">
        <v>615</v>
      </c>
    </row>
    <row r="2438">
      <c r="A2438" s="229" t="s">
        <v>6553</v>
      </c>
      <c r="B2438" s="229" t="s">
        <v>6544</v>
      </c>
      <c r="C2438" s="229" t="s">
        <v>6547</v>
      </c>
      <c r="D2438" s="230">
        <v>45760.65877314815</v>
      </c>
      <c r="E2438" s="230">
        <v>45762.75707175926</v>
      </c>
      <c r="F2438" s="231" t="s">
        <v>6554</v>
      </c>
      <c r="G2438" s="232" t="s">
        <v>6555</v>
      </c>
      <c r="H2438" s="229" t="s">
        <v>265</v>
      </c>
      <c r="I2438" s="229" t="s">
        <v>615</v>
      </c>
    </row>
    <row r="2439">
      <c r="A2439" s="229" t="s">
        <v>6556</v>
      </c>
      <c r="B2439" s="229" t="s">
        <v>6544</v>
      </c>
      <c r="C2439" s="229" t="s">
        <v>6551</v>
      </c>
      <c r="D2439" s="230">
        <v>45759.84017361111</v>
      </c>
      <c r="E2439" s="244"/>
      <c r="F2439" s="231" t="s">
        <v>6554</v>
      </c>
      <c r="G2439" s="232" t="s">
        <v>6555</v>
      </c>
      <c r="H2439" s="229" t="s">
        <v>259</v>
      </c>
      <c r="I2439" s="229" t="s">
        <v>615</v>
      </c>
    </row>
    <row r="2440">
      <c r="A2440" s="229" t="s">
        <v>6557</v>
      </c>
      <c r="B2440" s="229" t="s">
        <v>6544</v>
      </c>
      <c r="C2440" s="229" t="s">
        <v>6551</v>
      </c>
      <c r="D2440" s="230">
        <v>45748.854780092595</v>
      </c>
      <c r="E2440" s="230">
        <v>45750.60427083333</v>
      </c>
      <c r="F2440" s="231" t="s">
        <v>339</v>
      </c>
      <c r="G2440" s="232" t="s">
        <v>996</v>
      </c>
      <c r="H2440" s="229" t="s">
        <v>259</v>
      </c>
      <c r="I2440" s="229" t="s">
        <v>615</v>
      </c>
    </row>
    <row r="2441">
      <c r="A2441" s="229" t="s">
        <v>6558</v>
      </c>
      <c r="B2441" s="229" t="s">
        <v>6559</v>
      </c>
      <c r="C2441" s="229" t="s">
        <v>5670</v>
      </c>
      <c r="D2441" s="230">
        <v>45542.627222222225</v>
      </c>
      <c r="E2441" s="230"/>
      <c r="F2441" s="231" t="s">
        <v>431</v>
      </c>
      <c r="G2441" s="232" t="s">
        <v>1900</v>
      </c>
      <c r="H2441" s="229" t="s">
        <v>346</v>
      </c>
      <c r="I2441" s="229" t="s">
        <v>6560</v>
      </c>
    </row>
    <row r="2442">
      <c r="A2442" s="233" t="s">
        <v>6561</v>
      </c>
      <c r="B2442" s="233" t="s">
        <v>6559</v>
      </c>
      <c r="C2442" s="233" t="s">
        <v>6562</v>
      </c>
      <c r="D2442" s="234">
        <v>45748.81725694444</v>
      </c>
      <c r="E2442" s="234">
        <v>45748.85422453703</v>
      </c>
      <c r="F2442" s="235" t="s">
        <v>396</v>
      </c>
      <c r="G2442" s="236" t="s">
        <v>6563</v>
      </c>
      <c r="H2442" s="233" t="s">
        <v>346</v>
      </c>
      <c r="I2442" s="233" t="s">
        <v>1533</v>
      </c>
    </row>
    <row r="2443">
      <c r="A2443" s="229" t="s">
        <v>6564</v>
      </c>
      <c r="B2443" s="229" t="s">
        <v>6559</v>
      </c>
      <c r="C2443" s="229" t="s">
        <v>6565</v>
      </c>
      <c r="D2443" s="230">
        <v>45748.464953703704</v>
      </c>
      <c r="E2443" s="230">
        <v>45748.49663194444</v>
      </c>
      <c r="F2443" s="231" t="s">
        <v>2294</v>
      </c>
      <c r="G2443" s="232" t="s">
        <v>6566</v>
      </c>
      <c r="H2443" s="229" t="s">
        <v>346</v>
      </c>
      <c r="I2443" s="229" t="s">
        <v>1533</v>
      </c>
    </row>
    <row r="2444">
      <c r="A2444" s="229" t="s">
        <v>6567</v>
      </c>
      <c r="B2444" s="229" t="s">
        <v>6568</v>
      </c>
      <c r="C2444" s="229" t="s">
        <v>6569</v>
      </c>
      <c r="D2444" s="230">
        <v>45550.70103009259</v>
      </c>
      <c r="E2444" s="230"/>
      <c r="F2444" s="231" t="s">
        <v>360</v>
      </c>
      <c r="G2444" s="232" t="s">
        <v>6570</v>
      </c>
      <c r="H2444" s="229" t="s">
        <v>6571</v>
      </c>
      <c r="I2444" s="229" t="s">
        <v>812</v>
      </c>
    </row>
    <row r="2445">
      <c r="A2445" s="229" t="s">
        <v>6572</v>
      </c>
      <c r="B2445" s="229" t="s">
        <v>6568</v>
      </c>
      <c r="C2445" s="229" t="s">
        <v>6573</v>
      </c>
      <c r="D2445" s="230">
        <v>45529.45361111111</v>
      </c>
      <c r="E2445" s="230"/>
      <c r="F2445" s="231" t="s">
        <v>6574</v>
      </c>
      <c r="G2445" s="232" t="s">
        <v>6575</v>
      </c>
      <c r="H2445" s="229" t="s">
        <v>6571</v>
      </c>
      <c r="I2445" s="229" t="s">
        <v>812</v>
      </c>
    </row>
    <row r="2446">
      <c r="A2446" s="233" t="s">
        <v>6576</v>
      </c>
      <c r="B2446" s="233" t="s">
        <v>6568</v>
      </c>
      <c r="C2446" s="233" t="s">
        <v>6577</v>
      </c>
      <c r="D2446" s="234">
        <v>45522.697962962964</v>
      </c>
      <c r="E2446" s="234"/>
      <c r="F2446" s="235" t="s">
        <v>1259</v>
      </c>
      <c r="G2446" s="236" t="s">
        <v>1260</v>
      </c>
      <c r="H2446" s="233" t="s">
        <v>388</v>
      </c>
      <c r="I2446" s="233" t="s">
        <v>812</v>
      </c>
    </row>
    <row r="2447">
      <c r="A2447" s="233" t="s">
        <v>6578</v>
      </c>
      <c r="B2447" s="233" t="s">
        <v>6568</v>
      </c>
      <c r="C2447" s="233" t="s">
        <v>6569</v>
      </c>
      <c r="D2447" s="234">
        <v>45508.50003472222</v>
      </c>
      <c r="E2447" s="234"/>
      <c r="F2447" s="235" t="s">
        <v>735</v>
      </c>
      <c r="G2447" s="236" t="s">
        <v>6579</v>
      </c>
      <c r="H2447" s="233" t="s">
        <v>6571</v>
      </c>
      <c r="I2447" s="233" t="s">
        <v>812</v>
      </c>
    </row>
    <row r="2448">
      <c r="A2448" s="229" t="s">
        <v>6580</v>
      </c>
      <c r="B2448" s="229" t="s">
        <v>6568</v>
      </c>
      <c r="C2448" s="229" t="s">
        <v>6573</v>
      </c>
      <c r="D2448" s="230">
        <v>45508.49868055555</v>
      </c>
      <c r="E2448" s="230"/>
      <c r="F2448" s="231" t="s">
        <v>2214</v>
      </c>
      <c r="G2448" s="232" t="s">
        <v>6581</v>
      </c>
      <c r="H2448" s="229" t="s">
        <v>6571</v>
      </c>
      <c r="I2448" s="229" t="s">
        <v>812</v>
      </c>
    </row>
    <row r="2449">
      <c r="A2449" s="229" t="s">
        <v>6582</v>
      </c>
      <c r="B2449" s="229" t="s">
        <v>6568</v>
      </c>
      <c r="C2449" s="229" t="s">
        <v>6573</v>
      </c>
      <c r="D2449" s="230">
        <v>45502.72131944444</v>
      </c>
      <c r="E2449" s="230"/>
      <c r="F2449" s="231" t="s">
        <v>5076</v>
      </c>
      <c r="G2449" s="232" t="s">
        <v>6583</v>
      </c>
      <c r="H2449" s="229" t="s">
        <v>6571</v>
      </c>
      <c r="I2449" s="229" t="s">
        <v>812</v>
      </c>
    </row>
    <row r="2450">
      <c r="A2450" s="229" t="s">
        <v>6584</v>
      </c>
      <c r="B2450" s="229" t="s">
        <v>6568</v>
      </c>
      <c r="C2450" s="229" t="s">
        <v>6573</v>
      </c>
      <c r="D2450" s="230">
        <v>45501.715474537035</v>
      </c>
      <c r="E2450" s="243"/>
      <c r="F2450" s="231" t="s">
        <v>5076</v>
      </c>
      <c r="G2450" s="232" t="s">
        <v>6583</v>
      </c>
      <c r="H2450" s="229" t="s">
        <v>377</v>
      </c>
      <c r="I2450" s="229" t="s">
        <v>812</v>
      </c>
    </row>
    <row r="2451">
      <c r="A2451" s="229" t="s">
        <v>6585</v>
      </c>
      <c r="B2451" s="229" t="s">
        <v>6568</v>
      </c>
      <c r="C2451" s="229" t="s">
        <v>6569</v>
      </c>
      <c r="D2451" s="230">
        <v>45480.66533564815</v>
      </c>
      <c r="E2451" s="230"/>
      <c r="F2451" s="231" t="s">
        <v>465</v>
      </c>
      <c r="G2451" s="232" t="s">
        <v>6586</v>
      </c>
      <c r="H2451" s="229" t="s">
        <v>6571</v>
      </c>
      <c r="I2451" s="229" t="s">
        <v>812</v>
      </c>
    </row>
    <row r="2452">
      <c r="A2452" s="233" t="s">
        <v>6587</v>
      </c>
      <c r="B2452" s="233" t="s">
        <v>6568</v>
      </c>
      <c r="C2452" s="233" t="s">
        <v>6588</v>
      </c>
      <c r="D2452" s="234">
        <v>45480.6646875</v>
      </c>
      <c r="E2452" s="234"/>
      <c r="F2452" s="235" t="s">
        <v>2893</v>
      </c>
      <c r="G2452" s="236" t="s">
        <v>6589</v>
      </c>
      <c r="H2452" s="233" t="s">
        <v>6571</v>
      </c>
      <c r="I2452" s="233" t="s">
        <v>6590</v>
      </c>
    </row>
    <row r="2453">
      <c r="A2453" s="229" t="s">
        <v>6591</v>
      </c>
      <c r="B2453" s="229" t="s">
        <v>6568</v>
      </c>
      <c r="C2453" s="229" t="s">
        <v>6573</v>
      </c>
      <c r="D2453" s="230">
        <v>45480.66354166667</v>
      </c>
      <c r="E2453" s="230"/>
      <c r="F2453" s="231" t="s">
        <v>6010</v>
      </c>
      <c r="G2453" s="232" t="s">
        <v>6592</v>
      </c>
      <c r="H2453" s="229" t="s">
        <v>6571</v>
      </c>
      <c r="I2453" s="229" t="s">
        <v>812</v>
      </c>
    </row>
    <row r="2454">
      <c r="A2454" s="233" t="s">
        <v>6593</v>
      </c>
      <c r="B2454" s="233" t="s">
        <v>6568</v>
      </c>
      <c r="C2454" s="233" t="s">
        <v>6573</v>
      </c>
      <c r="D2454" s="234">
        <v>45463.702418981484</v>
      </c>
      <c r="E2454" s="234"/>
      <c r="F2454" s="235" t="s">
        <v>936</v>
      </c>
      <c r="G2454" s="236" t="s">
        <v>6594</v>
      </c>
      <c r="H2454" s="233" t="s">
        <v>6571</v>
      </c>
      <c r="I2454" s="233" t="s">
        <v>812</v>
      </c>
    </row>
    <row r="2455">
      <c r="A2455" s="233" t="s">
        <v>6595</v>
      </c>
      <c r="B2455" s="233" t="s">
        <v>6568</v>
      </c>
      <c r="C2455" s="233" t="s">
        <v>6596</v>
      </c>
      <c r="D2455" s="234">
        <v>45452.57435185185</v>
      </c>
      <c r="E2455" s="234">
        <v>45452.49658564815</v>
      </c>
      <c r="F2455" s="235" t="s">
        <v>6597</v>
      </c>
      <c r="G2455" s="236" t="s">
        <v>6598</v>
      </c>
      <c r="H2455" s="233" t="s">
        <v>388</v>
      </c>
      <c r="I2455" s="233" t="s">
        <v>812</v>
      </c>
    </row>
    <row r="2456">
      <c r="A2456" s="229" t="s">
        <v>6599</v>
      </c>
      <c r="B2456" s="229" t="s">
        <v>6568</v>
      </c>
      <c r="C2456" s="229" t="s">
        <v>5142</v>
      </c>
      <c r="D2456" s="230">
        <v>45452.573587962965</v>
      </c>
      <c r="E2456" s="230">
        <v>45452.55907407407</v>
      </c>
      <c r="F2456" s="231" t="s">
        <v>6600</v>
      </c>
      <c r="G2456" s="232" t="s">
        <v>6601</v>
      </c>
      <c r="H2456" s="229" t="s">
        <v>346</v>
      </c>
      <c r="I2456" s="229" t="s">
        <v>812</v>
      </c>
    </row>
    <row r="2457">
      <c r="A2457" s="233" t="s">
        <v>6602</v>
      </c>
      <c r="B2457" s="233" t="s">
        <v>6568</v>
      </c>
      <c r="C2457" s="233" t="s">
        <v>5142</v>
      </c>
      <c r="D2457" s="234">
        <v>45446.72862268519</v>
      </c>
      <c r="E2457" s="234">
        <v>45447.36817129629</v>
      </c>
      <c r="F2457" s="235" t="s">
        <v>991</v>
      </c>
      <c r="G2457" s="236" t="s">
        <v>6603</v>
      </c>
      <c r="H2457" s="233" t="s">
        <v>346</v>
      </c>
      <c r="I2457" s="233" t="s">
        <v>812</v>
      </c>
    </row>
    <row r="2458">
      <c r="A2458" s="233" t="s">
        <v>6604</v>
      </c>
      <c r="B2458" s="233" t="s">
        <v>6568</v>
      </c>
      <c r="C2458" s="233" t="s">
        <v>6573</v>
      </c>
      <c r="D2458" s="234">
        <v>45774.445335648146</v>
      </c>
      <c r="E2458" s="234">
        <v>45775.69453703704</v>
      </c>
      <c r="F2458" s="235" t="s">
        <v>580</v>
      </c>
      <c r="G2458" s="236" t="s">
        <v>6605</v>
      </c>
      <c r="H2458" s="233" t="s">
        <v>388</v>
      </c>
      <c r="I2458" s="233" t="s">
        <v>812</v>
      </c>
    </row>
    <row r="2459">
      <c r="A2459" s="229" t="s">
        <v>6606</v>
      </c>
      <c r="B2459" s="229" t="s">
        <v>6607</v>
      </c>
      <c r="C2459" s="229" t="s">
        <v>6608</v>
      </c>
      <c r="D2459" s="230">
        <v>45712.583645833336</v>
      </c>
      <c r="E2459" s="230">
        <v>45712.593819444446</v>
      </c>
      <c r="F2459" s="231" t="s">
        <v>6609</v>
      </c>
      <c r="G2459" s="232" t="s">
        <v>6610</v>
      </c>
      <c r="H2459" s="229" t="s">
        <v>356</v>
      </c>
      <c r="I2459" s="229" t="s">
        <v>6611</v>
      </c>
    </row>
    <row r="2460">
      <c r="A2460" s="233" t="s">
        <v>6612</v>
      </c>
      <c r="B2460" s="233" t="s">
        <v>6607</v>
      </c>
      <c r="C2460" s="233" t="s">
        <v>6608</v>
      </c>
      <c r="D2460" s="234">
        <v>45706.573275462964</v>
      </c>
      <c r="E2460" s="234">
        <v>45706.58341435185</v>
      </c>
      <c r="F2460" s="235" t="s">
        <v>6613</v>
      </c>
      <c r="G2460" s="236" t="s">
        <v>6614</v>
      </c>
      <c r="H2460" s="233" t="s">
        <v>356</v>
      </c>
      <c r="I2460" s="233" t="s">
        <v>6611</v>
      </c>
    </row>
    <row r="2461">
      <c r="A2461" s="233" t="s">
        <v>6615</v>
      </c>
      <c r="B2461" s="233" t="s">
        <v>6616</v>
      </c>
      <c r="C2461" s="233" t="s">
        <v>6617</v>
      </c>
      <c r="D2461" s="234">
        <v>45471.570231481484</v>
      </c>
      <c r="E2461" s="234"/>
      <c r="F2461" s="235" t="s">
        <v>1487</v>
      </c>
      <c r="G2461" s="236" t="s">
        <v>6618</v>
      </c>
      <c r="H2461" s="233" t="s">
        <v>346</v>
      </c>
      <c r="I2461" s="233" t="s">
        <v>946</v>
      </c>
    </row>
    <row r="2462">
      <c r="A2462" s="229" t="s">
        <v>6619</v>
      </c>
      <c r="B2462" s="229" t="s">
        <v>6620</v>
      </c>
      <c r="C2462" s="229" t="s">
        <v>6621</v>
      </c>
      <c r="D2462" s="230">
        <v>45488.85344907407</v>
      </c>
      <c r="E2462" s="230"/>
      <c r="F2462" s="231" t="s">
        <v>503</v>
      </c>
      <c r="G2462" s="232" t="s">
        <v>4738</v>
      </c>
      <c r="H2462" s="229" t="s">
        <v>377</v>
      </c>
      <c r="I2462" s="229" t="s">
        <v>357</v>
      </c>
    </row>
    <row r="2463">
      <c r="A2463" s="229" t="s">
        <v>6619</v>
      </c>
      <c r="B2463" s="229" t="s">
        <v>6620</v>
      </c>
      <c r="C2463" s="229" t="s">
        <v>6621</v>
      </c>
      <c r="D2463" s="230">
        <v>45488.85344907407</v>
      </c>
      <c r="E2463" s="230"/>
      <c r="F2463" s="231" t="s">
        <v>503</v>
      </c>
      <c r="G2463" s="232" t="s">
        <v>4738</v>
      </c>
      <c r="H2463" s="229" t="s">
        <v>377</v>
      </c>
      <c r="I2463" s="229" t="s">
        <v>357</v>
      </c>
    </row>
    <row r="2464">
      <c r="A2464" s="229" t="s">
        <v>6622</v>
      </c>
      <c r="B2464" s="229" t="s">
        <v>6620</v>
      </c>
      <c r="C2464" s="229" t="s">
        <v>6621</v>
      </c>
      <c r="D2464" s="230">
        <v>45452.733506944445</v>
      </c>
      <c r="E2464" s="230">
        <v>45453.36125</v>
      </c>
      <c r="F2464" s="231" t="s">
        <v>1124</v>
      </c>
      <c r="G2464" s="232" t="s">
        <v>6623</v>
      </c>
      <c r="H2464" s="229" t="s">
        <v>377</v>
      </c>
      <c r="I2464" s="229" t="s">
        <v>357</v>
      </c>
    </row>
    <row r="2465">
      <c r="A2465" s="233" t="s">
        <v>6624</v>
      </c>
      <c r="B2465" s="233" t="s">
        <v>4130</v>
      </c>
      <c r="C2465" s="233" t="s">
        <v>4130</v>
      </c>
      <c r="D2465" s="234">
        <v>45536.83662037037</v>
      </c>
      <c r="E2465" s="234"/>
      <c r="F2465" s="235" t="s">
        <v>317</v>
      </c>
      <c r="G2465" s="236" t="s">
        <v>678</v>
      </c>
      <c r="H2465" s="233" t="s">
        <v>259</v>
      </c>
      <c r="I2465" s="233" t="s">
        <v>461</v>
      </c>
    </row>
    <row r="2466">
      <c r="A2466" s="229" t="s">
        <v>6625</v>
      </c>
      <c r="B2466" s="229" t="s">
        <v>4130</v>
      </c>
      <c r="C2466" s="229" t="s">
        <v>4130</v>
      </c>
      <c r="D2466" s="230">
        <v>45515.43524305556</v>
      </c>
      <c r="E2466" s="230"/>
      <c r="F2466" s="231" t="s">
        <v>291</v>
      </c>
      <c r="G2466" s="232" t="s">
        <v>5496</v>
      </c>
      <c r="H2466" s="229" t="s">
        <v>259</v>
      </c>
      <c r="I2466" s="229" t="s">
        <v>461</v>
      </c>
    </row>
    <row r="2467">
      <c r="A2467" s="233" t="s">
        <v>6626</v>
      </c>
      <c r="B2467" s="233" t="s">
        <v>4130</v>
      </c>
      <c r="C2467" s="233" t="s">
        <v>4130</v>
      </c>
      <c r="D2467" s="234">
        <v>45508.46605324074</v>
      </c>
      <c r="E2467" s="234"/>
      <c r="F2467" s="235" t="s">
        <v>465</v>
      </c>
      <c r="G2467" s="236" t="s">
        <v>5355</v>
      </c>
      <c r="H2467" s="233" t="s">
        <v>259</v>
      </c>
      <c r="I2467" s="233" t="s">
        <v>461</v>
      </c>
    </row>
    <row r="2468">
      <c r="A2468" s="233" t="s">
        <v>6627</v>
      </c>
      <c r="B2468" s="233" t="s">
        <v>4130</v>
      </c>
      <c r="C2468" s="233" t="s">
        <v>4130</v>
      </c>
      <c r="D2468" s="234">
        <v>45501.43084490741</v>
      </c>
      <c r="E2468" s="234"/>
      <c r="F2468" s="235" t="s">
        <v>317</v>
      </c>
      <c r="G2468" s="236" t="s">
        <v>6628</v>
      </c>
      <c r="H2468" s="233" t="s">
        <v>259</v>
      </c>
      <c r="I2468" s="233" t="s">
        <v>461</v>
      </c>
    </row>
    <row r="2469">
      <c r="A2469" s="229" t="s">
        <v>6629</v>
      </c>
      <c r="B2469" s="229" t="s">
        <v>4130</v>
      </c>
      <c r="C2469" s="229" t="s">
        <v>4130</v>
      </c>
      <c r="D2469" s="230">
        <v>45482.79415509259</v>
      </c>
      <c r="E2469" s="230"/>
      <c r="F2469" s="231" t="s">
        <v>3408</v>
      </c>
      <c r="G2469" s="232" t="s">
        <v>6630</v>
      </c>
      <c r="H2469" s="229" t="s">
        <v>259</v>
      </c>
      <c r="I2469" s="229" t="s">
        <v>461</v>
      </c>
    </row>
    <row r="2470">
      <c r="A2470" s="233" t="s">
        <v>6631</v>
      </c>
      <c r="B2470" s="233" t="s">
        <v>4130</v>
      </c>
      <c r="C2470" s="233" t="s">
        <v>4130</v>
      </c>
      <c r="D2470" s="234">
        <v>45453.893530092595</v>
      </c>
      <c r="E2470" s="234">
        <v>45453.704884259256</v>
      </c>
      <c r="F2470" s="235" t="s">
        <v>1359</v>
      </c>
      <c r="G2470" s="236" t="s">
        <v>6632</v>
      </c>
      <c r="H2470" s="233" t="s">
        <v>259</v>
      </c>
      <c r="I2470" s="233" t="s">
        <v>461</v>
      </c>
    </row>
    <row r="2471">
      <c r="A2471" s="233" t="s">
        <v>6633</v>
      </c>
      <c r="B2471" s="233" t="s">
        <v>4130</v>
      </c>
      <c r="C2471" s="233" t="s">
        <v>4130</v>
      </c>
      <c r="D2471" s="234">
        <v>45439.41842592593</v>
      </c>
      <c r="E2471" s="234">
        <v>45439.21884259259</v>
      </c>
      <c r="F2471" s="235" t="s">
        <v>250</v>
      </c>
      <c r="G2471" s="236" t="s">
        <v>6634</v>
      </c>
      <c r="H2471" s="233" t="s">
        <v>259</v>
      </c>
      <c r="I2471" s="233" t="s">
        <v>461</v>
      </c>
    </row>
    <row r="2472">
      <c r="A2472" s="229" t="s">
        <v>6635</v>
      </c>
      <c r="B2472" s="229" t="s">
        <v>6636</v>
      </c>
      <c r="C2472" s="229" t="s">
        <v>6637</v>
      </c>
      <c r="D2472" s="230">
        <v>45716.78648148148</v>
      </c>
      <c r="E2472" s="230">
        <v>45717.645902777775</v>
      </c>
      <c r="F2472" s="231" t="s">
        <v>538</v>
      </c>
      <c r="G2472" s="232" t="s">
        <v>538</v>
      </c>
      <c r="H2472" s="229" t="s">
        <v>3231</v>
      </c>
      <c r="I2472" s="229" t="s">
        <v>1633</v>
      </c>
    </row>
    <row r="2473">
      <c r="A2473" s="233" t="s">
        <v>6638</v>
      </c>
      <c r="B2473" s="233" t="s">
        <v>6636</v>
      </c>
      <c r="C2473" s="233" t="s">
        <v>6637</v>
      </c>
      <c r="D2473" s="234">
        <v>45702.80946759259</v>
      </c>
      <c r="E2473" s="234">
        <v>45703.69451388889</v>
      </c>
      <c r="F2473" s="235" t="s">
        <v>493</v>
      </c>
      <c r="G2473" s="236" t="s">
        <v>493</v>
      </c>
      <c r="H2473" s="233" t="s">
        <v>3231</v>
      </c>
      <c r="I2473" s="233" t="s">
        <v>1633</v>
      </c>
    </row>
    <row r="2474">
      <c r="A2474" s="233" t="s">
        <v>6639</v>
      </c>
      <c r="B2474" s="233" t="s">
        <v>6636</v>
      </c>
      <c r="C2474" s="233" t="s">
        <v>6640</v>
      </c>
      <c r="D2474" s="234">
        <v>45759.83607638889</v>
      </c>
      <c r="E2474" s="234">
        <v>45759.8890625</v>
      </c>
      <c r="F2474" s="235" t="s">
        <v>1092</v>
      </c>
      <c r="G2474" s="236" t="s">
        <v>1092</v>
      </c>
      <c r="H2474" s="233" t="s">
        <v>3231</v>
      </c>
      <c r="I2474" s="233" t="s">
        <v>1633</v>
      </c>
    </row>
    <row r="2475">
      <c r="A2475" s="229" t="s">
        <v>6641</v>
      </c>
      <c r="B2475" s="229" t="s">
        <v>6642</v>
      </c>
      <c r="C2475" s="229" t="s">
        <v>3245</v>
      </c>
      <c r="D2475" s="230">
        <v>45514.82103009259</v>
      </c>
      <c r="E2475" s="230"/>
      <c r="F2475" s="231" t="s">
        <v>380</v>
      </c>
      <c r="G2475" s="232" t="s">
        <v>6643</v>
      </c>
      <c r="H2475" s="229" t="s">
        <v>377</v>
      </c>
      <c r="I2475" s="229" t="s">
        <v>357</v>
      </c>
    </row>
    <row r="2476">
      <c r="A2476" s="229" t="s">
        <v>6644</v>
      </c>
      <c r="B2476" s="229" t="s">
        <v>6642</v>
      </c>
      <c r="C2476" s="229" t="s">
        <v>3245</v>
      </c>
      <c r="D2476" s="230">
        <v>45486.91678240741</v>
      </c>
      <c r="E2476" s="230"/>
      <c r="F2476" s="231" t="s">
        <v>503</v>
      </c>
      <c r="G2476" s="232" t="s">
        <v>4738</v>
      </c>
      <c r="H2476" s="229" t="s">
        <v>377</v>
      </c>
      <c r="I2476" s="229" t="s">
        <v>357</v>
      </c>
    </row>
    <row r="2477">
      <c r="A2477" s="229" t="s">
        <v>6644</v>
      </c>
      <c r="B2477" s="229" t="s">
        <v>6642</v>
      </c>
      <c r="C2477" s="229" t="s">
        <v>3245</v>
      </c>
      <c r="D2477" s="230">
        <v>45486.91678240741</v>
      </c>
      <c r="E2477" s="230"/>
      <c r="F2477" s="231" t="s">
        <v>503</v>
      </c>
      <c r="G2477" s="232" t="s">
        <v>4738</v>
      </c>
      <c r="H2477" s="229" t="s">
        <v>377</v>
      </c>
      <c r="I2477" s="229" t="s">
        <v>357</v>
      </c>
    </row>
    <row r="2478">
      <c r="A2478" s="229" t="s">
        <v>6645</v>
      </c>
      <c r="B2478" s="229" t="s">
        <v>6642</v>
      </c>
      <c r="C2478" s="229" t="s">
        <v>3245</v>
      </c>
      <c r="D2478" s="230">
        <v>45459.6215625</v>
      </c>
      <c r="E2478" s="230">
        <v>45460.25703703704</v>
      </c>
      <c r="F2478" s="231" t="s">
        <v>2453</v>
      </c>
      <c r="G2478" s="232" t="s">
        <v>6646</v>
      </c>
      <c r="H2478" s="229" t="s">
        <v>377</v>
      </c>
      <c r="I2478" s="229" t="s">
        <v>357</v>
      </c>
    </row>
    <row r="2479">
      <c r="A2479" s="233" t="s">
        <v>6647</v>
      </c>
      <c r="B2479" s="233" t="s">
        <v>6642</v>
      </c>
      <c r="C2479" s="233" t="s">
        <v>3245</v>
      </c>
      <c r="D2479" s="234">
        <v>45459.62079861111</v>
      </c>
      <c r="E2479" s="237"/>
      <c r="F2479" s="235" t="s">
        <v>391</v>
      </c>
      <c r="G2479" s="236" t="s">
        <v>392</v>
      </c>
      <c r="H2479" s="233" t="s">
        <v>377</v>
      </c>
      <c r="I2479" s="233" t="s">
        <v>357</v>
      </c>
    </row>
    <row r="2480">
      <c r="A2480" s="233" t="s">
        <v>6648</v>
      </c>
      <c r="B2480" s="233" t="s">
        <v>6649</v>
      </c>
      <c r="C2480" s="233" t="s">
        <v>6650</v>
      </c>
      <c r="D2480" s="234">
        <v>45518.60796296296</v>
      </c>
      <c r="E2480" s="234"/>
      <c r="F2480" s="235" t="s">
        <v>580</v>
      </c>
      <c r="G2480" s="236" t="s">
        <v>6651</v>
      </c>
      <c r="H2480" s="233" t="s">
        <v>259</v>
      </c>
      <c r="I2480" s="233" t="s">
        <v>467</v>
      </c>
    </row>
    <row r="2481">
      <c r="A2481" s="229" t="s">
        <v>6652</v>
      </c>
      <c r="B2481" s="229" t="s">
        <v>6653</v>
      </c>
      <c r="C2481" s="229" t="s">
        <v>6654</v>
      </c>
      <c r="D2481" s="230">
        <v>45734.68630787037</v>
      </c>
      <c r="E2481" s="230">
        <v>45734.791817129626</v>
      </c>
      <c r="F2481" s="231" t="s">
        <v>269</v>
      </c>
      <c r="G2481" s="232" t="s">
        <v>6266</v>
      </c>
      <c r="H2481" s="229" t="s">
        <v>346</v>
      </c>
      <c r="I2481" s="229" t="s">
        <v>6655</v>
      </c>
    </row>
    <row r="2482">
      <c r="A2482" s="233" t="s">
        <v>6656</v>
      </c>
      <c r="B2482" s="233" t="s">
        <v>6657</v>
      </c>
      <c r="C2482" s="233" t="s">
        <v>6658</v>
      </c>
      <c r="D2482" s="234">
        <v>45536.78737268518</v>
      </c>
      <c r="E2482" s="234"/>
      <c r="F2482" s="235" t="s">
        <v>5076</v>
      </c>
      <c r="G2482" s="236" t="s">
        <v>6659</v>
      </c>
      <c r="H2482" s="233" t="s">
        <v>346</v>
      </c>
      <c r="I2482" s="233" t="s">
        <v>823</v>
      </c>
    </row>
    <row r="2483">
      <c r="A2483" s="229" t="s">
        <v>6660</v>
      </c>
      <c r="B2483" s="229" t="s">
        <v>6657</v>
      </c>
      <c r="C2483" s="229" t="s">
        <v>4278</v>
      </c>
      <c r="D2483" s="230">
        <v>45529.79446759259</v>
      </c>
      <c r="E2483" s="230"/>
      <c r="F2483" s="231" t="s">
        <v>6661</v>
      </c>
      <c r="G2483" s="232" t="s">
        <v>6662</v>
      </c>
      <c r="H2483" s="229" t="s">
        <v>283</v>
      </c>
      <c r="I2483" s="229" t="s">
        <v>823</v>
      </c>
    </row>
    <row r="2484">
      <c r="A2484" s="233" t="s">
        <v>6663</v>
      </c>
      <c r="B2484" s="233" t="s">
        <v>6657</v>
      </c>
      <c r="C2484" s="233" t="s">
        <v>4269</v>
      </c>
      <c r="D2484" s="234">
        <v>45524.62152777778</v>
      </c>
      <c r="E2484" s="234"/>
      <c r="F2484" s="235" t="s">
        <v>6664</v>
      </c>
      <c r="G2484" s="236" t="s">
        <v>6665</v>
      </c>
      <c r="H2484" s="233" t="s">
        <v>265</v>
      </c>
      <c r="I2484" s="233" t="s">
        <v>5211</v>
      </c>
    </row>
    <row r="2485">
      <c r="A2485" s="229" t="s">
        <v>6666</v>
      </c>
      <c r="B2485" s="229" t="s">
        <v>6657</v>
      </c>
      <c r="C2485" s="229" t="s">
        <v>4269</v>
      </c>
      <c r="D2485" s="230">
        <v>45521.880266203705</v>
      </c>
      <c r="E2485" s="230"/>
      <c r="F2485" s="231" t="s">
        <v>1199</v>
      </c>
      <c r="G2485" s="232" t="s">
        <v>6667</v>
      </c>
      <c r="H2485" s="229" t="s">
        <v>265</v>
      </c>
      <c r="I2485" s="229" t="s">
        <v>5211</v>
      </c>
    </row>
    <row r="2486">
      <c r="A2486" s="233" t="s">
        <v>6668</v>
      </c>
      <c r="B2486" s="233" t="s">
        <v>6669</v>
      </c>
      <c r="C2486" s="233" t="s">
        <v>6670</v>
      </c>
      <c r="D2486" s="234">
        <v>45541.77715277778</v>
      </c>
      <c r="E2486" s="234"/>
      <c r="F2486" s="235" t="s">
        <v>865</v>
      </c>
      <c r="G2486" s="236" t="s">
        <v>3483</v>
      </c>
      <c r="H2486" s="233" t="s">
        <v>346</v>
      </c>
      <c r="I2486" s="233" t="s">
        <v>6671</v>
      </c>
    </row>
    <row r="2487">
      <c r="A2487" s="233" t="s">
        <v>6672</v>
      </c>
      <c r="B2487" s="233" t="s">
        <v>6669</v>
      </c>
      <c r="C2487" s="233" t="s">
        <v>6670</v>
      </c>
      <c r="D2487" s="234">
        <v>45528.49884259259</v>
      </c>
      <c r="E2487" s="234"/>
      <c r="F2487" s="235" t="s">
        <v>503</v>
      </c>
      <c r="G2487" s="236" t="s">
        <v>1879</v>
      </c>
      <c r="H2487" s="233" t="s">
        <v>346</v>
      </c>
      <c r="I2487" s="233" t="s">
        <v>6671</v>
      </c>
    </row>
    <row r="2488">
      <c r="A2488" s="233" t="s">
        <v>6673</v>
      </c>
      <c r="B2488" s="233" t="s">
        <v>6674</v>
      </c>
      <c r="C2488" s="233" t="s">
        <v>6675</v>
      </c>
      <c r="D2488" s="234">
        <v>45519.67855324074</v>
      </c>
      <c r="E2488" s="234"/>
      <c r="F2488" s="235" t="s">
        <v>5219</v>
      </c>
      <c r="G2488" s="236" t="s">
        <v>6676</v>
      </c>
      <c r="H2488" s="233" t="s">
        <v>265</v>
      </c>
      <c r="I2488" s="233" t="s">
        <v>3685</v>
      </c>
    </row>
    <row r="2489">
      <c r="A2489" s="233" t="s">
        <v>6677</v>
      </c>
      <c r="B2489" s="233" t="s">
        <v>6678</v>
      </c>
      <c r="C2489" s="233" t="s">
        <v>6679</v>
      </c>
      <c r="D2489" s="234">
        <v>45542.81056712963</v>
      </c>
      <c r="E2489" s="234"/>
      <c r="F2489" s="235" t="s">
        <v>722</v>
      </c>
      <c r="G2489" s="236" t="s">
        <v>6680</v>
      </c>
      <c r="H2489" s="233" t="s">
        <v>754</v>
      </c>
      <c r="I2489" s="233" t="s">
        <v>6463</v>
      </c>
    </row>
    <row r="2490">
      <c r="A2490" s="233" t="s">
        <v>6681</v>
      </c>
      <c r="B2490" s="233" t="s">
        <v>6678</v>
      </c>
      <c r="C2490" s="233" t="s">
        <v>6679</v>
      </c>
      <c r="D2490" s="234">
        <v>45481.87730324074</v>
      </c>
      <c r="E2490" s="234"/>
      <c r="F2490" s="235" t="s">
        <v>291</v>
      </c>
      <c r="G2490" s="236" t="s">
        <v>6682</v>
      </c>
      <c r="H2490" s="233" t="s">
        <v>754</v>
      </c>
      <c r="I2490" s="233" t="s">
        <v>6463</v>
      </c>
    </row>
    <row r="2491">
      <c r="A2491" s="233" t="s">
        <v>6683</v>
      </c>
      <c r="B2491" s="233" t="s">
        <v>6678</v>
      </c>
      <c r="C2491" s="233" t="s">
        <v>6684</v>
      </c>
      <c r="D2491" s="234">
        <v>45435.891863425924</v>
      </c>
      <c r="E2491" s="234">
        <v>45435.71181712963</v>
      </c>
      <c r="F2491" s="235" t="s">
        <v>730</v>
      </c>
      <c r="G2491" s="236" t="s">
        <v>6685</v>
      </c>
      <c r="H2491" s="233" t="s">
        <v>754</v>
      </c>
      <c r="I2491" s="233" t="s">
        <v>6463</v>
      </c>
    </row>
    <row r="2492">
      <c r="A2492" s="229" t="s">
        <v>6686</v>
      </c>
      <c r="B2492" s="229" t="s">
        <v>6678</v>
      </c>
      <c r="C2492" s="229" t="s">
        <v>6684</v>
      </c>
      <c r="D2492" s="230">
        <v>45435.88784722222</v>
      </c>
      <c r="E2492" s="244"/>
      <c r="F2492" s="231" t="s">
        <v>391</v>
      </c>
      <c r="G2492" s="232" t="s">
        <v>877</v>
      </c>
      <c r="H2492" s="229" t="s">
        <v>337</v>
      </c>
      <c r="I2492" s="229" t="s">
        <v>6463</v>
      </c>
    </row>
    <row r="2493">
      <c r="A2493" s="229" t="s">
        <v>6687</v>
      </c>
      <c r="B2493" s="229" t="s">
        <v>6688</v>
      </c>
      <c r="C2493" s="229" t="s">
        <v>6689</v>
      </c>
      <c r="D2493" s="230">
        <v>45435.850902777776</v>
      </c>
      <c r="E2493" s="230">
        <v>45435.65976851852</v>
      </c>
      <c r="F2493" s="231" t="s">
        <v>498</v>
      </c>
      <c r="G2493" s="232" t="s">
        <v>6690</v>
      </c>
      <c r="H2493" s="229" t="s">
        <v>535</v>
      </c>
      <c r="I2493" s="229" t="s">
        <v>640</v>
      </c>
    </row>
    <row r="2494">
      <c r="A2494" s="229" t="s">
        <v>6691</v>
      </c>
      <c r="B2494" s="229" t="s">
        <v>6692</v>
      </c>
      <c r="C2494" s="229" t="s">
        <v>6693</v>
      </c>
      <c r="D2494" s="230">
        <v>45733.887291666666</v>
      </c>
      <c r="E2494" s="230">
        <v>45733.90628472222</v>
      </c>
      <c r="F2494" s="231" t="s">
        <v>380</v>
      </c>
      <c r="G2494" s="232" t="s">
        <v>6694</v>
      </c>
      <c r="H2494" s="229" t="s">
        <v>377</v>
      </c>
      <c r="I2494" s="229" t="s">
        <v>1714</v>
      </c>
    </row>
    <row r="2495">
      <c r="A2495" s="233" t="s">
        <v>6695</v>
      </c>
      <c r="B2495" s="233" t="s">
        <v>6692</v>
      </c>
      <c r="C2495" s="233" t="s">
        <v>6696</v>
      </c>
      <c r="D2495" s="234">
        <v>45733.8849537037</v>
      </c>
      <c r="E2495" s="234">
        <v>45733.90628472222</v>
      </c>
      <c r="F2495" s="235" t="s">
        <v>1105</v>
      </c>
      <c r="G2495" s="236" t="s">
        <v>6697</v>
      </c>
      <c r="H2495" s="233" t="s">
        <v>377</v>
      </c>
      <c r="I2495" s="233" t="s">
        <v>284</v>
      </c>
    </row>
    <row r="2496">
      <c r="A2496" s="229" t="s">
        <v>6698</v>
      </c>
      <c r="B2496" s="229" t="s">
        <v>6699</v>
      </c>
      <c r="C2496" s="229" t="s">
        <v>6700</v>
      </c>
      <c r="D2496" s="230">
        <v>45439.775509259256</v>
      </c>
      <c r="E2496" s="230">
        <v>45440.28824074074</v>
      </c>
      <c r="F2496" s="231" t="s">
        <v>503</v>
      </c>
      <c r="G2496" s="232" t="s">
        <v>1101</v>
      </c>
      <c r="H2496" s="229" t="s">
        <v>259</v>
      </c>
      <c r="I2496" s="229" t="s">
        <v>2012</v>
      </c>
    </row>
    <row r="2497">
      <c r="A2497" s="233" t="s">
        <v>6701</v>
      </c>
      <c r="B2497" s="233" t="s">
        <v>6699</v>
      </c>
      <c r="C2497" s="233" t="s">
        <v>6700</v>
      </c>
      <c r="D2497" s="234">
        <v>45774.584502314814</v>
      </c>
      <c r="E2497" s="234">
        <v>45775.72246527778</v>
      </c>
      <c r="F2497" s="235" t="s">
        <v>503</v>
      </c>
      <c r="G2497" s="236" t="s">
        <v>2104</v>
      </c>
      <c r="H2497" s="233" t="s">
        <v>259</v>
      </c>
      <c r="I2497" s="233" t="s">
        <v>2012</v>
      </c>
    </row>
    <row r="2498">
      <c r="A2498" s="233" t="s">
        <v>6702</v>
      </c>
      <c r="B2498" s="233" t="s">
        <v>6703</v>
      </c>
      <c r="C2498" s="233" t="s">
        <v>6704</v>
      </c>
      <c r="D2498" s="234">
        <v>45746.8431712963</v>
      </c>
      <c r="E2498" s="234">
        <v>45746.85074074074</v>
      </c>
      <c r="F2498" s="235" t="s">
        <v>1884</v>
      </c>
      <c r="G2498" s="236" t="s">
        <v>6705</v>
      </c>
      <c r="H2498" s="233" t="s">
        <v>283</v>
      </c>
      <c r="I2498" s="233" t="s">
        <v>1714</v>
      </c>
    </row>
    <row r="2499">
      <c r="A2499" s="233" t="s">
        <v>6706</v>
      </c>
      <c r="B2499" s="233" t="s">
        <v>6703</v>
      </c>
      <c r="C2499" s="233" t="s">
        <v>4297</v>
      </c>
      <c r="D2499" s="234">
        <v>45733.47346064815</v>
      </c>
      <c r="E2499" s="234">
        <v>45733.53144675926</v>
      </c>
      <c r="F2499" s="235" t="s">
        <v>4298</v>
      </c>
      <c r="G2499" s="236" t="s">
        <v>4299</v>
      </c>
      <c r="H2499" s="233" t="s">
        <v>377</v>
      </c>
      <c r="I2499" s="233" t="s">
        <v>284</v>
      </c>
    </row>
    <row r="2500">
      <c r="A2500" s="233" t="s">
        <v>6707</v>
      </c>
      <c r="B2500" s="233" t="s">
        <v>6703</v>
      </c>
      <c r="C2500" s="233" t="s">
        <v>4297</v>
      </c>
      <c r="D2500" s="234">
        <v>45760.77547453704</v>
      </c>
      <c r="E2500" s="234">
        <v>45761.51403935185</v>
      </c>
      <c r="F2500" s="235" t="s">
        <v>503</v>
      </c>
      <c r="G2500" s="236" t="s">
        <v>6708</v>
      </c>
      <c r="H2500" s="233" t="s">
        <v>377</v>
      </c>
      <c r="I2500" s="233" t="s">
        <v>284</v>
      </c>
    </row>
    <row r="2501">
      <c r="A2501" s="229" t="s">
        <v>6709</v>
      </c>
      <c r="B2501" s="229" t="s">
        <v>6710</v>
      </c>
      <c r="C2501" s="229" t="s">
        <v>6711</v>
      </c>
      <c r="D2501" s="230">
        <v>45550.82947916666</v>
      </c>
      <c r="E2501" s="230"/>
      <c r="F2501" s="231" t="s">
        <v>6712</v>
      </c>
      <c r="G2501" s="232" t="s">
        <v>6713</v>
      </c>
      <c r="H2501" s="229" t="s">
        <v>319</v>
      </c>
      <c r="I2501" s="229" t="s">
        <v>6714</v>
      </c>
    </row>
    <row r="2502">
      <c r="A2502" s="229" t="s">
        <v>6715</v>
      </c>
      <c r="B2502" s="229" t="s">
        <v>6710</v>
      </c>
      <c r="C2502" s="229" t="s">
        <v>6716</v>
      </c>
      <c r="D2502" s="230">
        <v>45548.77614583333</v>
      </c>
      <c r="E2502" s="230"/>
      <c r="F2502" s="231" t="s">
        <v>498</v>
      </c>
      <c r="G2502" s="232" t="s">
        <v>6717</v>
      </c>
      <c r="H2502" s="229" t="s">
        <v>319</v>
      </c>
      <c r="I2502" s="229" t="s">
        <v>6714</v>
      </c>
    </row>
    <row r="2503">
      <c r="A2503" s="229" t="s">
        <v>6718</v>
      </c>
      <c r="B2503" s="229" t="s">
        <v>6710</v>
      </c>
      <c r="C2503" s="229" t="s">
        <v>6711</v>
      </c>
      <c r="D2503" s="230">
        <v>45543.56679398148</v>
      </c>
      <c r="E2503" s="230"/>
      <c r="F2503" s="231" t="s">
        <v>2177</v>
      </c>
      <c r="G2503" s="232" t="s">
        <v>6719</v>
      </c>
      <c r="H2503" s="229" t="s">
        <v>319</v>
      </c>
      <c r="I2503" s="229" t="s">
        <v>6714</v>
      </c>
    </row>
    <row r="2504">
      <c r="A2504" s="229" t="s">
        <v>6720</v>
      </c>
      <c r="B2504" s="229" t="s">
        <v>6710</v>
      </c>
      <c r="C2504" s="229" t="s">
        <v>6711</v>
      </c>
      <c r="D2504" s="230">
        <v>45529.56408564815</v>
      </c>
      <c r="E2504" s="230"/>
      <c r="F2504" s="231" t="s">
        <v>645</v>
      </c>
      <c r="G2504" s="232" t="s">
        <v>6721</v>
      </c>
      <c r="H2504" s="229" t="s">
        <v>319</v>
      </c>
      <c r="I2504" s="229" t="s">
        <v>6714</v>
      </c>
    </row>
    <row r="2505">
      <c r="A2505" s="229" t="s">
        <v>6722</v>
      </c>
      <c r="B2505" s="229" t="s">
        <v>6710</v>
      </c>
      <c r="C2505" s="229" t="s">
        <v>6716</v>
      </c>
      <c r="D2505" s="230">
        <v>45501.592569444445</v>
      </c>
      <c r="E2505" s="230"/>
      <c r="F2505" s="231" t="s">
        <v>498</v>
      </c>
      <c r="G2505" s="232" t="s">
        <v>6723</v>
      </c>
      <c r="H2505" s="229" t="s">
        <v>319</v>
      </c>
      <c r="I2505" s="229" t="s">
        <v>6714</v>
      </c>
    </row>
    <row r="2506">
      <c r="A2506" s="233" t="s">
        <v>6724</v>
      </c>
      <c r="B2506" s="233" t="s">
        <v>6710</v>
      </c>
      <c r="C2506" s="233" t="s">
        <v>6716</v>
      </c>
      <c r="D2506" s="234">
        <v>45494.78016203704</v>
      </c>
      <c r="E2506" s="234"/>
      <c r="F2506" s="235" t="s">
        <v>6725</v>
      </c>
      <c r="G2506" s="236" t="s">
        <v>6726</v>
      </c>
      <c r="H2506" s="233" t="s">
        <v>319</v>
      </c>
      <c r="I2506" s="233" t="s">
        <v>6714</v>
      </c>
    </row>
    <row r="2507">
      <c r="A2507" s="229" t="s">
        <v>6727</v>
      </c>
      <c r="B2507" s="229" t="s">
        <v>6710</v>
      </c>
      <c r="C2507" s="229" t="s">
        <v>6728</v>
      </c>
      <c r="D2507" s="230">
        <v>45490.66915509259</v>
      </c>
      <c r="E2507" s="230"/>
      <c r="F2507" s="231" t="s">
        <v>503</v>
      </c>
      <c r="G2507" s="232" t="s">
        <v>6729</v>
      </c>
      <c r="H2507" s="229" t="s">
        <v>319</v>
      </c>
      <c r="I2507" s="229" t="s">
        <v>6714</v>
      </c>
    </row>
    <row r="2508">
      <c r="A2508" s="233" t="s">
        <v>6730</v>
      </c>
      <c r="B2508" s="233" t="s">
        <v>6710</v>
      </c>
      <c r="C2508" s="233" t="s">
        <v>6728</v>
      </c>
      <c r="D2508" s="234">
        <v>45487.610555555555</v>
      </c>
      <c r="E2508" s="234"/>
      <c r="F2508" s="235" t="s">
        <v>291</v>
      </c>
      <c r="G2508" s="236" t="s">
        <v>4467</v>
      </c>
      <c r="H2508" s="233" t="s">
        <v>319</v>
      </c>
      <c r="I2508" s="233" t="s">
        <v>6714</v>
      </c>
    </row>
    <row r="2509">
      <c r="A2509" s="229" t="s">
        <v>6727</v>
      </c>
      <c r="B2509" s="229" t="s">
        <v>6710</v>
      </c>
      <c r="C2509" s="229" t="s">
        <v>6728</v>
      </c>
      <c r="D2509" s="230">
        <v>45490.66915509259</v>
      </c>
      <c r="E2509" s="230"/>
      <c r="F2509" s="231" t="s">
        <v>503</v>
      </c>
      <c r="G2509" s="232" t="s">
        <v>6729</v>
      </c>
      <c r="H2509" s="229" t="s">
        <v>319</v>
      </c>
      <c r="I2509" s="229" t="s">
        <v>6714</v>
      </c>
    </row>
    <row r="2510">
      <c r="A2510" s="233" t="s">
        <v>6730</v>
      </c>
      <c r="B2510" s="233" t="s">
        <v>6710</v>
      </c>
      <c r="C2510" s="233" t="s">
        <v>6728</v>
      </c>
      <c r="D2510" s="234">
        <v>45487.610555555555</v>
      </c>
      <c r="E2510" s="234"/>
      <c r="F2510" s="235" t="s">
        <v>291</v>
      </c>
      <c r="G2510" s="236" t="s">
        <v>4467</v>
      </c>
      <c r="H2510" s="233" t="s">
        <v>319</v>
      </c>
      <c r="I2510" s="233" t="s">
        <v>6714</v>
      </c>
    </row>
    <row r="2511">
      <c r="A2511" s="233" t="s">
        <v>6731</v>
      </c>
      <c r="B2511" s="233" t="s">
        <v>6710</v>
      </c>
      <c r="C2511" s="233" t="s">
        <v>6728</v>
      </c>
      <c r="D2511" s="234">
        <v>45481.76777777778</v>
      </c>
      <c r="E2511" s="234"/>
      <c r="F2511" s="235" t="s">
        <v>538</v>
      </c>
      <c r="G2511" s="236" t="s">
        <v>6732</v>
      </c>
      <c r="H2511" s="233" t="s">
        <v>319</v>
      </c>
      <c r="I2511" s="233" t="s">
        <v>6714</v>
      </c>
    </row>
    <row r="2512">
      <c r="A2512" s="229" t="s">
        <v>6733</v>
      </c>
      <c r="B2512" s="229" t="s">
        <v>6710</v>
      </c>
      <c r="C2512" s="229" t="s">
        <v>6716</v>
      </c>
      <c r="D2512" s="230">
        <v>45481.76721064815</v>
      </c>
      <c r="E2512" s="244"/>
      <c r="F2512" s="231" t="s">
        <v>391</v>
      </c>
      <c r="G2512" s="232" t="s">
        <v>877</v>
      </c>
      <c r="H2512" s="229" t="s">
        <v>319</v>
      </c>
      <c r="I2512" s="229" t="s">
        <v>6714</v>
      </c>
    </row>
    <row r="2513">
      <c r="A2513" s="233" t="s">
        <v>6734</v>
      </c>
      <c r="B2513" s="233" t="s">
        <v>6710</v>
      </c>
      <c r="C2513" s="233" t="s">
        <v>6716</v>
      </c>
      <c r="D2513" s="234">
        <v>45473.551041666666</v>
      </c>
      <c r="E2513" s="234"/>
      <c r="F2513" s="235" t="s">
        <v>431</v>
      </c>
      <c r="G2513" s="236" t="s">
        <v>3868</v>
      </c>
      <c r="H2513" s="233" t="s">
        <v>319</v>
      </c>
      <c r="I2513" s="233" t="s">
        <v>6714</v>
      </c>
    </row>
    <row r="2514">
      <c r="A2514" s="233" t="s">
        <v>6735</v>
      </c>
      <c r="B2514" s="233" t="s">
        <v>6710</v>
      </c>
      <c r="C2514" s="233" t="s">
        <v>6716</v>
      </c>
      <c r="D2514" s="234">
        <v>45452.627071759256</v>
      </c>
      <c r="E2514" s="234">
        <v>45452.462013888886</v>
      </c>
      <c r="F2514" s="235" t="s">
        <v>645</v>
      </c>
      <c r="G2514" s="236" t="s">
        <v>6736</v>
      </c>
      <c r="H2514" s="233" t="s">
        <v>319</v>
      </c>
      <c r="I2514" s="233" t="s">
        <v>6714</v>
      </c>
    </row>
    <row r="2515">
      <c r="A2515" s="229" t="s">
        <v>6737</v>
      </c>
      <c r="B2515" s="229" t="s">
        <v>6710</v>
      </c>
      <c r="C2515" s="229" t="s">
        <v>6738</v>
      </c>
      <c r="D2515" s="230">
        <v>45452.62637731482</v>
      </c>
      <c r="E2515" s="230">
        <v>45452.49322916667</v>
      </c>
      <c r="F2515" s="231" t="s">
        <v>765</v>
      </c>
      <c r="G2515" s="232" t="s">
        <v>6739</v>
      </c>
      <c r="H2515" s="229" t="s">
        <v>319</v>
      </c>
      <c r="I2515" s="229" t="s">
        <v>6714</v>
      </c>
    </row>
    <row r="2516">
      <c r="A2516" s="233" t="s">
        <v>6740</v>
      </c>
      <c r="B2516" s="233" t="s">
        <v>6710</v>
      </c>
      <c r="C2516" s="233" t="s">
        <v>6716</v>
      </c>
      <c r="D2516" s="234">
        <v>45444.72248842593</v>
      </c>
      <c r="E2516" s="234">
        <v>45444.55917824074</v>
      </c>
      <c r="F2516" s="235" t="s">
        <v>6741</v>
      </c>
      <c r="G2516" s="236" t="s">
        <v>6742</v>
      </c>
      <c r="H2516" s="233" t="s">
        <v>319</v>
      </c>
      <c r="I2516" s="233" t="s">
        <v>6714</v>
      </c>
    </row>
    <row r="2517">
      <c r="A2517" s="233" t="s">
        <v>6743</v>
      </c>
      <c r="B2517" s="233" t="s">
        <v>6710</v>
      </c>
      <c r="C2517" s="233" t="s">
        <v>6716</v>
      </c>
      <c r="D2517" s="234">
        <v>45437.79677083333</v>
      </c>
      <c r="E2517" s="237"/>
      <c r="F2517" s="235" t="s">
        <v>538</v>
      </c>
      <c r="G2517" s="236" t="s">
        <v>6744</v>
      </c>
      <c r="H2517" s="233" t="s">
        <v>416</v>
      </c>
      <c r="I2517" s="233" t="s">
        <v>6714</v>
      </c>
    </row>
    <row r="2518">
      <c r="A2518" s="233" t="s">
        <v>6745</v>
      </c>
      <c r="B2518" s="233" t="s">
        <v>6710</v>
      </c>
      <c r="C2518" s="233" t="s">
        <v>6711</v>
      </c>
      <c r="D2518" s="234">
        <v>45432.88166666667</v>
      </c>
      <c r="E2518" s="234">
        <v>45433.42365740741</v>
      </c>
      <c r="F2518" s="235" t="s">
        <v>706</v>
      </c>
      <c r="G2518" s="236" t="s">
        <v>6746</v>
      </c>
      <c r="H2518" s="233" t="s">
        <v>416</v>
      </c>
      <c r="I2518" s="233" t="s">
        <v>6714</v>
      </c>
    </row>
    <row r="2519">
      <c r="A2519" s="229" t="s">
        <v>6747</v>
      </c>
      <c r="B2519" s="229" t="s">
        <v>6710</v>
      </c>
      <c r="C2519" s="229" t="s">
        <v>6748</v>
      </c>
      <c r="D2519" s="230">
        <v>45704.611296296294</v>
      </c>
      <c r="E2519" s="230">
        <v>45704.62180555556</v>
      </c>
      <c r="F2519" s="231" t="s">
        <v>509</v>
      </c>
      <c r="G2519" s="232" t="s">
        <v>6749</v>
      </c>
      <c r="H2519" s="229" t="s">
        <v>6750</v>
      </c>
      <c r="I2519" s="229" t="s">
        <v>640</v>
      </c>
    </row>
    <row r="2520">
      <c r="A2520" s="233" t="s">
        <v>6751</v>
      </c>
      <c r="B2520" s="233" t="s">
        <v>6710</v>
      </c>
      <c r="C2520" s="233" t="s">
        <v>6716</v>
      </c>
      <c r="D2520" s="234">
        <v>45704.61077546296</v>
      </c>
      <c r="E2520" s="234">
        <v>45704.63559027778</v>
      </c>
      <c r="F2520" s="235" t="s">
        <v>4875</v>
      </c>
      <c r="G2520" s="236" t="s">
        <v>6752</v>
      </c>
      <c r="H2520" s="233" t="s">
        <v>319</v>
      </c>
      <c r="I2520" s="233" t="s">
        <v>6714</v>
      </c>
    </row>
    <row r="2521">
      <c r="A2521" s="229" t="s">
        <v>6753</v>
      </c>
      <c r="B2521" s="229" t="s">
        <v>6710</v>
      </c>
      <c r="C2521" s="229" t="s">
        <v>6754</v>
      </c>
      <c r="D2521" s="230">
        <v>45704.609305555554</v>
      </c>
      <c r="E2521" s="230">
        <v>45704.753530092596</v>
      </c>
      <c r="F2521" s="231" t="s">
        <v>6755</v>
      </c>
      <c r="G2521" s="232" t="s">
        <v>6756</v>
      </c>
      <c r="H2521" s="229" t="s">
        <v>319</v>
      </c>
      <c r="I2521" s="229" t="s">
        <v>6714</v>
      </c>
    </row>
    <row r="2522">
      <c r="A2522" s="233" t="s">
        <v>6757</v>
      </c>
      <c r="B2522" s="233" t="s">
        <v>6710</v>
      </c>
      <c r="C2522" s="233" t="s">
        <v>6758</v>
      </c>
      <c r="D2522" s="234">
        <v>45745.79204861111</v>
      </c>
      <c r="E2522" s="234">
        <v>45746.76048611111</v>
      </c>
      <c r="F2522" s="235" t="s">
        <v>6759</v>
      </c>
      <c r="G2522" s="236" t="s">
        <v>3575</v>
      </c>
      <c r="H2522" s="233" t="s">
        <v>265</v>
      </c>
      <c r="I2522" s="233" t="s">
        <v>461</v>
      </c>
    </row>
    <row r="2523">
      <c r="A2523" s="233" t="s">
        <v>6760</v>
      </c>
      <c r="B2523" s="233" t="s">
        <v>6710</v>
      </c>
      <c r="C2523" s="233" t="s">
        <v>6711</v>
      </c>
      <c r="D2523" s="234">
        <v>45738.70636574074</v>
      </c>
      <c r="E2523" s="234">
        <v>45738.78476851852</v>
      </c>
      <c r="F2523" s="235" t="s">
        <v>6761</v>
      </c>
      <c r="G2523" s="236" t="s">
        <v>6762</v>
      </c>
      <c r="H2523" s="233" t="s">
        <v>319</v>
      </c>
      <c r="I2523" s="233" t="s">
        <v>6714</v>
      </c>
    </row>
    <row r="2524">
      <c r="A2524" s="233" t="s">
        <v>6763</v>
      </c>
      <c r="B2524" s="233" t="s">
        <v>6710</v>
      </c>
      <c r="C2524" s="233" t="s">
        <v>6716</v>
      </c>
      <c r="D2524" s="234">
        <v>45774.60670138889</v>
      </c>
      <c r="E2524" s="234">
        <v>45774.659791666665</v>
      </c>
      <c r="F2524" s="235" t="s">
        <v>330</v>
      </c>
      <c r="G2524" s="236" t="s">
        <v>331</v>
      </c>
      <c r="H2524" s="233" t="s">
        <v>416</v>
      </c>
      <c r="I2524" s="233" t="s">
        <v>6714</v>
      </c>
    </row>
    <row r="2525">
      <c r="A2525" s="233" t="s">
        <v>6764</v>
      </c>
      <c r="B2525" s="233" t="s">
        <v>6765</v>
      </c>
      <c r="C2525" s="233" t="s">
        <v>6766</v>
      </c>
      <c r="D2525" s="234">
        <v>45553.83069444444</v>
      </c>
      <c r="E2525" s="234"/>
      <c r="F2525" s="235" t="s">
        <v>645</v>
      </c>
      <c r="G2525" s="236" t="s">
        <v>3916</v>
      </c>
      <c r="H2525" s="233" t="s">
        <v>265</v>
      </c>
      <c r="I2525" s="233" t="s">
        <v>449</v>
      </c>
    </row>
    <row r="2526">
      <c r="A2526" s="229" t="s">
        <v>6767</v>
      </c>
      <c r="B2526" s="229" t="s">
        <v>6765</v>
      </c>
      <c r="C2526" s="229" t="s">
        <v>2598</v>
      </c>
      <c r="D2526" s="230">
        <v>45553.830509259256</v>
      </c>
      <c r="E2526" s="230"/>
      <c r="F2526" s="231" t="s">
        <v>380</v>
      </c>
      <c r="G2526" s="232" t="s">
        <v>6768</v>
      </c>
      <c r="H2526" s="229" t="s">
        <v>265</v>
      </c>
      <c r="I2526" s="229" t="s">
        <v>449</v>
      </c>
    </row>
    <row r="2527">
      <c r="A2527" s="229" t="s">
        <v>6769</v>
      </c>
      <c r="B2527" s="229" t="s">
        <v>6765</v>
      </c>
      <c r="C2527" s="229" t="s">
        <v>2598</v>
      </c>
      <c r="D2527" s="230">
        <v>45547.864965277775</v>
      </c>
      <c r="E2527" s="230"/>
      <c r="F2527" s="231" t="s">
        <v>2051</v>
      </c>
      <c r="G2527" s="232" t="s">
        <v>6770</v>
      </c>
      <c r="H2527" s="229" t="s">
        <v>265</v>
      </c>
      <c r="I2527" s="229" t="s">
        <v>449</v>
      </c>
    </row>
    <row r="2528">
      <c r="A2528" s="233" t="s">
        <v>6771</v>
      </c>
      <c r="B2528" s="233" t="s">
        <v>6765</v>
      </c>
      <c r="C2528" s="233" t="s">
        <v>6766</v>
      </c>
      <c r="D2528" s="234">
        <v>45547.86298611111</v>
      </c>
      <c r="E2528" s="234"/>
      <c r="F2528" s="235" t="s">
        <v>1082</v>
      </c>
      <c r="G2528" s="236" t="s">
        <v>6772</v>
      </c>
      <c r="H2528" s="233" t="s">
        <v>265</v>
      </c>
      <c r="I2528" s="233" t="s">
        <v>449</v>
      </c>
    </row>
    <row r="2529">
      <c r="A2529" s="229" t="s">
        <v>6773</v>
      </c>
      <c r="B2529" s="229" t="s">
        <v>6765</v>
      </c>
      <c r="C2529" s="229" t="s">
        <v>6766</v>
      </c>
      <c r="D2529" s="230">
        <v>45539.71834490741</v>
      </c>
      <c r="E2529" s="230"/>
      <c r="F2529" s="231" t="s">
        <v>431</v>
      </c>
      <c r="G2529" s="232" t="s">
        <v>6774</v>
      </c>
      <c r="H2529" s="229" t="s">
        <v>265</v>
      </c>
      <c r="I2529" s="229" t="s">
        <v>449</v>
      </c>
    </row>
    <row r="2530">
      <c r="A2530" s="233" t="s">
        <v>6775</v>
      </c>
      <c r="B2530" s="233" t="s">
        <v>6765</v>
      </c>
      <c r="C2530" s="233" t="s">
        <v>2598</v>
      </c>
      <c r="D2530" s="234">
        <v>45539.717939814815</v>
      </c>
      <c r="E2530" s="234"/>
      <c r="F2530" s="235" t="s">
        <v>538</v>
      </c>
      <c r="G2530" s="236" t="s">
        <v>2073</v>
      </c>
      <c r="H2530" s="233" t="s">
        <v>265</v>
      </c>
      <c r="I2530" s="233" t="s">
        <v>449</v>
      </c>
    </row>
    <row r="2531">
      <c r="A2531" s="233" t="s">
        <v>6776</v>
      </c>
      <c r="B2531" s="233" t="s">
        <v>6765</v>
      </c>
      <c r="C2531" s="233" t="s">
        <v>6766</v>
      </c>
      <c r="D2531" s="234">
        <v>45508.757314814815</v>
      </c>
      <c r="E2531" s="234"/>
      <c r="F2531" s="235" t="s">
        <v>5949</v>
      </c>
      <c r="G2531" s="236" t="s">
        <v>6777</v>
      </c>
      <c r="H2531" s="233" t="s">
        <v>265</v>
      </c>
      <c r="I2531" s="233" t="s">
        <v>449</v>
      </c>
    </row>
    <row r="2532">
      <c r="A2532" s="229" t="s">
        <v>6778</v>
      </c>
      <c r="B2532" s="229" t="s">
        <v>6765</v>
      </c>
      <c r="C2532" s="229" t="s">
        <v>2598</v>
      </c>
      <c r="D2532" s="230">
        <v>45497.90880787037</v>
      </c>
      <c r="E2532" s="230"/>
      <c r="F2532" s="231" t="s">
        <v>706</v>
      </c>
      <c r="G2532" s="232" t="s">
        <v>6779</v>
      </c>
      <c r="H2532" s="229" t="s">
        <v>265</v>
      </c>
      <c r="I2532" s="229" t="s">
        <v>449</v>
      </c>
    </row>
    <row r="2533">
      <c r="A2533" s="233" t="s">
        <v>6780</v>
      </c>
      <c r="B2533" s="233" t="s">
        <v>6765</v>
      </c>
      <c r="C2533" s="233" t="s">
        <v>6766</v>
      </c>
      <c r="D2533" s="234">
        <v>45497.90728009259</v>
      </c>
      <c r="E2533" s="234"/>
      <c r="F2533" s="235" t="s">
        <v>250</v>
      </c>
      <c r="G2533" s="236" t="s">
        <v>6781</v>
      </c>
      <c r="H2533" s="233" t="s">
        <v>265</v>
      </c>
      <c r="I2533" s="233" t="s">
        <v>449</v>
      </c>
    </row>
    <row r="2534">
      <c r="A2534" s="229" t="s">
        <v>6782</v>
      </c>
      <c r="B2534" s="229" t="s">
        <v>6765</v>
      </c>
      <c r="C2534" s="229" t="s">
        <v>2598</v>
      </c>
      <c r="D2534" s="230">
        <v>45490.87949074074</v>
      </c>
      <c r="E2534" s="230"/>
      <c r="F2534" s="231" t="s">
        <v>706</v>
      </c>
      <c r="G2534" s="232" t="s">
        <v>6783</v>
      </c>
      <c r="H2534" s="229" t="s">
        <v>265</v>
      </c>
      <c r="I2534" s="229" t="s">
        <v>449</v>
      </c>
    </row>
    <row r="2535">
      <c r="A2535" s="229" t="s">
        <v>6782</v>
      </c>
      <c r="B2535" s="229" t="s">
        <v>6765</v>
      </c>
      <c r="C2535" s="229" t="s">
        <v>2598</v>
      </c>
      <c r="D2535" s="230">
        <v>45490.87949074074</v>
      </c>
      <c r="E2535" s="230"/>
      <c r="F2535" s="231" t="s">
        <v>706</v>
      </c>
      <c r="G2535" s="232" t="s">
        <v>6783</v>
      </c>
      <c r="H2535" s="229" t="s">
        <v>265</v>
      </c>
      <c r="I2535" s="229" t="s">
        <v>449</v>
      </c>
    </row>
    <row r="2536">
      <c r="A2536" s="229" t="s">
        <v>6784</v>
      </c>
      <c r="B2536" s="229" t="s">
        <v>6765</v>
      </c>
      <c r="C2536" s="229" t="s">
        <v>2598</v>
      </c>
      <c r="D2536" s="230">
        <v>45472.78732638889</v>
      </c>
      <c r="E2536" s="230"/>
      <c r="F2536" s="231" t="s">
        <v>2786</v>
      </c>
      <c r="G2536" s="232" t="s">
        <v>6785</v>
      </c>
      <c r="H2536" s="229" t="s">
        <v>265</v>
      </c>
      <c r="I2536" s="229" t="s">
        <v>449</v>
      </c>
    </row>
    <row r="2537">
      <c r="A2537" s="229" t="s">
        <v>6786</v>
      </c>
      <c r="B2537" s="229" t="s">
        <v>6765</v>
      </c>
      <c r="C2537" s="229" t="s">
        <v>2598</v>
      </c>
      <c r="D2537" s="230">
        <v>45469.91420138889</v>
      </c>
      <c r="E2537" s="230"/>
      <c r="F2537" s="231" t="s">
        <v>645</v>
      </c>
      <c r="G2537" s="232" t="s">
        <v>6787</v>
      </c>
      <c r="H2537" s="229" t="s">
        <v>265</v>
      </c>
      <c r="I2537" s="229" t="s">
        <v>449</v>
      </c>
    </row>
    <row r="2538">
      <c r="A2538" s="233" t="s">
        <v>6788</v>
      </c>
      <c r="B2538" s="233" t="s">
        <v>6765</v>
      </c>
      <c r="C2538" s="233" t="s">
        <v>6766</v>
      </c>
      <c r="D2538" s="234">
        <v>45469.91388888889</v>
      </c>
      <c r="E2538" s="234"/>
      <c r="F2538" s="235" t="s">
        <v>645</v>
      </c>
      <c r="G2538" s="236" t="s">
        <v>6787</v>
      </c>
      <c r="H2538" s="233" t="s">
        <v>265</v>
      </c>
      <c r="I2538" s="233" t="s">
        <v>449</v>
      </c>
    </row>
    <row r="2539">
      <c r="A2539" s="233" t="s">
        <v>6789</v>
      </c>
      <c r="B2539" s="233" t="s">
        <v>6765</v>
      </c>
      <c r="C2539" s="233" t="s">
        <v>6766</v>
      </c>
      <c r="D2539" s="234">
        <v>45708.47368055556</v>
      </c>
      <c r="E2539" s="234">
        <v>45709.836909722224</v>
      </c>
      <c r="F2539" s="235" t="s">
        <v>2998</v>
      </c>
      <c r="G2539" s="236" t="s">
        <v>6790</v>
      </c>
      <c r="H2539" s="233" t="s">
        <v>265</v>
      </c>
      <c r="I2539" s="233" t="s">
        <v>449</v>
      </c>
    </row>
    <row r="2540">
      <c r="A2540" s="233" t="s">
        <v>6791</v>
      </c>
      <c r="B2540" s="233" t="s">
        <v>6765</v>
      </c>
      <c r="C2540" s="233" t="s">
        <v>6766</v>
      </c>
      <c r="D2540" s="234">
        <v>45736.8590625</v>
      </c>
      <c r="E2540" s="234">
        <v>45738.71891203704</v>
      </c>
      <c r="F2540" s="235" t="s">
        <v>470</v>
      </c>
      <c r="G2540" s="236" t="s">
        <v>587</v>
      </c>
      <c r="H2540" s="233" t="s">
        <v>265</v>
      </c>
      <c r="I2540" s="233" t="s">
        <v>449</v>
      </c>
    </row>
    <row r="2541">
      <c r="A2541" s="229" t="s">
        <v>6792</v>
      </c>
      <c r="B2541" s="229" t="s">
        <v>6765</v>
      </c>
      <c r="C2541" s="229" t="s">
        <v>2598</v>
      </c>
      <c r="D2541" s="230">
        <v>45736.858773148146</v>
      </c>
      <c r="E2541" s="230">
        <v>45737.684166666666</v>
      </c>
      <c r="F2541" s="231" t="s">
        <v>503</v>
      </c>
      <c r="G2541" s="232" t="s">
        <v>2883</v>
      </c>
      <c r="H2541" s="229" t="s">
        <v>265</v>
      </c>
      <c r="I2541" s="229" t="s">
        <v>449</v>
      </c>
    </row>
    <row r="2542">
      <c r="A2542" s="233" t="s">
        <v>6793</v>
      </c>
      <c r="B2542" s="233" t="s">
        <v>6765</v>
      </c>
      <c r="C2542" s="233" t="s">
        <v>2530</v>
      </c>
      <c r="D2542" s="234">
        <v>45750.736655092594</v>
      </c>
      <c r="E2542" s="234">
        <v>45751.52096064815</v>
      </c>
      <c r="F2542" s="235" t="s">
        <v>651</v>
      </c>
      <c r="G2542" s="236" t="s">
        <v>6794</v>
      </c>
      <c r="H2542" s="233" t="s">
        <v>259</v>
      </c>
      <c r="I2542" s="233" t="s">
        <v>260</v>
      </c>
    </row>
    <row r="2543">
      <c r="A2543" s="233" t="s">
        <v>6795</v>
      </c>
      <c r="B2543" s="233" t="s">
        <v>6796</v>
      </c>
      <c r="C2543" s="233" t="s">
        <v>6797</v>
      </c>
      <c r="D2543" s="234">
        <v>45542.556226851855</v>
      </c>
      <c r="E2543" s="234"/>
      <c r="F2543" s="235" t="s">
        <v>1556</v>
      </c>
      <c r="G2543" s="236" t="s">
        <v>6798</v>
      </c>
      <c r="H2543" s="233" t="s">
        <v>265</v>
      </c>
      <c r="I2543" s="233" t="s">
        <v>4776</v>
      </c>
    </row>
    <row r="2544">
      <c r="A2544" s="229" t="s">
        <v>6799</v>
      </c>
      <c r="B2544" s="229" t="s">
        <v>6796</v>
      </c>
      <c r="C2544" s="229" t="s">
        <v>6800</v>
      </c>
      <c r="D2544" s="230">
        <v>45501.706921296296</v>
      </c>
      <c r="E2544" s="230"/>
      <c r="F2544" s="231" t="s">
        <v>6801</v>
      </c>
      <c r="G2544" s="232" t="s">
        <v>6802</v>
      </c>
      <c r="H2544" s="229" t="s">
        <v>265</v>
      </c>
      <c r="I2544" s="229" t="s">
        <v>4776</v>
      </c>
    </row>
    <row r="2545">
      <c r="A2545" s="233" t="s">
        <v>6803</v>
      </c>
      <c r="B2545" s="233" t="s">
        <v>6804</v>
      </c>
      <c r="C2545" s="233" t="s">
        <v>6805</v>
      </c>
      <c r="D2545" s="234">
        <v>45508.503599537034</v>
      </c>
      <c r="E2545" s="234"/>
      <c r="F2545" s="235" t="s">
        <v>706</v>
      </c>
      <c r="G2545" s="236" t="s">
        <v>6806</v>
      </c>
      <c r="H2545" s="233" t="s">
        <v>416</v>
      </c>
      <c r="I2545" s="233" t="s">
        <v>417</v>
      </c>
    </row>
    <row r="2546">
      <c r="A2546" s="229" t="s">
        <v>6807</v>
      </c>
      <c r="B2546" s="229" t="s">
        <v>6804</v>
      </c>
      <c r="C2546" s="229" t="s">
        <v>6805</v>
      </c>
      <c r="D2546" s="230">
        <v>45501.553090277775</v>
      </c>
      <c r="E2546" s="243"/>
      <c r="F2546" s="231" t="s">
        <v>503</v>
      </c>
      <c r="G2546" s="232" t="s">
        <v>3778</v>
      </c>
      <c r="H2546" s="229" t="s">
        <v>293</v>
      </c>
      <c r="I2546" s="229" t="s">
        <v>260</v>
      </c>
    </row>
    <row r="2547">
      <c r="A2547" s="233" t="s">
        <v>6808</v>
      </c>
      <c r="B2547" s="233" t="s">
        <v>6804</v>
      </c>
      <c r="C2547" s="233" t="s">
        <v>6809</v>
      </c>
      <c r="D2547" s="234">
        <v>45501.5525</v>
      </c>
      <c r="E2547" s="234"/>
      <c r="F2547" s="235" t="s">
        <v>872</v>
      </c>
      <c r="G2547" s="236" t="s">
        <v>6810</v>
      </c>
      <c r="H2547" s="233" t="s">
        <v>265</v>
      </c>
      <c r="I2547" s="233" t="s">
        <v>260</v>
      </c>
    </row>
    <row r="2548">
      <c r="A2548" s="233" t="s">
        <v>6811</v>
      </c>
      <c r="B2548" s="233" t="s">
        <v>6804</v>
      </c>
      <c r="C2548" s="233" t="s">
        <v>6805</v>
      </c>
      <c r="D2548" s="234">
        <v>45491.85671296297</v>
      </c>
      <c r="E2548" s="234"/>
      <c r="F2548" s="235" t="s">
        <v>706</v>
      </c>
      <c r="G2548" s="236" t="s">
        <v>6783</v>
      </c>
      <c r="H2548" s="233" t="s">
        <v>319</v>
      </c>
      <c r="I2548" s="233" t="s">
        <v>417</v>
      </c>
    </row>
    <row r="2549">
      <c r="A2549" s="229" t="s">
        <v>6812</v>
      </c>
      <c r="B2549" s="229" t="s">
        <v>6804</v>
      </c>
      <c r="C2549" s="229" t="s">
        <v>6805</v>
      </c>
      <c r="D2549" s="230">
        <v>45491.85407407407</v>
      </c>
      <c r="E2549" s="244"/>
      <c r="F2549" s="231" t="s">
        <v>391</v>
      </c>
      <c r="G2549" s="232" t="s">
        <v>877</v>
      </c>
      <c r="H2549" s="229" t="s">
        <v>293</v>
      </c>
      <c r="I2549" s="229" t="s">
        <v>260</v>
      </c>
    </row>
    <row r="2550">
      <c r="A2550" s="229" t="s">
        <v>6813</v>
      </c>
      <c r="B2550" s="229" t="s">
        <v>6804</v>
      </c>
      <c r="C2550" s="229" t="s">
        <v>6805</v>
      </c>
      <c r="D2550" s="230">
        <v>45487.884097222224</v>
      </c>
      <c r="E2550" s="230"/>
      <c r="F2550" s="231" t="s">
        <v>6814</v>
      </c>
      <c r="G2550" s="232" t="s">
        <v>6815</v>
      </c>
      <c r="H2550" s="229" t="s">
        <v>293</v>
      </c>
      <c r="I2550" s="229" t="s">
        <v>260</v>
      </c>
    </row>
    <row r="2551">
      <c r="A2551" s="233" t="s">
        <v>6816</v>
      </c>
      <c r="B2551" s="233" t="s">
        <v>6804</v>
      </c>
      <c r="C2551" s="233" t="s">
        <v>6809</v>
      </c>
      <c r="D2551" s="234">
        <v>45487.88302083333</v>
      </c>
      <c r="E2551" s="234"/>
      <c r="F2551" s="235" t="s">
        <v>6817</v>
      </c>
      <c r="G2551" s="236" t="s">
        <v>6818</v>
      </c>
      <c r="H2551" s="233" t="s">
        <v>265</v>
      </c>
      <c r="I2551" s="233" t="s">
        <v>260</v>
      </c>
    </row>
    <row r="2552">
      <c r="A2552" s="233" t="s">
        <v>6811</v>
      </c>
      <c r="B2552" s="233" t="s">
        <v>6804</v>
      </c>
      <c r="C2552" s="233" t="s">
        <v>6805</v>
      </c>
      <c r="D2552" s="234">
        <v>45491.85671296297</v>
      </c>
      <c r="E2552" s="234"/>
      <c r="F2552" s="235" t="s">
        <v>706</v>
      </c>
      <c r="G2552" s="236" t="s">
        <v>6783</v>
      </c>
      <c r="H2552" s="233" t="s">
        <v>319</v>
      </c>
      <c r="I2552" s="233" t="s">
        <v>417</v>
      </c>
    </row>
    <row r="2553">
      <c r="A2553" s="229" t="s">
        <v>6812</v>
      </c>
      <c r="B2553" s="229" t="s">
        <v>6804</v>
      </c>
      <c r="C2553" s="229" t="s">
        <v>6805</v>
      </c>
      <c r="D2553" s="230">
        <v>45491.85407407407</v>
      </c>
      <c r="E2553" s="244"/>
      <c r="F2553" s="231" t="s">
        <v>391</v>
      </c>
      <c r="G2553" s="232" t="s">
        <v>877</v>
      </c>
      <c r="H2553" s="229" t="s">
        <v>293</v>
      </c>
      <c r="I2553" s="229" t="s">
        <v>260</v>
      </c>
    </row>
    <row r="2554">
      <c r="A2554" s="229" t="s">
        <v>6813</v>
      </c>
      <c r="B2554" s="229" t="s">
        <v>6804</v>
      </c>
      <c r="C2554" s="229" t="s">
        <v>6805</v>
      </c>
      <c r="D2554" s="230">
        <v>45487.884097222224</v>
      </c>
      <c r="E2554" s="230"/>
      <c r="F2554" s="231" t="s">
        <v>6814</v>
      </c>
      <c r="G2554" s="232" t="s">
        <v>6815</v>
      </c>
      <c r="H2554" s="229" t="s">
        <v>293</v>
      </c>
      <c r="I2554" s="229" t="s">
        <v>260</v>
      </c>
    </row>
    <row r="2555">
      <c r="A2555" s="233" t="s">
        <v>6816</v>
      </c>
      <c r="B2555" s="233" t="s">
        <v>6804</v>
      </c>
      <c r="C2555" s="233" t="s">
        <v>6809</v>
      </c>
      <c r="D2555" s="234">
        <v>45487.88302083333</v>
      </c>
      <c r="E2555" s="234"/>
      <c r="F2555" s="235" t="s">
        <v>6817</v>
      </c>
      <c r="G2555" s="236" t="s">
        <v>6818</v>
      </c>
      <c r="H2555" s="233" t="s">
        <v>265</v>
      </c>
      <c r="I2555" s="233" t="s">
        <v>260</v>
      </c>
    </row>
    <row r="2556">
      <c r="A2556" s="229" t="s">
        <v>6819</v>
      </c>
      <c r="B2556" s="229" t="s">
        <v>6804</v>
      </c>
      <c r="C2556" s="229" t="s">
        <v>6809</v>
      </c>
      <c r="D2556" s="230">
        <v>45473.54652777778</v>
      </c>
      <c r="E2556" s="230"/>
      <c r="F2556" s="231" t="s">
        <v>6820</v>
      </c>
      <c r="G2556" s="232" t="s">
        <v>6821</v>
      </c>
      <c r="H2556" s="229" t="s">
        <v>265</v>
      </c>
      <c r="I2556" s="229" t="s">
        <v>260</v>
      </c>
    </row>
    <row r="2557">
      <c r="A2557" s="233" t="s">
        <v>6822</v>
      </c>
      <c r="B2557" s="233" t="s">
        <v>6804</v>
      </c>
      <c r="C2557" s="233" t="s">
        <v>6823</v>
      </c>
      <c r="D2557" s="234">
        <v>45473.545277777775</v>
      </c>
      <c r="E2557" s="234"/>
      <c r="F2557" s="235" t="s">
        <v>5313</v>
      </c>
      <c r="G2557" s="236" t="s">
        <v>6824</v>
      </c>
      <c r="H2557" s="233" t="s">
        <v>319</v>
      </c>
      <c r="I2557" s="233" t="s">
        <v>417</v>
      </c>
    </row>
    <row r="2558">
      <c r="A2558" s="233" t="s">
        <v>6825</v>
      </c>
      <c r="B2558" s="233" t="s">
        <v>6826</v>
      </c>
      <c r="C2558" s="233" t="s">
        <v>5521</v>
      </c>
      <c r="D2558" s="234">
        <v>45515.477060185185</v>
      </c>
      <c r="E2558" s="234"/>
      <c r="F2558" s="235" t="s">
        <v>6827</v>
      </c>
      <c r="G2558" s="236" t="s">
        <v>6828</v>
      </c>
      <c r="H2558" s="233" t="s">
        <v>265</v>
      </c>
      <c r="I2558" s="233" t="s">
        <v>4978</v>
      </c>
    </row>
    <row r="2559">
      <c r="A2559" s="229" t="s">
        <v>6829</v>
      </c>
      <c r="B2559" s="229" t="s">
        <v>6826</v>
      </c>
      <c r="C2559" s="229" t="s">
        <v>6830</v>
      </c>
      <c r="D2559" s="230">
        <v>45507.83971064815</v>
      </c>
      <c r="E2559" s="230"/>
      <c r="F2559" s="231" t="s">
        <v>6831</v>
      </c>
      <c r="G2559" s="232" t="s">
        <v>6832</v>
      </c>
      <c r="H2559" s="229" t="s">
        <v>265</v>
      </c>
      <c r="I2559" s="229" t="s">
        <v>4978</v>
      </c>
    </row>
    <row r="2560">
      <c r="A2560" s="233" t="s">
        <v>6833</v>
      </c>
      <c r="B2560" s="233" t="s">
        <v>6826</v>
      </c>
      <c r="C2560" s="233" t="s">
        <v>5521</v>
      </c>
      <c r="D2560" s="234">
        <v>45500.77380787037</v>
      </c>
      <c r="E2560" s="234"/>
      <c r="F2560" s="235" t="s">
        <v>2797</v>
      </c>
      <c r="G2560" s="236" t="s">
        <v>6834</v>
      </c>
      <c r="H2560" s="233" t="s">
        <v>265</v>
      </c>
      <c r="I2560" s="233" t="s">
        <v>4978</v>
      </c>
    </row>
    <row r="2561">
      <c r="A2561" s="229" t="s">
        <v>6835</v>
      </c>
      <c r="B2561" s="229" t="s">
        <v>6826</v>
      </c>
      <c r="C2561" s="229" t="s">
        <v>5521</v>
      </c>
      <c r="D2561" s="230">
        <v>45500.771944444445</v>
      </c>
      <c r="E2561" s="243"/>
      <c r="F2561" s="231" t="s">
        <v>391</v>
      </c>
      <c r="G2561" s="232" t="s">
        <v>877</v>
      </c>
      <c r="H2561" s="229" t="s">
        <v>259</v>
      </c>
      <c r="I2561" s="229" t="s">
        <v>4978</v>
      </c>
    </row>
    <row r="2562">
      <c r="A2562" s="229" t="s">
        <v>6836</v>
      </c>
      <c r="B2562" s="229" t="s">
        <v>6826</v>
      </c>
      <c r="C2562" s="229" t="s">
        <v>5521</v>
      </c>
      <c r="D2562" s="230">
        <v>45493.700949074075</v>
      </c>
      <c r="E2562" s="230"/>
      <c r="F2562" s="231" t="s">
        <v>291</v>
      </c>
      <c r="G2562" s="232" t="s">
        <v>6837</v>
      </c>
      <c r="H2562" s="229" t="s">
        <v>259</v>
      </c>
      <c r="I2562" s="229" t="s">
        <v>4978</v>
      </c>
    </row>
    <row r="2563">
      <c r="A2563" s="229" t="s">
        <v>6838</v>
      </c>
      <c r="B2563" s="229" t="s">
        <v>6826</v>
      </c>
      <c r="C2563" s="229" t="s">
        <v>5521</v>
      </c>
      <c r="D2563" s="230">
        <v>45467.90513888889</v>
      </c>
      <c r="E2563" s="230"/>
      <c r="F2563" s="231" t="s">
        <v>6839</v>
      </c>
      <c r="G2563" s="232" t="s">
        <v>6840</v>
      </c>
      <c r="H2563" s="229" t="s">
        <v>259</v>
      </c>
      <c r="I2563" s="229" t="s">
        <v>4978</v>
      </c>
    </row>
    <row r="2564">
      <c r="A2564" s="233" t="s">
        <v>6841</v>
      </c>
      <c r="B2564" s="233" t="s">
        <v>6826</v>
      </c>
      <c r="C2564" s="233" t="s">
        <v>5520</v>
      </c>
      <c r="D2564" s="234">
        <v>45459.43994212963</v>
      </c>
      <c r="E2564" s="234">
        <v>45459.31953703704</v>
      </c>
      <c r="F2564" s="235" t="s">
        <v>330</v>
      </c>
      <c r="G2564" s="236" t="s">
        <v>6842</v>
      </c>
      <c r="H2564" s="233" t="s">
        <v>265</v>
      </c>
      <c r="I2564" s="233" t="s">
        <v>4978</v>
      </c>
    </row>
    <row r="2565">
      <c r="A2565" s="229" t="s">
        <v>6843</v>
      </c>
      <c r="B2565" s="229" t="s">
        <v>6826</v>
      </c>
      <c r="C2565" s="229" t="s">
        <v>5521</v>
      </c>
      <c r="D2565" s="230">
        <v>45431.767222222225</v>
      </c>
      <c r="E2565" s="244"/>
      <c r="F2565" s="231" t="s">
        <v>6844</v>
      </c>
      <c r="G2565" s="232" t="s">
        <v>6845</v>
      </c>
      <c r="H2565" s="229" t="s">
        <v>265</v>
      </c>
      <c r="I2565" s="229" t="s">
        <v>4978</v>
      </c>
    </row>
    <row r="2566">
      <c r="A2566" s="233" t="s">
        <v>6846</v>
      </c>
      <c r="B2566" s="233" t="s">
        <v>6847</v>
      </c>
      <c r="C2566" s="233" t="s">
        <v>6848</v>
      </c>
      <c r="D2566" s="234">
        <v>45436.74982638889</v>
      </c>
      <c r="E2566" s="234">
        <v>45437.517430555556</v>
      </c>
      <c r="F2566" s="235" t="s">
        <v>538</v>
      </c>
      <c r="G2566" s="236" t="s">
        <v>6849</v>
      </c>
      <c r="H2566" s="233" t="s">
        <v>535</v>
      </c>
      <c r="I2566" s="233" t="s">
        <v>260</v>
      </c>
    </row>
    <row r="2567">
      <c r="A2567" s="233" t="s">
        <v>6850</v>
      </c>
      <c r="B2567" s="233" t="s">
        <v>6851</v>
      </c>
      <c r="C2567" s="233" t="s">
        <v>6852</v>
      </c>
      <c r="D2567" s="234">
        <v>45494.73024305556</v>
      </c>
      <c r="E2567" s="234"/>
      <c r="F2567" s="235" t="s">
        <v>317</v>
      </c>
      <c r="G2567" s="236" t="s">
        <v>5511</v>
      </c>
      <c r="H2567" s="233" t="s">
        <v>259</v>
      </c>
      <c r="I2567" s="233" t="s">
        <v>531</v>
      </c>
    </row>
    <row r="2568">
      <c r="A2568" s="233" t="s">
        <v>6853</v>
      </c>
      <c r="B2568" s="233" t="s">
        <v>6851</v>
      </c>
      <c r="C2568" s="233" t="s">
        <v>6852</v>
      </c>
      <c r="D2568" s="234">
        <v>45711.675162037034</v>
      </c>
      <c r="E2568" s="234">
        <v>45712.43069444445</v>
      </c>
      <c r="F2568" s="235" t="s">
        <v>503</v>
      </c>
      <c r="G2568" s="236" t="s">
        <v>1841</v>
      </c>
      <c r="H2568" s="233" t="s">
        <v>259</v>
      </c>
      <c r="I2568" s="233" t="s">
        <v>531</v>
      </c>
    </row>
    <row r="2569">
      <c r="A2569" s="229" t="s">
        <v>6854</v>
      </c>
      <c r="B2569" s="229" t="s">
        <v>6855</v>
      </c>
      <c r="C2569" s="229" t="s">
        <v>6856</v>
      </c>
      <c r="D2569" s="230">
        <v>45774.5837962963</v>
      </c>
      <c r="E2569" s="230">
        <v>45776.51746527778</v>
      </c>
      <c r="F2569" s="231" t="s">
        <v>317</v>
      </c>
      <c r="G2569" s="232" t="s">
        <v>678</v>
      </c>
      <c r="H2569" s="229" t="s">
        <v>293</v>
      </c>
      <c r="I2569" s="229" t="s">
        <v>260</v>
      </c>
    </row>
    <row r="2570">
      <c r="A2570" s="229" t="s">
        <v>6857</v>
      </c>
      <c r="B2570" s="229" t="s">
        <v>6858</v>
      </c>
      <c r="C2570" s="229" t="s">
        <v>6859</v>
      </c>
      <c r="D2570" s="230">
        <v>45536.663935185185</v>
      </c>
      <c r="E2570" s="230"/>
      <c r="F2570" s="231" t="s">
        <v>722</v>
      </c>
      <c r="G2570" s="232" t="s">
        <v>6680</v>
      </c>
      <c r="H2570" s="229" t="s">
        <v>265</v>
      </c>
      <c r="I2570" s="229" t="s">
        <v>1697</v>
      </c>
    </row>
    <row r="2571">
      <c r="A2571" s="233" t="s">
        <v>6860</v>
      </c>
      <c r="B2571" s="233" t="s">
        <v>6858</v>
      </c>
      <c r="C2571" s="233" t="s">
        <v>6859</v>
      </c>
      <c r="D2571" s="234">
        <v>45759.75837962963</v>
      </c>
      <c r="E2571" s="234">
        <v>45759.76751157407</v>
      </c>
      <c r="F2571" s="235" t="s">
        <v>715</v>
      </c>
      <c r="G2571" s="236" t="s">
        <v>6861</v>
      </c>
      <c r="H2571" s="233" t="s">
        <v>265</v>
      </c>
      <c r="I2571" s="233" t="s">
        <v>1697</v>
      </c>
    </row>
    <row r="2572">
      <c r="A2572" s="233" t="s">
        <v>6862</v>
      </c>
      <c r="B2572" s="233" t="s">
        <v>6863</v>
      </c>
      <c r="C2572" s="233" t="s">
        <v>6864</v>
      </c>
      <c r="D2572" s="234">
        <v>45550.511458333334</v>
      </c>
      <c r="E2572" s="234"/>
      <c r="F2572" s="235" t="s">
        <v>498</v>
      </c>
      <c r="G2572" s="236" t="s">
        <v>6161</v>
      </c>
      <c r="H2572" s="233" t="s">
        <v>259</v>
      </c>
      <c r="I2572" s="233" t="s">
        <v>313</v>
      </c>
    </row>
    <row r="2573">
      <c r="A2573" s="238" t="s">
        <v>6865</v>
      </c>
      <c r="B2573" s="238" t="s">
        <v>6863</v>
      </c>
      <c r="C2573" s="238" t="s">
        <v>6864</v>
      </c>
      <c r="D2573" s="239">
        <v>45702.77009259259</v>
      </c>
      <c r="E2573" s="239">
        <v>45702.798680555556</v>
      </c>
      <c r="F2573" s="240" t="s">
        <v>250</v>
      </c>
      <c r="G2573" s="241" t="s">
        <v>6866</v>
      </c>
      <c r="H2573" s="238" t="s">
        <v>259</v>
      </c>
      <c r="I2573" s="238" t="s">
        <v>313</v>
      </c>
    </row>
    <row r="2574">
      <c r="A2574" s="229" t="s">
        <v>6867</v>
      </c>
      <c r="B2574" s="229" t="s">
        <v>6863</v>
      </c>
      <c r="C2574" s="229" t="s">
        <v>6864</v>
      </c>
      <c r="D2574" s="230">
        <v>45737.85915509259</v>
      </c>
      <c r="E2574" s="230">
        <v>45738.4305787037</v>
      </c>
      <c r="F2574" s="231" t="s">
        <v>470</v>
      </c>
      <c r="G2574" s="232" t="s">
        <v>2189</v>
      </c>
      <c r="H2574" s="229" t="s">
        <v>259</v>
      </c>
      <c r="I2574" s="229" t="s">
        <v>313</v>
      </c>
    </row>
    <row r="2575">
      <c r="A2575" s="233" t="s">
        <v>6868</v>
      </c>
      <c r="B2575" s="233" t="s">
        <v>6869</v>
      </c>
      <c r="C2575" s="233" t="s">
        <v>6870</v>
      </c>
      <c r="D2575" s="234">
        <v>45706.55777777778</v>
      </c>
      <c r="E2575" s="234">
        <v>45706.62511574074</v>
      </c>
      <c r="F2575" s="235" t="s">
        <v>6871</v>
      </c>
      <c r="G2575" s="236" t="s">
        <v>6872</v>
      </c>
      <c r="H2575" s="233" t="s">
        <v>356</v>
      </c>
      <c r="I2575" s="233" t="s">
        <v>1302</v>
      </c>
    </row>
    <row r="2576">
      <c r="A2576" s="233" t="s">
        <v>6873</v>
      </c>
      <c r="B2576" s="233" t="s">
        <v>6874</v>
      </c>
      <c r="C2576" s="233" t="s">
        <v>6875</v>
      </c>
      <c r="D2576" s="234">
        <v>45550.61425925926</v>
      </c>
      <c r="E2576" s="234"/>
      <c r="F2576" s="235" t="s">
        <v>498</v>
      </c>
      <c r="G2576" s="236" t="s">
        <v>6876</v>
      </c>
      <c r="H2576" s="233" t="s">
        <v>356</v>
      </c>
      <c r="I2576" s="233" t="s">
        <v>946</v>
      </c>
    </row>
    <row r="2577">
      <c r="A2577" s="229" t="s">
        <v>6877</v>
      </c>
      <c r="B2577" s="229" t="s">
        <v>6874</v>
      </c>
      <c r="C2577" s="229" t="s">
        <v>6878</v>
      </c>
      <c r="D2577" s="230">
        <v>45545.866261574076</v>
      </c>
      <c r="E2577" s="230"/>
      <c r="F2577" s="231" t="s">
        <v>2920</v>
      </c>
      <c r="G2577" s="232" t="s">
        <v>6879</v>
      </c>
      <c r="H2577" s="229" t="s">
        <v>356</v>
      </c>
      <c r="I2577" s="229" t="s">
        <v>6880</v>
      </c>
    </row>
    <row r="2578">
      <c r="A2578" s="229" t="s">
        <v>6881</v>
      </c>
      <c r="B2578" s="229" t="s">
        <v>6874</v>
      </c>
      <c r="C2578" s="229" t="s">
        <v>6878</v>
      </c>
      <c r="D2578" s="230">
        <v>45529.527337962965</v>
      </c>
      <c r="E2578" s="230"/>
      <c r="F2578" s="231" t="s">
        <v>706</v>
      </c>
      <c r="G2578" s="232" t="s">
        <v>5740</v>
      </c>
      <c r="H2578" s="229" t="s">
        <v>356</v>
      </c>
      <c r="I2578" s="229" t="s">
        <v>6880</v>
      </c>
    </row>
    <row r="2579">
      <c r="A2579" s="229" t="s">
        <v>6882</v>
      </c>
      <c r="B2579" s="229" t="s">
        <v>6874</v>
      </c>
      <c r="C2579" s="229" t="s">
        <v>6878</v>
      </c>
      <c r="D2579" s="230">
        <v>45521.61945601852</v>
      </c>
      <c r="E2579" s="230"/>
      <c r="F2579" s="231" t="s">
        <v>722</v>
      </c>
      <c r="G2579" s="232" t="s">
        <v>2291</v>
      </c>
      <c r="H2579" s="229" t="s">
        <v>356</v>
      </c>
      <c r="I2579" s="229" t="s">
        <v>6880</v>
      </c>
    </row>
    <row r="2580">
      <c r="A2580" s="229" t="s">
        <v>6883</v>
      </c>
      <c r="B2580" s="229" t="s">
        <v>6874</v>
      </c>
      <c r="C2580" s="229" t="s">
        <v>6875</v>
      </c>
      <c r="D2580" s="230">
        <v>45479.72320601852</v>
      </c>
      <c r="E2580" s="230"/>
      <c r="F2580" s="231" t="s">
        <v>2920</v>
      </c>
      <c r="G2580" s="232" t="s">
        <v>6884</v>
      </c>
      <c r="H2580" s="229" t="s">
        <v>356</v>
      </c>
      <c r="I2580" s="229" t="s">
        <v>946</v>
      </c>
    </row>
    <row r="2581">
      <c r="A2581" s="229" t="s">
        <v>6885</v>
      </c>
      <c r="B2581" s="229" t="s">
        <v>6874</v>
      </c>
      <c r="C2581" s="229" t="s">
        <v>6878</v>
      </c>
      <c r="D2581" s="230">
        <v>45475.74383101852</v>
      </c>
      <c r="E2581" s="230"/>
      <c r="F2581" s="231" t="s">
        <v>1646</v>
      </c>
      <c r="G2581" s="232" t="s">
        <v>6886</v>
      </c>
      <c r="H2581" s="229" t="s">
        <v>356</v>
      </c>
      <c r="I2581" s="229" t="s">
        <v>6880</v>
      </c>
    </row>
    <row r="2582">
      <c r="A2582" s="229" t="s">
        <v>6887</v>
      </c>
      <c r="B2582" s="229" t="s">
        <v>6874</v>
      </c>
      <c r="C2582" s="229" t="s">
        <v>6875</v>
      </c>
      <c r="D2582" s="230">
        <v>45474.836018518516</v>
      </c>
      <c r="E2582" s="230"/>
      <c r="F2582" s="231" t="s">
        <v>503</v>
      </c>
      <c r="G2582" s="232" t="s">
        <v>801</v>
      </c>
      <c r="H2582" s="229" t="s">
        <v>356</v>
      </c>
      <c r="I2582" s="229" t="s">
        <v>946</v>
      </c>
    </row>
    <row r="2583">
      <c r="A2583" s="233" t="s">
        <v>6888</v>
      </c>
      <c r="B2583" s="233" t="s">
        <v>6874</v>
      </c>
      <c r="C2583" s="233" t="s">
        <v>6875</v>
      </c>
      <c r="D2583" s="234">
        <v>45452.68987268519</v>
      </c>
      <c r="E2583" s="234">
        <v>45452.65975694444</v>
      </c>
      <c r="F2583" s="235" t="s">
        <v>250</v>
      </c>
      <c r="G2583" s="236" t="s">
        <v>6889</v>
      </c>
      <c r="H2583" s="233" t="s">
        <v>356</v>
      </c>
      <c r="I2583" s="233" t="s">
        <v>946</v>
      </c>
    </row>
    <row r="2584">
      <c r="A2584" s="233" t="s">
        <v>6890</v>
      </c>
      <c r="B2584" s="233" t="s">
        <v>6874</v>
      </c>
      <c r="C2584" s="233" t="s">
        <v>6875</v>
      </c>
      <c r="D2584" s="234">
        <v>45444.791921296295</v>
      </c>
      <c r="E2584" s="234">
        <v>45444.66321759259</v>
      </c>
      <c r="F2584" s="235" t="s">
        <v>291</v>
      </c>
      <c r="G2584" s="236" t="s">
        <v>6891</v>
      </c>
      <c r="H2584" s="233" t="s">
        <v>356</v>
      </c>
      <c r="I2584" s="233" t="s">
        <v>946</v>
      </c>
    </row>
    <row r="2585">
      <c r="A2585" s="233" t="s">
        <v>6892</v>
      </c>
      <c r="B2585" s="233" t="s">
        <v>6874</v>
      </c>
      <c r="C2585" s="233" t="s">
        <v>6893</v>
      </c>
      <c r="D2585" s="234">
        <v>45760.63013888889</v>
      </c>
      <c r="E2585" s="234">
        <v>45761.61478009259</v>
      </c>
      <c r="F2585" s="235" t="s">
        <v>4906</v>
      </c>
      <c r="G2585" s="236" t="s">
        <v>6894</v>
      </c>
      <c r="H2585" s="233" t="s">
        <v>356</v>
      </c>
      <c r="I2585" s="233" t="s">
        <v>2631</v>
      </c>
    </row>
    <row r="2586">
      <c r="A2586" s="229" t="s">
        <v>6895</v>
      </c>
      <c r="B2586" s="229" t="s">
        <v>6896</v>
      </c>
      <c r="C2586" s="229" t="s">
        <v>6897</v>
      </c>
      <c r="D2586" s="230">
        <v>45549.73336805555</v>
      </c>
      <c r="E2586" s="230"/>
      <c r="F2586" s="231" t="s">
        <v>503</v>
      </c>
      <c r="G2586" s="232" t="s">
        <v>6898</v>
      </c>
      <c r="H2586" s="229" t="s">
        <v>754</v>
      </c>
      <c r="I2586" s="229" t="s">
        <v>260</v>
      </c>
    </row>
    <row r="2587">
      <c r="A2587" s="233" t="s">
        <v>6899</v>
      </c>
      <c r="B2587" s="233" t="s">
        <v>6896</v>
      </c>
      <c r="C2587" s="233" t="s">
        <v>6897</v>
      </c>
      <c r="D2587" s="234">
        <v>45494.72409722222</v>
      </c>
      <c r="E2587" s="234"/>
      <c r="F2587" s="235" t="s">
        <v>503</v>
      </c>
      <c r="G2587" s="236" t="s">
        <v>1744</v>
      </c>
      <c r="H2587" s="233" t="s">
        <v>754</v>
      </c>
      <c r="I2587" s="233" t="s">
        <v>260</v>
      </c>
    </row>
    <row r="2588">
      <c r="A2588" s="233" t="s">
        <v>6900</v>
      </c>
      <c r="B2588" s="233" t="s">
        <v>6901</v>
      </c>
      <c r="C2588" s="233" t="s">
        <v>6902</v>
      </c>
      <c r="D2588" s="234">
        <v>45543.54607638889</v>
      </c>
      <c r="E2588" s="234"/>
      <c r="F2588" s="235" t="s">
        <v>1884</v>
      </c>
      <c r="G2588" s="236" t="s">
        <v>6903</v>
      </c>
      <c r="H2588" s="233" t="s">
        <v>319</v>
      </c>
      <c r="I2588" s="233" t="s">
        <v>6714</v>
      </c>
    </row>
    <row r="2589">
      <c r="A2589" s="233" t="s">
        <v>6904</v>
      </c>
      <c r="B2589" s="233" t="s">
        <v>6901</v>
      </c>
      <c r="C2589" s="233" t="s">
        <v>6902</v>
      </c>
      <c r="D2589" s="234">
        <v>45529.66136574074</v>
      </c>
      <c r="E2589" s="234"/>
      <c r="F2589" s="235" t="s">
        <v>599</v>
      </c>
      <c r="G2589" s="236" t="s">
        <v>2839</v>
      </c>
      <c r="H2589" s="233" t="s">
        <v>319</v>
      </c>
      <c r="I2589" s="233" t="s">
        <v>6714</v>
      </c>
    </row>
    <row r="2590">
      <c r="A2590" s="233" t="s">
        <v>6905</v>
      </c>
      <c r="B2590" s="233" t="s">
        <v>6901</v>
      </c>
      <c r="C2590" s="233" t="s">
        <v>6902</v>
      </c>
      <c r="D2590" s="234">
        <v>45480.62633101852</v>
      </c>
      <c r="E2590" s="234"/>
      <c r="F2590" s="235" t="s">
        <v>648</v>
      </c>
      <c r="G2590" s="236" t="s">
        <v>4362</v>
      </c>
      <c r="H2590" s="233" t="s">
        <v>319</v>
      </c>
      <c r="I2590" s="233" t="s">
        <v>6714</v>
      </c>
    </row>
    <row r="2591">
      <c r="A2591" s="229" t="s">
        <v>6906</v>
      </c>
      <c r="B2591" s="229" t="s">
        <v>6901</v>
      </c>
      <c r="C2591" s="229" t="s">
        <v>6902</v>
      </c>
      <c r="D2591" s="230">
        <v>45472.73925925926</v>
      </c>
      <c r="E2591" s="230"/>
      <c r="F2591" s="231" t="s">
        <v>563</v>
      </c>
      <c r="G2591" s="232" t="s">
        <v>6907</v>
      </c>
      <c r="H2591" s="229" t="s">
        <v>319</v>
      </c>
      <c r="I2591" s="229" t="s">
        <v>6714</v>
      </c>
    </row>
    <row r="2592">
      <c r="A2592" s="233" t="s">
        <v>6908</v>
      </c>
      <c r="B2592" s="233" t="s">
        <v>6901</v>
      </c>
      <c r="C2592" s="233" t="s">
        <v>6902</v>
      </c>
      <c r="D2592" s="234">
        <v>45469.80163194444</v>
      </c>
      <c r="E2592" s="234"/>
      <c r="F2592" s="235" t="s">
        <v>6909</v>
      </c>
      <c r="G2592" s="236" t="s">
        <v>6910</v>
      </c>
      <c r="H2592" s="233" t="s">
        <v>3516</v>
      </c>
      <c r="I2592" s="233" t="s">
        <v>6043</v>
      </c>
    </row>
    <row r="2593">
      <c r="A2593" s="229" t="s">
        <v>6911</v>
      </c>
      <c r="B2593" s="229" t="s">
        <v>6901</v>
      </c>
      <c r="C2593" s="229" t="s">
        <v>6902</v>
      </c>
      <c r="D2593" s="230">
        <v>45469.79622685185</v>
      </c>
      <c r="E2593" s="230"/>
      <c r="F2593" s="231" t="s">
        <v>6912</v>
      </c>
      <c r="G2593" s="232" t="s">
        <v>6913</v>
      </c>
      <c r="H2593" s="229" t="s">
        <v>319</v>
      </c>
      <c r="I2593" s="229" t="s">
        <v>6714</v>
      </c>
    </row>
    <row r="2594">
      <c r="A2594" s="233" t="s">
        <v>6914</v>
      </c>
      <c r="B2594" s="233" t="s">
        <v>6901</v>
      </c>
      <c r="C2594" s="233" t="s">
        <v>6902</v>
      </c>
      <c r="D2594" s="234">
        <v>45454.682118055556</v>
      </c>
      <c r="E2594" s="234">
        <v>45454.51751157407</v>
      </c>
      <c r="F2594" s="235" t="s">
        <v>6915</v>
      </c>
      <c r="G2594" s="236" t="s">
        <v>6916</v>
      </c>
      <c r="H2594" s="233" t="s">
        <v>3516</v>
      </c>
      <c r="I2594" s="233" t="s">
        <v>6043</v>
      </c>
    </row>
    <row r="2595">
      <c r="A2595" s="229" t="s">
        <v>6917</v>
      </c>
      <c r="B2595" s="229" t="s">
        <v>6901</v>
      </c>
      <c r="C2595" s="229" t="s">
        <v>6902</v>
      </c>
      <c r="D2595" s="230">
        <v>45439.84186342593</v>
      </c>
      <c r="E2595" s="230">
        <v>45440.50702546296</v>
      </c>
      <c r="F2595" s="231" t="s">
        <v>439</v>
      </c>
      <c r="G2595" s="232" t="s">
        <v>6918</v>
      </c>
      <c r="H2595" s="229" t="s">
        <v>319</v>
      </c>
      <c r="I2595" s="229" t="s">
        <v>6714</v>
      </c>
    </row>
    <row r="2596">
      <c r="A2596" s="233" t="s">
        <v>6919</v>
      </c>
      <c r="B2596" s="233" t="s">
        <v>6901</v>
      </c>
      <c r="C2596" s="233" t="s">
        <v>6902</v>
      </c>
      <c r="D2596" s="234">
        <v>45437.6934375</v>
      </c>
      <c r="E2596" s="234">
        <v>45437.53476851852</v>
      </c>
      <c r="F2596" s="235" t="s">
        <v>4166</v>
      </c>
      <c r="G2596" s="236" t="s">
        <v>6920</v>
      </c>
      <c r="H2596" s="233" t="s">
        <v>319</v>
      </c>
      <c r="I2596" s="233" t="s">
        <v>6714</v>
      </c>
    </row>
    <row r="2597">
      <c r="A2597" s="229" t="s">
        <v>6921</v>
      </c>
      <c r="B2597" s="229" t="s">
        <v>6901</v>
      </c>
      <c r="C2597" s="229" t="s">
        <v>6902</v>
      </c>
      <c r="D2597" s="230">
        <v>45437.64604166667</v>
      </c>
      <c r="E2597" s="244"/>
      <c r="F2597" s="231" t="s">
        <v>4166</v>
      </c>
      <c r="G2597" s="232" t="s">
        <v>6922</v>
      </c>
      <c r="H2597" s="229" t="s">
        <v>416</v>
      </c>
      <c r="I2597" s="229" t="s">
        <v>6714</v>
      </c>
    </row>
    <row r="2598">
      <c r="A2598" s="229" t="s">
        <v>6923</v>
      </c>
      <c r="B2598" s="229" t="s">
        <v>6901</v>
      </c>
      <c r="C2598" s="229" t="s">
        <v>6902</v>
      </c>
      <c r="D2598" s="230">
        <v>45431.50981481482</v>
      </c>
      <c r="E2598" s="230">
        <v>45431.39945601852</v>
      </c>
      <c r="F2598" s="231" t="s">
        <v>542</v>
      </c>
      <c r="G2598" s="232" t="s">
        <v>6924</v>
      </c>
      <c r="H2598" s="229" t="s">
        <v>416</v>
      </c>
      <c r="I2598" s="229" t="s">
        <v>6714</v>
      </c>
    </row>
    <row r="2599">
      <c r="A2599" s="233" t="s">
        <v>6925</v>
      </c>
      <c r="B2599" s="233" t="s">
        <v>6926</v>
      </c>
      <c r="C2599" s="233" t="s">
        <v>6927</v>
      </c>
      <c r="D2599" s="234">
        <v>45484.901655092595</v>
      </c>
      <c r="E2599" s="234"/>
      <c r="F2599" s="235" t="s">
        <v>281</v>
      </c>
      <c r="G2599" s="236" t="s">
        <v>1264</v>
      </c>
      <c r="H2599" s="233" t="s">
        <v>346</v>
      </c>
      <c r="I2599" s="233" t="s">
        <v>823</v>
      </c>
    </row>
    <row r="2600">
      <c r="A2600" s="233" t="s">
        <v>6925</v>
      </c>
      <c r="B2600" s="233" t="s">
        <v>6926</v>
      </c>
      <c r="C2600" s="233" t="s">
        <v>6927</v>
      </c>
      <c r="D2600" s="234">
        <v>45484.901655092595</v>
      </c>
      <c r="E2600" s="234"/>
      <c r="F2600" s="235" t="s">
        <v>281</v>
      </c>
      <c r="G2600" s="236" t="s">
        <v>1264</v>
      </c>
      <c r="H2600" s="233" t="s">
        <v>346</v>
      </c>
      <c r="I2600" s="233" t="s">
        <v>823</v>
      </c>
    </row>
    <row r="2601">
      <c r="A2601" s="229" t="s">
        <v>6928</v>
      </c>
      <c r="B2601" s="229" t="s">
        <v>6929</v>
      </c>
      <c r="C2601" s="229" t="s">
        <v>6930</v>
      </c>
      <c r="D2601" s="230">
        <v>45522.58565972222</v>
      </c>
      <c r="E2601" s="230"/>
      <c r="F2601" s="231" t="s">
        <v>291</v>
      </c>
      <c r="G2601" s="232" t="s">
        <v>880</v>
      </c>
      <c r="H2601" s="229" t="s">
        <v>265</v>
      </c>
      <c r="I2601" s="229" t="s">
        <v>1731</v>
      </c>
    </row>
    <row r="2602">
      <c r="A2602" s="233" t="s">
        <v>6931</v>
      </c>
      <c r="B2602" s="233" t="s">
        <v>6929</v>
      </c>
      <c r="C2602" s="233" t="s">
        <v>6930</v>
      </c>
      <c r="D2602" s="234">
        <v>45480.86565972222</v>
      </c>
      <c r="E2602" s="234"/>
      <c r="F2602" s="235" t="s">
        <v>257</v>
      </c>
      <c r="G2602" s="236" t="s">
        <v>4433</v>
      </c>
      <c r="H2602" s="233" t="s">
        <v>265</v>
      </c>
      <c r="I2602" s="233" t="s">
        <v>1731</v>
      </c>
    </row>
    <row r="2603">
      <c r="A2603" s="233" t="s">
        <v>6932</v>
      </c>
      <c r="B2603" s="233" t="s">
        <v>6929</v>
      </c>
      <c r="C2603" s="233" t="s">
        <v>6930</v>
      </c>
      <c r="D2603" s="234">
        <v>45459.73471064815</v>
      </c>
      <c r="E2603" s="234">
        <v>45459.53480324074</v>
      </c>
      <c r="F2603" s="235" t="s">
        <v>542</v>
      </c>
      <c r="G2603" s="236" t="s">
        <v>4810</v>
      </c>
      <c r="H2603" s="233" t="s">
        <v>265</v>
      </c>
      <c r="I2603" s="233" t="s">
        <v>1731</v>
      </c>
    </row>
    <row r="2604">
      <c r="A2604" s="233" t="s">
        <v>6933</v>
      </c>
      <c r="B2604" s="233" t="s">
        <v>6934</v>
      </c>
      <c r="C2604" s="233" t="s">
        <v>6934</v>
      </c>
      <c r="D2604" s="234">
        <v>45710.86006944445</v>
      </c>
      <c r="E2604" s="234">
        <v>45710.87157407407</v>
      </c>
      <c r="F2604" s="235" t="s">
        <v>542</v>
      </c>
      <c r="G2604" s="236" t="s">
        <v>4813</v>
      </c>
      <c r="H2604" s="233" t="s">
        <v>561</v>
      </c>
      <c r="I2604" s="233" t="s">
        <v>6935</v>
      </c>
    </row>
    <row r="2605">
      <c r="A2605" s="229" t="s">
        <v>6936</v>
      </c>
      <c r="B2605" s="229" t="s">
        <v>6934</v>
      </c>
      <c r="C2605" s="229" t="s">
        <v>6934</v>
      </c>
      <c r="D2605" s="230">
        <v>45774.50030092592</v>
      </c>
      <c r="E2605" s="230">
        <v>45774.510613425926</v>
      </c>
      <c r="F2605" s="231" t="s">
        <v>470</v>
      </c>
      <c r="G2605" s="232" t="s">
        <v>2752</v>
      </c>
      <c r="H2605" s="229" t="s">
        <v>561</v>
      </c>
      <c r="I2605" s="229" t="s">
        <v>6935</v>
      </c>
    </row>
    <row r="2606">
      <c r="A2606" s="233" t="s">
        <v>6937</v>
      </c>
      <c r="B2606" s="233" t="s">
        <v>6934</v>
      </c>
      <c r="C2606" s="233" t="s">
        <v>6934</v>
      </c>
      <c r="D2606" s="234">
        <v>45761.538310185184</v>
      </c>
      <c r="E2606" s="234">
        <v>45761.54880787037</v>
      </c>
      <c r="F2606" s="235" t="s">
        <v>380</v>
      </c>
      <c r="G2606" s="236" t="s">
        <v>2879</v>
      </c>
      <c r="H2606" s="233" t="s">
        <v>561</v>
      </c>
      <c r="I2606" s="233" t="s">
        <v>6935</v>
      </c>
    </row>
    <row r="2607">
      <c r="A2607" s="229" t="s">
        <v>6938</v>
      </c>
      <c r="B2607" s="229" t="s">
        <v>6934</v>
      </c>
      <c r="C2607" s="229" t="s">
        <v>6934</v>
      </c>
      <c r="D2607" s="230">
        <v>45760.74726851852</v>
      </c>
      <c r="E2607" s="230">
        <v>45760.76048611111</v>
      </c>
      <c r="F2607" s="231" t="s">
        <v>648</v>
      </c>
      <c r="G2607" s="232" t="s">
        <v>6939</v>
      </c>
      <c r="H2607" s="229" t="s">
        <v>561</v>
      </c>
      <c r="I2607" s="229" t="s">
        <v>6935</v>
      </c>
    </row>
    <row r="2608">
      <c r="A2608" s="233" t="s">
        <v>6940</v>
      </c>
      <c r="B2608" s="233" t="s">
        <v>6934</v>
      </c>
      <c r="C2608" s="233" t="s">
        <v>6934</v>
      </c>
      <c r="D2608" s="234">
        <v>45748.87462962963</v>
      </c>
      <c r="E2608" s="234">
        <v>45748.885462962964</v>
      </c>
      <c r="F2608" s="235" t="s">
        <v>470</v>
      </c>
      <c r="G2608" s="236" t="s">
        <v>5095</v>
      </c>
      <c r="H2608" s="233" t="s">
        <v>561</v>
      </c>
      <c r="I2608" s="233" t="s">
        <v>6935</v>
      </c>
    </row>
    <row r="2609">
      <c r="A2609" s="233" t="s">
        <v>6941</v>
      </c>
      <c r="B2609" s="233" t="s">
        <v>6942</v>
      </c>
      <c r="C2609" s="233" t="s">
        <v>6943</v>
      </c>
      <c r="D2609" s="234">
        <v>45446.88859953704</v>
      </c>
      <c r="E2609" s="234"/>
      <c r="F2609" s="235" t="s">
        <v>651</v>
      </c>
      <c r="G2609" s="236" t="s">
        <v>6944</v>
      </c>
      <c r="H2609" s="233" t="s">
        <v>265</v>
      </c>
      <c r="I2609" s="233" t="s">
        <v>2012</v>
      </c>
    </row>
    <row r="2610">
      <c r="A2610" s="233" t="s">
        <v>6945</v>
      </c>
      <c r="B2610" s="233" t="s">
        <v>6946</v>
      </c>
      <c r="C2610" s="233" t="s">
        <v>6947</v>
      </c>
      <c r="D2610" s="234">
        <v>45533.857453703706</v>
      </c>
      <c r="E2610" s="234"/>
      <c r="F2610" s="235" t="s">
        <v>3496</v>
      </c>
      <c r="G2610" s="236" t="s">
        <v>6948</v>
      </c>
      <c r="H2610" s="233" t="s">
        <v>265</v>
      </c>
      <c r="I2610" s="233" t="s">
        <v>1452</v>
      </c>
    </row>
    <row r="2611">
      <c r="A2611" s="229" t="s">
        <v>6949</v>
      </c>
      <c r="B2611" s="229" t="s">
        <v>6946</v>
      </c>
      <c r="C2611" s="229" t="s">
        <v>6947</v>
      </c>
      <c r="D2611" s="230">
        <v>45446.89283564815</v>
      </c>
      <c r="E2611" s="230">
        <v>45446.70143518518</v>
      </c>
      <c r="F2611" s="231" t="s">
        <v>297</v>
      </c>
      <c r="G2611" s="232" t="s">
        <v>6950</v>
      </c>
      <c r="H2611" s="229" t="s">
        <v>259</v>
      </c>
      <c r="I2611" s="229" t="s">
        <v>1452</v>
      </c>
    </row>
    <row r="2612">
      <c r="A2612" s="233" t="s">
        <v>6951</v>
      </c>
      <c r="B2612" s="233" t="s">
        <v>6952</v>
      </c>
      <c r="C2612" s="233" t="s">
        <v>6953</v>
      </c>
      <c r="D2612" s="234">
        <v>45436.48128472222</v>
      </c>
      <c r="E2612" s="234">
        <v>45436.28134259259</v>
      </c>
      <c r="F2612" s="235" t="s">
        <v>4321</v>
      </c>
      <c r="G2612" s="236" t="s">
        <v>6954</v>
      </c>
      <c r="H2612" s="233" t="s">
        <v>811</v>
      </c>
      <c r="I2612" s="233" t="s">
        <v>1498</v>
      </c>
    </row>
    <row r="2613">
      <c r="A2613" s="233" t="s">
        <v>6955</v>
      </c>
      <c r="B2613" s="233" t="s">
        <v>6956</v>
      </c>
      <c r="C2613" s="233" t="s">
        <v>6957</v>
      </c>
      <c r="D2613" s="234">
        <v>45531.88841435185</v>
      </c>
      <c r="E2613" s="234"/>
      <c r="F2613" s="235" t="s">
        <v>730</v>
      </c>
      <c r="G2613" s="236" t="s">
        <v>6958</v>
      </c>
      <c r="H2613" s="233" t="s">
        <v>561</v>
      </c>
      <c r="I2613" s="233" t="s">
        <v>781</v>
      </c>
    </row>
    <row r="2614">
      <c r="A2614" s="233" t="s">
        <v>6959</v>
      </c>
      <c r="B2614" s="233" t="s">
        <v>6956</v>
      </c>
      <c r="C2614" s="233" t="s">
        <v>6960</v>
      </c>
      <c r="D2614" s="234">
        <v>45487.60329861111</v>
      </c>
      <c r="E2614" s="234"/>
      <c r="F2614" s="235" t="s">
        <v>6961</v>
      </c>
      <c r="G2614" s="236" t="s">
        <v>6962</v>
      </c>
      <c r="H2614" s="233" t="s">
        <v>259</v>
      </c>
      <c r="I2614" s="233" t="s">
        <v>6963</v>
      </c>
    </row>
    <row r="2615">
      <c r="A2615" s="233" t="s">
        <v>6959</v>
      </c>
      <c r="B2615" s="233" t="s">
        <v>6956</v>
      </c>
      <c r="C2615" s="233" t="s">
        <v>6960</v>
      </c>
      <c r="D2615" s="234">
        <v>45487.60329861111</v>
      </c>
      <c r="E2615" s="234"/>
      <c r="F2615" s="235" t="s">
        <v>6961</v>
      </c>
      <c r="G2615" s="236" t="s">
        <v>6962</v>
      </c>
      <c r="H2615" s="233" t="s">
        <v>259</v>
      </c>
      <c r="I2615" s="233" t="s">
        <v>6963</v>
      </c>
    </row>
    <row r="2616">
      <c r="A2616" s="229" t="s">
        <v>6964</v>
      </c>
      <c r="B2616" s="229" t="s">
        <v>6956</v>
      </c>
      <c r="C2616" s="229" t="s">
        <v>6957</v>
      </c>
      <c r="D2616" s="230">
        <v>45460.84690972222</v>
      </c>
      <c r="E2616" s="230">
        <v>45460.64958333333</v>
      </c>
      <c r="F2616" s="231" t="s">
        <v>1199</v>
      </c>
      <c r="G2616" s="232" t="s">
        <v>6965</v>
      </c>
      <c r="H2616" s="229" t="s">
        <v>561</v>
      </c>
      <c r="I2616" s="229" t="s">
        <v>781</v>
      </c>
    </row>
    <row r="2617">
      <c r="A2617" s="229" t="s">
        <v>6966</v>
      </c>
      <c r="B2617" s="229" t="s">
        <v>6967</v>
      </c>
      <c r="C2617" s="229" t="s">
        <v>6968</v>
      </c>
      <c r="D2617" s="230">
        <v>45543.6141087963</v>
      </c>
      <c r="E2617" s="230"/>
      <c r="F2617" s="231" t="s">
        <v>658</v>
      </c>
      <c r="G2617" s="232" t="s">
        <v>1904</v>
      </c>
      <c r="H2617" s="229" t="s">
        <v>377</v>
      </c>
      <c r="I2617" s="229" t="s">
        <v>357</v>
      </c>
    </row>
    <row r="2618">
      <c r="A2618" s="233" t="s">
        <v>6969</v>
      </c>
      <c r="B2618" s="233" t="s">
        <v>6967</v>
      </c>
      <c r="C2618" s="233" t="s">
        <v>6968</v>
      </c>
      <c r="D2618" s="234">
        <v>45487.71837962963</v>
      </c>
      <c r="E2618" s="234"/>
      <c r="F2618" s="235" t="s">
        <v>2351</v>
      </c>
      <c r="G2618" s="236" t="s">
        <v>6970</v>
      </c>
      <c r="H2618" s="233" t="s">
        <v>377</v>
      </c>
      <c r="I2618" s="233" t="s">
        <v>357</v>
      </c>
    </row>
    <row r="2619">
      <c r="A2619" s="233" t="s">
        <v>6969</v>
      </c>
      <c r="B2619" s="233" t="s">
        <v>6967</v>
      </c>
      <c r="C2619" s="233" t="s">
        <v>6968</v>
      </c>
      <c r="D2619" s="234">
        <v>45487.71837962963</v>
      </c>
      <c r="E2619" s="234"/>
      <c r="F2619" s="235" t="s">
        <v>2351</v>
      </c>
      <c r="G2619" s="236" t="s">
        <v>6970</v>
      </c>
      <c r="H2619" s="233" t="s">
        <v>377</v>
      </c>
      <c r="I2619" s="233" t="s">
        <v>357</v>
      </c>
    </row>
    <row r="2620">
      <c r="A2620" s="233" t="s">
        <v>6971</v>
      </c>
      <c r="B2620" s="233" t="s">
        <v>6972</v>
      </c>
      <c r="C2620" s="233" t="s">
        <v>6973</v>
      </c>
      <c r="D2620" s="234">
        <v>45715.7421412037</v>
      </c>
      <c r="E2620" s="234">
        <v>45715.753541666665</v>
      </c>
      <c r="F2620" s="235" t="s">
        <v>503</v>
      </c>
      <c r="G2620" s="236" t="s">
        <v>6974</v>
      </c>
      <c r="H2620" s="233" t="s">
        <v>265</v>
      </c>
      <c r="I2620" s="233" t="s">
        <v>578</v>
      </c>
    </row>
    <row r="2621">
      <c r="A2621" s="233" t="s">
        <v>6975</v>
      </c>
      <c r="B2621" s="233" t="s">
        <v>6976</v>
      </c>
      <c r="C2621" s="233" t="s">
        <v>6977</v>
      </c>
      <c r="D2621" s="234">
        <v>45488.45346064815</v>
      </c>
      <c r="E2621" s="234"/>
      <c r="F2621" s="235" t="s">
        <v>470</v>
      </c>
      <c r="G2621" s="236" t="s">
        <v>6978</v>
      </c>
      <c r="H2621" s="233" t="s">
        <v>377</v>
      </c>
      <c r="I2621" s="233" t="s">
        <v>2959</v>
      </c>
    </row>
    <row r="2622">
      <c r="A2622" s="233" t="s">
        <v>6975</v>
      </c>
      <c r="B2622" s="233" t="s">
        <v>6976</v>
      </c>
      <c r="C2622" s="233" t="s">
        <v>6977</v>
      </c>
      <c r="D2622" s="234">
        <v>45488.45346064815</v>
      </c>
      <c r="E2622" s="234"/>
      <c r="F2622" s="235" t="s">
        <v>470</v>
      </c>
      <c r="G2622" s="236" t="s">
        <v>6978</v>
      </c>
      <c r="H2622" s="233" t="s">
        <v>377</v>
      </c>
      <c r="I2622" s="233" t="s">
        <v>2959</v>
      </c>
    </row>
    <row r="2623">
      <c r="A2623" s="229" t="s">
        <v>6979</v>
      </c>
      <c r="B2623" s="229" t="s">
        <v>6980</v>
      </c>
      <c r="C2623" s="229" t="s">
        <v>6981</v>
      </c>
      <c r="D2623" s="230">
        <v>45493.52373842592</v>
      </c>
      <c r="E2623" s="230"/>
      <c r="F2623" s="231" t="s">
        <v>988</v>
      </c>
      <c r="G2623" s="232" t="s">
        <v>6982</v>
      </c>
      <c r="H2623" s="229" t="s">
        <v>356</v>
      </c>
      <c r="I2623" s="229" t="s">
        <v>1946</v>
      </c>
    </row>
    <row r="2624">
      <c r="A2624" s="233" t="s">
        <v>6983</v>
      </c>
      <c r="B2624" s="233" t="s">
        <v>6980</v>
      </c>
      <c r="C2624" s="233" t="s">
        <v>6984</v>
      </c>
      <c r="D2624" s="234">
        <v>45486.785092592596</v>
      </c>
      <c r="E2624" s="234"/>
      <c r="F2624" s="235" t="s">
        <v>291</v>
      </c>
      <c r="G2624" s="236" t="s">
        <v>5276</v>
      </c>
      <c r="H2624" s="233" t="s">
        <v>356</v>
      </c>
      <c r="I2624" s="233" t="s">
        <v>1946</v>
      </c>
    </row>
    <row r="2625">
      <c r="A2625" s="233" t="s">
        <v>6983</v>
      </c>
      <c r="B2625" s="233" t="s">
        <v>6980</v>
      </c>
      <c r="C2625" s="233" t="s">
        <v>6984</v>
      </c>
      <c r="D2625" s="234">
        <v>45486.785092592596</v>
      </c>
      <c r="E2625" s="234"/>
      <c r="F2625" s="235" t="s">
        <v>291</v>
      </c>
      <c r="G2625" s="236" t="s">
        <v>5276</v>
      </c>
      <c r="H2625" s="233" t="s">
        <v>356</v>
      </c>
      <c r="I2625" s="233" t="s">
        <v>1946</v>
      </c>
    </row>
    <row r="2626">
      <c r="A2626" s="229" t="s">
        <v>6985</v>
      </c>
      <c r="B2626" s="229" t="s">
        <v>6980</v>
      </c>
      <c r="C2626" s="229" t="s">
        <v>6984</v>
      </c>
      <c r="D2626" s="230">
        <v>45479.69565972222</v>
      </c>
      <c r="E2626" s="230"/>
      <c r="F2626" s="231" t="s">
        <v>1300</v>
      </c>
      <c r="G2626" s="232" t="s">
        <v>6986</v>
      </c>
      <c r="H2626" s="229" t="s">
        <v>356</v>
      </c>
      <c r="I2626" s="229" t="s">
        <v>1946</v>
      </c>
    </row>
    <row r="2627">
      <c r="A2627" s="233" t="s">
        <v>6987</v>
      </c>
      <c r="B2627" s="233" t="s">
        <v>6980</v>
      </c>
      <c r="C2627" s="233" t="s">
        <v>6988</v>
      </c>
      <c r="D2627" s="234">
        <v>45437.72277777778</v>
      </c>
      <c r="E2627" s="234">
        <v>45437.57649305555</v>
      </c>
      <c r="F2627" s="235" t="s">
        <v>431</v>
      </c>
      <c r="G2627" s="236" t="s">
        <v>6989</v>
      </c>
      <c r="H2627" s="233" t="s">
        <v>356</v>
      </c>
      <c r="I2627" s="233" t="s">
        <v>1946</v>
      </c>
    </row>
    <row r="2628">
      <c r="A2628" s="229" t="s">
        <v>6990</v>
      </c>
      <c r="B2628" s="229" t="s">
        <v>6980</v>
      </c>
      <c r="C2628" s="229" t="s">
        <v>6984</v>
      </c>
      <c r="D2628" s="230">
        <v>45437.72143518519</v>
      </c>
      <c r="E2628" s="230">
        <v>45438.645891203705</v>
      </c>
      <c r="F2628" s="231" t="s">
        <v>470</v>
      </c>
      <c r="G2628" s="232" t="s">
        <v>6978</v>
      </c>
      <c r="H2628" s="229" t="s">
        <v>356</v>
      </c>
      <c r="I2628" s="229" t="s">
        <v>1946</v>
      </c>
    </row>
    <row r="2629">
      <c r="A2629" s="229" t="s">
        <v>6991</v>
      </c>
      <c r="B2629" s="229" t="s">
        <v>6980</v>
      </c>
      <c r="C2629" s="229" t="s">
        <v>6984</v>
      </c>
      <c r="D2629" s="230">
        <v>45434.71141203704</v>
      </c>
      <c r="E2629" s="230">
        <v>45434.56606481481</v>
      </c>
      <c r="F2629" s="231" t="s">
        <v>459</v>
      </c>
      <c r="G2629" s="232" t="s">
        <v>6992</v>
      </c>
      <c r="H2629" s="229" t="s">
        <v>356</v>
      </c>
      <c r="I2629" s="229" t="s">
        <v>1946</v>
      </c>
    </row>
    <row r="2630">
      <c r="A2630" s="233" t="s">
        <v>6993</v>
      </c>
      <c r="B2630" s="233" t="s">
        <v>6994</v>
      </c>
      <c r="C2630" s="233" t="s">
        <v>6995</v>
      </c>
      <c r="D2630" s="234">
        <v>45543.78047453704</v>
      </c>
      <c r="E2630" s="234"/>
      <c r="F2630" s="235" t="s">
        <v>291</v>
      </c>
      <c r="G2630" s="236" t="s">
        <v>6996</v>
      </c>
      <c r="H2630" s="233" t="s">
        <v>356</v>
      </c>
      <c r="I2630" s="233" t="s">
        <v>946</v>
      </c>
    </row>
    <row r="2631">
      <c r="A2631" s="233" t="s">
        <v>6997</v>
      </c>
      <c r="B2631" s="233" t="s">
        <v>6994</v>
      </c>
      <c r="C2631" s="233" t="s">
        <v>6998</v>
      </c>
      <c r="D2631" s="234">
        <v>45760.681296296294</v>
      </c>
      <c r="E2631" s="234">
        <v>45761.521006944444</v>
      </c>
      <c r="F2631" s="235" t="s">
        <v>317</v>
      </c>
      <c r="G2631" s="236" t="s">
        <v>6999</v>
      </c>
      <c r="H2631" s="233" t="s">
        <v>356</v>
      </c>
      <c r="I2631" s="233" t="s">
        <v>946</v>
      </c>
    </row>
    <row r="2632">
      <c r="A2632" s="229" t="s">
        <v>7000</v>
      </c>
      <c r="B2632" s="229" t="s">
        <v>7001</v>
      </c>
      <c r="C2632" s="229" t="s">
        <v>7002</v>
      </c>
      <c r="D2632" s="230">
        <v>45708.83556712963</v>
      </c>
      <c r="E2632" s="230">
        <v>45710.6841087963</v>
      </c>
      <c r="F2632" s="231" t="s">
        <v>250</v>
      </c>
      <c r="G2632" s="232" t="s">
        <v>455</v>
      </c>
      <c r="H2632" s="229" t="s">
        <v>1345</v>
      </c>
      <c r="I2632" s="229" t="s">
        <v>399</v>
      </c>
    </row>
    <row r="2633">
      <c r="A2633" s="229" t="s">
        <v>7003</v>
      </c>
      <c r="B2633" s="229" t="s">
        <v>7004</v>
      </c>
      <c r="C2633" s="229" t="s">
        <v>7005</v>
      </c>
      <c r="D2633" s="230">
        <v>45504.436898148146</v>
      </c>
      <c r="E2633" s="230"/>
      <c r="F2633" s="231" t="s">
        <v>1199</v>
      </c>
      <c r="G2633" s="232" t="s">
        <v>7006</v>
      </c>
      <c r="H2633" s="229" t="s">
        <v>1345</v>
      </c>
      <c r="I2633" s="229" t="s">
        <v>500</v>
      </c>
    </row>
    <row r="2634">
      <c r="A2634" s="233" t="s">
        <v>7007</v>
      </c>
      <c r="B2634" s="233" t="s">
        <v>7008</v>
      </c>
      <c r="C2634" s="233" t="s">
        <v>7009</v>
      </c>
      <c r="D2634" s="234">
        <v>45714.83934027778</v>
      </c>
      <c r="E2634" s="234">
        <v>45715.718819444446</v>
      </c>
      <c r="F2634" s="235" t="s">
        <v>503</v>
      </c>
      <c r="G2634" s="236" t="s">
        <v>7010</v>
      </c>
      <c r="H2634" s="233" t="s">
        <v>259</v>
      </c>
      <c r="I2634" s="233" t="s">
        <v>666</v>
      </c>
    </row>
    <row r="2635">
      <c r="A2635" s="233" t="s">
        <v>7011</v>
      </c>
      <c r="B2635" s="233" t="s">
        <v>7008</v>
      </c>
      <c r="C2635" s="233" t="s">
        <v>7012</v>
      </c>
      <c r="D2635" s="234">
        <v>45733.63145833334</v>
      </c>
      <c r="E2635" s="234">
        <v>45733.770949074074</v>
      </c>
      <c r="F2635" s="235" t="s">
        <v>281</v>
      </c>
      <c r="G2635" s="236" t="s">
        <v>3454</v>
      </c>
      <c r="H2635" s="233" t="s">
        <v>259</v>
      </c>
      <c r="I2635" s="233" t="s">
        <v>5211</v>
      </c>
    </row>
    <row r="2636">
      <c r="A2636" s="233" t="s">
        <v>7013</v>
      </c>
      <c r="B2636" s="233" t="s">
        <v>7008</v>
      </c>
      <c r="C2636" s="233" t="s">
        <v>7009</v>
      </c>
      <c r="D2636" s="234">
        <v>45750.83577546296</v>
      </c>
      <c r="E2636" s="234">
        <v>45752.6425</v>
      </c>
      <c r="F2636" s="235" t="s">
        <v>7014</v>
      </c>
      <c r="G2636" s="236" t="s">
        <v>7015</v>
      </c>
      <c r="H2636" s="233" t="s">
        <v>259</v>
      </c>
      <c r="I2636" s="233" t="s">
        <v>666</v>
      </c>
    </row>
    <row r="2637">
      <c r="A2637" s="229" t="s">
        <v>7016</v>
      </c>
      <c r="B2637" s="229" t="s">
        <v>7008</v>
      </c>
      <c r="C2637" s="229" t="s">
        <v>7012</v>
      </c>
      <c r="D2637" s="230">
        <v>45750.727476851855</v>
      </c>
      <c r="E2637" s="230">
        <v>45750.82990740741</v>
      </c>
      <c r="F2637" s="231" t="s">
        <v>431</v>
      </c>
      <c r="G2637" s="232" t="s">
        <v>7017</v>
      </c>
      <c r="H2637" s="229" t="s">
        <v>398</v>
      </c>
      <c r="I2637" s="229" t="s">
        <v>666</v>
      </c>
    </row>
    <row r="2638">
      <c r="A2638" s="233" t="s">
        <v>7018</v>
      </c>
      <c r="B2638" s="233" t="s">
        <v>7008</v>
      </c>
      <c r="C2638" s="233" t="s">
        <v>7012</v>
      </c>
      <c r="D2638" s="234">
        <v>45750.7196412037</v>
      </c>
      <c r="E2638" s="237"/>
      <c r="F2638" s="235" t="s">
        <v>431</v>
      </c>
      <c r="G2638" s="236" t="s">
        <v>7017</v>
      </c>
      <c r="H2638" s="233" t="s">
        <v>259</v>
      </c>
      <c r="I2638" s="233" t="s">
        <v>5211</v>
      </c>
    </row>
    <row r="2639">
      <c r="A2639" s="233" t="s">
        <v>7019</v>
      </c>
      <c r="B2639" s="233" t="s">
        <v>7020</v>
      </c>
      <c r="C2639" s="233" t="s">
        <v>7021</v>
      </c>
      <c r="D2639" s="234">
        <v>45473.6400462963</v>
      </c>
      <c r="E2639" s="234"/>
      <c r="F2639" s="235" t="s">
        <v>2957</v>
      </c>
      <c r="G2639" s="236" t="s">
        <v>2958</v>
      </c>
      <c r="H2639" s="233" t="s">
        <v>346</v>
      </c>
      <c r="I2639" s="233" t="s">
        <v>2959</v>
      </c>
    </row>
    <row r="2640">
      <c r="A2640" s="233" t="s">
        <v>7022</v>
      </c>
      <c r="B2640" s="233" t="s">
        <v>7023</v>
      </c>
      <c r="C2640" s="233" t="s">
        <v>5948</v>
      </c>
      <c r="D2640" s="234">
        <v>45549.86429398148</v>
      </c>
      <c r="E2640" s="234"/>
      <c r="F2640" s="235" t="s">
        <v>281</v>
      </c>
      <c r="G2640" s="236" t="s">
        <v>7024</v>
      </c>
      <c r="H2640" s="233" t="s">
        <v>346</v>
      </c>
      <c r="I2640" s="233" t="s">
        <v>823</v>
      </c>
    </row>
    <row r="2641">
      <c r="A2641" s="233" t="s">
        <v>7025</v>
      </c>
      <c r="B2641" s="233" t="s">
        <v>7023</v>
      </c>
      <c r="C2641" s="233" t="s">
        <v>5948</v>
      </c>
      <c r="D2641" s="234">
        <v>45501.852534722224</v>
      </c>
      <c r="E2641" s="234"/>
      <c r="F2641" s="235" t="s">
        <v>7026</v>
      </c>
      <c r="G2641" s="236" t="s">
        <v>7027</v>
      </c>
      <c r="H2641" s="233" t="s">
        <v>346</v>
      </c>
      <c r="I2641" s="233" t="s">
        <v>347</v>
      </c>
    </row>
    <row r="2642">
      <c r="A2642" s="229" t="s">
        <v>7028</v>
      </c>
      <c r="B2642" s="229" t="s">
        <v>7023</v>
      </c>
      <c r="C2642" s="229" t="s">
        <v>5948</v>
      </c>
      <c r="D2642" s="230">
        <v>45465.871782407405</v>
      </c>
      <c r="E2642" s="230"/>
      <c r="F2642" s="231" t="s">
        <v>730</v>
      </c>
      <c r="G2642" s="232" t="s">
        <v>7029</v>
      </c>
      <c r="H2642" s="229" t="s">
        <v>346</v>
      </c>
      <c r="I2642" s="229" t="s">
        <v>347</v>
      </c>
    </row>
    <row r="2643">
      <c r="A2643" s="233" t="s">
        <v>7030</v>
      </c>
      <c r="B2643" s="233" t="s">
        <v>7031</v>
      </c>
      <c r="C2643" s="233" t="s">
        <v>7032</v>
      </c>
      <c r="D2643" s="234">
        <v>45482.690300925926</v>
      </c>
      <c r="E2643" s="234"/>
      <c r="F2643" s="235" t="s">
        <v>5266</v>
      </c>
      <c r="G2643" s="236" t="s">
        <v>7033</v>
      </c>
      <c r="H2643" s="233" t="s">
        <v>754</v>
      </c>
      <c r="I2643" s="233" t="s">
        <v>4206</v>
      </c>
    </row>
    <row r="2644">
      <c r="A2644" s="229" t="s">
        <v>7034</v>
      </c>
      <c r="B2644" s="229" t="s">
        <v>7035</v>
      </c>
      <c r="C2644" s="229" t="s">
        <v>7036</v>
      </c>
      <c r="D2644" s="230">
        <v>45548.86502314815</v>
      </c>
      <c r="E2644" s="230"/>
      <c r="F2644" s="231" t="s">
        <v>658</v>
      </c>
      <c r="G2644" s="232" t="s">
        <v>7037</v>
      </c>
      <c r="H2644" s="229" t="s">
        <v>561</v>
      </c>
      <c r="I2644" s="229" t="s">
        <v>1080</v>
      </c>
    </row>
    <row r="2645">
      <c r="A2645" s="233" t="s">
        <v>7038</v>
      </c>
      <c r="B2645" s="233" t="s">
        <v>7039</v>
      </c>
      <c r="C2645" s="233" t="s">
        <v>7040</v>
      </c>
      <c r="D2645" s="234">
        <v>45746.64673611111</v>
      </c>
      <c r="E2645" s="234">
        <v>45747.62519675926</v>
      </c>
      <c r="F2645" s="235" t="s">
        <v>431</v>
      </c>
      <c r="G2645" s="236" t="s">
        <v>1446</v>
      </c>
      <c r="H2645" s="233" t="s">
        <v>265</v>
      </c>
      <c r="I2645" s="233" t="s">
        <v>578</v>
      </c>
    </row>
    <row r="2646">
      <c r="A2646" s="233" t="s">
        <v>7041</v>
      </c>
      <c r="B2646" s="233" t="s">
        <v>7042</v>
      </c>
      <c r="C2646" s="233" t="s">
        <v>7043</v>
      </c>
      <c r="D2646" s="234">
        <v>45530.454375</v>
      </c>
      <c r="E2646" s="234"/>
      <c r="F2646" s="235" t="s">
        <v>1333</v>
      </c>
      <c r="G2646" s="236" t="s">
        <v>7044</v>
      </c>
      <c r="H2646" s="233" t="s">
        <v>265</v>
      </c>
      <c r="I2646" s="233" t="s">
        <v>6444</v>
      </c>
    </row>
    <row r="2647">
      <c r="A2647" s="229" t="s">
        <v>7045</v>
      </c>
      <c r="B2647" s="229" t="s">
        <v>7042</v>
      </c>
      <c r="C2647" s="229" t="s">
        <v>7046</v>
      </c>
      <c r="D2647" s="230">
        <v>45436.7475</v>
      </c>
      <c r="E2647" s="230">
        <v>45439.281539351854</v>
      </c>
      <c r="F2647" s="231" t="s">
        <v>4390</v>
      </c>
      <c r="G2647" s="232" t="s">
        <v>7047</v>
      </c>
      <c r="H2647" s="229" t="s">
        <v>259</v>
      </c>
      <c r="I2647" s="229" t="s">
        <v>260</v>
      </c>
    </row>
    <row r="2648">
      <c r="A2648" s="229" t="s">
        <v>7048</v>
      </c>
      <c r="B2648" s="229" t="s">
        <v>7049</v>
      </c>
      <c r="C2648" s="229" t="s">
        <v>7050</v>
      </c>
      <c r="D2648" s="230">
        <v>45542.66210648148</v>
      </c>
      <c r="E2648" s="230"/>
      <c r="F2648" s="231" t="s">
        <v>439</v>
      </c>
      <c r="G2648" s="232" t="s">
        <v>7051</v>
      </c>
      <c r="H2648" s="229" t="s">
        <v>265</v>
      </c>
      <c r="I2648" s="229" t="s">
        <v>7052</v>
      </c>
    </row>
    <row r="2649">
      <c r="A2649" s="229" t="s">
        <v>7053</v>
      </c>
      <c r="B2649" s="229" t="s">
        <v>7054</v>
      </c>
      <c r="C2649" s="229" t="s">
        <v>7055</v>
      </c>
      <c r="D2649" s="230">
        <v>45711.72077546296</v>
      </c>
      <c r="E2649" s="230">
        <v>45712.54875</v>
      </c>
      <c r="F2649" s="231" t="s">
        <v>580</v>
      </c>
      <c r="G2649" s="232" t="s">
        <v>4995</v>
      </c>
      <c r="H2649" s="229" t="s">
        <v>811</v>
      </c>
      <c r="I2649" s="229" t="s">
        <v>4996</v>
      </c>
    </row>
    <row r="2650">
      <c r="A2650" s="233" t="s">
        <v>7056</v>
      </c>
      <c r="B2650" s="233" t="s">
        <v>7057</v>
      </c>
      <c r="C2650" s="233" t="s">
        <v>7058</v>
      </c>
      <c r="D2650" s="234">
        <v>45551.90892361111</v>
      </c>
      <c r="E2650" s="234"/>
      <c r="F2650" s="235" t="s">
        <v>317</v>
      </c>
      <c r="G2650" s="236" t="s">
        <v>5174</v>
      </c>
      <c r="H2650" s="233" t="s">
        <v>811</v>
      </c>
      <c r="I2650" s="233" t="s">
        <v>2361</v>
      </c>
    </row>
    <row r="2651">
      <c r="A2651" s="233" t="s">
        <v>7059</v>
      </c>
      <c r="B2651" s="233" t="s">
        <v>7057</v>
      </c>
      <c r="C2651" s="233" t="s">
        <v>7058</v>
      </c>
      <c r="D2651" s="234">
        <v>45538.832291666666</v>
      </c>
      <c r="E2651" s="234"/>
      <c r="F2651" s="235" t="s">
        <v>291</v>
      </c>
      <c r="G2651" s="236" t="s">
        <v>1898</v>
      </c>
      <c r="H2651" s="233" t="s">
        <v>377</v>
      </c>
      <c r="I2651" s="233" t="s">
        <v>2959</v>
      </c>
    </row>
    <row r="2652">
      <c r="A2652" s="229" t="s">
        <v>7060</v>
      </c>
      <c r="B2652" s="229" t="s">
        <v>7057</v>
      </c>
      <c r="C2652" s="229" t="s">
        <v>7061</v>
      </c>
      <c r="D2652" s="230">
        <v>45535.485625</v>
      </c>
      <c r="E2652" s="230"/>
      <c r="F2652" s="231" t="s">
        <v>3436</v>
      </c>
      <c r="G2652" s="232" t="s">
        <v>7062</v>
      </c>
      <c r="H2652" s="229" t="s">
        <v>377</v>
      </c>
      <c r="I2652" s="229" t="s">
        <v>2959</v>
      </c>
    </row>
    <row r="2653">
      <c r="A2653" s="229" t="s">
        <v>7063</v>
      </c>
      <c r="B2653" s="229" t="s">
        <v>7057</v>
      </c>
      <c r="C2653" s="229" t="s">
        <v>7061</v>
      </c>
      <c r="D2653" s="230">
        <v>45499.89569444444</v>
      </c>
      <c r="E2653" s="230"/>
      <c r="F2653" s="231" t="s">
        <v>317</v>
      </c>
      <c r="G2653" s="232" t="s">
        <v>7064</v>
      </c>
      <c r="H2653" s="229" t="s">
        <v>377</v>
      </c>
      <c r="I2653" s="229" t="s">
        <v>2959</v>
      </c>
    </row>
    <row r="2654">
      <c r="A2654" s="233" t="s">
        <v>7065</v>
      </c>
      <c r="B2654" s="233" t="s">
        <v>7057</v>
      </c>
      <c r="C2654" s="233" t="s">
        <v>7061</v>
      </c>
      <c r="D2654" s="234">
        <v>45499.8940162037</v>
      </c>
      <c r="E2654" s="242"/>
      <c r="F2654" s="235" t="s">
        <v>391</v>
      </c>
      <c r="G2654" s="236" t="s">
        <v>392</v>
      </c>
      <c r="H2654" s="233" t="s">
        <v>377</v>
      </c>
      <c r="I2654" s="233" t="s">
        <v>2361</v>
      </c>
    </row>
    <row r="2655">
      <c r="A2655" s="233" t="s">
        <v>7066</v>
      </c>
      <c r="B2655" s="233" t="s">
        <v>7057</v>
      </c>
      <c r="C2655" s="233" t="s">
        <v>7058</v>
      </c>
      <c r="D2655" s="234">
        <v>45492.88550925926</v>
      </c>
      <c r="E2655" s="234"/>
      <c r="F2655" s="235" t="s">
        <v>291</v>
      </c>
      <c r="G2655" s="236" t="s">
        <v>1906</v>
      </c>
      <c r="H2655" s="233" t="s">
        <v>377</v>
      </c>
      <c r="I2655" s="233" t="s">
        <v>2959</v>
      </c>
    </row>
    <row r="2656">
      <c r="A2656" s="229" t="s">
        <v>7066</v>
      </c>
      <c r="B2656" s="229" t="s">
        <v>7057</v>
      </c>
      <c r="C2656" s="229" t="s">
        <v>7058</v>
      </c>
      <c r="D2656" s="230">
        <v>45492.88550925926</v>
      </c>
      <c r="E2656" s="230"/>
      <c r="F2656" s="231" t="s">
        <v>291</v>
      </c>
      <c r="G2656" s="232" t="s">
        <v>1906</v>
      </c>
      <c r="H2656" s="229" t="s">
        <v>377</v>
      </c>
      <c r="I2656" s="229" t="s">
        <v>2959</v>
      </c>
    </row>
    <row r="2657">
      <c r="A2657" s="229" t="s">
        <v>7066</v>
      </c>
      <c r="B2657" s="229" t="s">
        <v>7057</v>
      </c>
      <c r="C2657" s="229" t="s">
        <v>7058</v>
      </c>
      <c r="D2657" s="230">
        <v>45492.88550925926</v>
      </c>
      <c r="E2657" s="230"/>
      <c r="F2657" s="231" t="s">
        <v>291</v>
      </c>
      <c r="G2657" s="232" t="s">
        <v>1906</v>
      </c>
      <c r="H2657" s="229" t="s">
        <v>377</v>
      </c>
      <c r="I2657" s="229" t="s">
        <v>2959</v>
      </c>
    </row>
    <row r="2658">
      <c r="A2658" s="229" t="s">
        <v>7067</v>
      </c>
      <c r="B2658" s="229" t="s">
        <v>7057</v>
      </c>
      <c r="C2658" s="229" t="s">
        <v>7061</v>
      </c>
      <c r="D2658" s="230">
        <v>45478.88738425926</v>
      </c>
      <c r="E2658" s="230"/>
      <c r="F2658" s="231" t="s">
        <v>291</v>
      </c>
      <c r="G2658" s="232" t="s">
        <v>7068</v>
      </c>
      <c r="H2658" s="229" t="s">
        <v>377</v>
      </c>
      <c r="I2658" s="229" t="s">
        <v>2361</v>
      </c>
    </row>
    <row r="2659">
      <c r="A2659" s="233" t="s">
        <v>7069</v>
      </c>
      <c r="B2659" s="233" t="s">
        <v>7057</v>
      </c>
      <c r="C2659" s="233" t="s">
        <v>7058</v>
      </c>
      <c r="D2659" s="234">
        <v>45477.55840277778</v>
      </c>
      <c r="E2659" s="234"/>
      <c r="F2659" s="235" t="s">
        <v>291</v>
      </c>
      <c r="G2659" s="236" t="s">
        <v>5276</v>
      </c>
      <c r="H2659" s="233" t="s">
        <v>377</v>
      </c>
      <c r="I2659" s="233" t="s">
        <v>2959</v>
      </c>
    </row>
    <row r="2660">
      <c r="A2660" s="229" t="s">
        <v>7070</v>
      </c>
      <c r="B2660" s="229" t="s">
        <v>7057</v>
      </c>
      <c r="C2660" s="229" t="s">
        <v>7061</v>
      </c>
      <c r="D2660" s="230">
        <v>45457.91149305556</v>
      </c>
      <c r="E2660" s="230">
        <v>45458.32305555556</v>
      </c>
      <c r="F2660" s="231" t="s">
        <v>503</v>
      </c>
      <c r="G2660" s="232" t="s">
        <v>1253</v>
      </c>
      <c r="H2660" s="229" t="s">
        <v>377</v>
      </c>
      <c r="I2660" s="229" t="s">
        <v>2361</v>
      </c>
    </row>
    <row r="2661">
      <c r="A2661" s="233" t="s">
        <v>7071</v>
      </c>
      <c r="B2661" s="233" t="s">
        <v>7072</v>
      </c>
      <c r="C2661" s="233" t="s">
        <v>7073</v>
      </c>
      <c r="D2661" s="234">
        <v>45508.59071759259</v>
      </c>
      <c r="E2661" s="234"/>
      <c r="F2661" s="235" t="s">
        <v>470</v>
      </c>
      <c r="G2661" s="236" t="s">
        <v>3235</v>
      </c>
      <c r="H2661" s="233" t="s">
        <v>811</v>
      </c>
      <c r="I2661" s="233" t="s">
        <v>1250</v>
      </c>
    </row>
    <row r="2662">
      <c r="A2662" s="229" t="s">
        <v>7074</v>
      </c>
      <c r="B2662" s="229" t="s">
        <v>7072</v>
      </c>
      <c r="C2662" s="229" t="s">
        <v>7073</v>
      </c>
      <c r="D2662" s="230">
        <v>45494.50635416667</v>
      </c>
      <c r="E2662" s="230"/>
      <c r="F2662" s="231" t="s">
        <v>730</v>
      </c>
      <c r="G2662" s="232" t="s">
        <v>4086</v>
      </c>
      <c r="H2662" s="229" t="s">
        <v>811</v>
      </c>
      <c r="I2662" s="229" t="s">
        <v>1250</v>
      </c>
    </row>
    <row r="2663">
      <c r="A2663" s="233" t="s">
        <v>7075</v>
      </c>
      <c r="B2663" s="233" t="s">
        <v>7072</v>
      </c>
      <c r="C2663" s="233" t="s">
        <v>7076</v>
      </c>
      <c r="D2663" s="234">
        <v>45487.789722222224</v>
      </c>
      <c r="E2663" s="234"/>
      <c r="F2663" s="235" t="s">
        <v>470</v>
      </c>
      <c r="G2663" s="236" t="s">
        <v>4490</v>
      </c>
      <c r="H2663" s="233" t="s">
        <v>811</v>
      </c>
      <c r="I2663" s="233" t="s">
        <v>2150</v>
      </c>
    </row>
    <row r="2664">
      <c r="A2664" s="233" t="s">
        <v>7075</v>
      </c>
      <c r="B2664" s="233" t="s">
        <v>7072</v>
      </c>
      <c r="C2664" s="233" t="s">
        <v>7076</v>
      </c>
      <c r="D2664" s="234">
        <v>45487.789722222224</v>
      </c>
      <c r="E2664" s="234"/>
      <c r="F2664" s="235" t="s">
        <v>470</v>
      </c>
      <c r="G2664" s="236" t="s">
        <v>4490</v>
      </c>
      <c r="H2664" s="233" t="s">
        <v>811</v>
      </c>
      <c r="I2664" s="233" t="s">
        <v>2150</v>
      </c>
    </row>
    <row r="2665">
      <c r="A2665" s="233" t="s">
        <v>7077</v>
      </c>
      <c r="B2665" s="233" t="s">
        <v>7078</v>
      </c>
      <c r="C2665" s="233" t="s">
        <v>7079</v>
      </c>
      <c r="D2665" s="234">
        <v>45711.680752314816</v>
      </c>
      <c r="E2665" s="234">
        <v>45711.691099537034</v>
      </c>
      <c r="F2665" s="235" t="s">
        <v>291</v>
      </c>
      <c r="G2665" s="236" t="s">
        <v>7080</v>
      </c>
      <c r="H2665" s="233" t="s">
        <v>761</v>
      </c>
      <c r="I2665" s="233" t="s">
        <v>7081</v>
      </c>
    </row>
    <row r="2666">
      <c r="A2666" s="233" t="s">
        <v>7082</v>
      </c>
      <c r="B2666" s="233" t="s">
        <v>7083</v>
      </c>
      <c r="C2666" s="233" t="s">
        <v>7084</v>
      </c>
      <c r="D2666" s="234">
        <v>45448.89803240741</v>
      </c>
      <c r="E2666" s="234">
        <v>45448.70140046296</v>
      </c>
      <c r="F2666" s="235" t="s">
        <v>1779</v>
      </c>
      <c r="G2666" s="236" t="s">
        <v>7085</v>
      </c>
      <c r="H2666" s="233" t="s">
        <v>561</v>
      </c>
      <c r="I2666" s="233" t="s">
        <v>1452</v>
      </c>
    </row>
    <row r="2667">
      <c r="A2667" s="233" t="s">
        <v>7086</v>
      </c>
      <c r="B2667" s="233" t="s">
        <v>7087</v>
      </c>
      <c r="C2667" s="233" t="s">
        <v>6461</v>
      </c>
      <c r="D2667" s="234">
        <v>45522.583020833335</v>
      </c>
      <c r="E2667" s="234"/>
      <c r="F2667" s="235" t="s">
        <v>1450</v>
      </c>
      <c r="G2667" s="236" t="s">
        <v>7088</v>
      </c>
      <c r="H2667" s="233" t="s">
        <v>265</v>
      </c>
      <c r="I2667" s="233" t="s">
        <v>6398</v>
      </c>
    </row>
    <row r="2668">
      <c r="A2668" s="229" t="s">
        <v>7089</v>
      </c>
      <c r="B2668" s="229" t="s">
        <v>7087</v>
      </c>
      <c r="C2668" s="229" t="s">
        <v>6461</v>
      </c>
      <c r="D2668" s="230">
        <v>45515.48037037037</v>
      </c>
      <c r="E2668" s="230"/>
      <c r="F2668" s="231" t="s">
        <v>658</v>
      </c>
      <c r="G2668" s="232" t="s">
        <v>7090</v>
      </c>
      <c r="H2668" s="229" t="s">
        <v>265</v>
      </c>
      <c r="I2668" s="229" t="s">
        <v>6463</v>
      </c>
    </row>
    <row r="2669">
      <c r="A2669" s="233" t="s">
        <v>7091</v>
      </c>
      <c r="B2669" s="233" t="s">
        <v>7087</v>
      </c>
      <c r="C2669" s="233" t="s">
        <v>6461</v>
      </c>
      <c r="D2669" s="234">
        <v>45434.70201388889</v>
      </c>
      <c r="E2669" s="234">
        <v>45438.33695601852</v>
      </c>
      <c r="F2669" s="235" t="s">
        <v>435</v>
      </c>
      <c r="G2669" s="236" t="s">
        <v>7092</v>
      </c>
      <c r="H2669" s="233" t="s">
        <v>265</v>
      </c>
      <c r="I2669" s="233" t="s">
        <v>6463</v>
      </c>
    </row>
    <row r="2670">
      <c r="A2670" s="229" t="s">
        <v>7093</v>
      </c>
      <c r="B2670" s="229" t="s">
        <v>7094</v>
      </c>
      <c r="C2670" s="229" t="s">
        <v>7095</v>
      </c>
      <c r="D2670" s="230">
        <v>45459.85476851852</v>
      </c>
      <c r="E2670" s="230">
        <v>45459.6562962963</v>
      </c>
      <c r="F2670" s="231" t="s">
        <v>1313</v>
      </c>
      <c r="G2670" s="232" t="s">
        <v>7096</v>
      </c>
      <c r="H2670" s="229" t="s">
        <v>811</v>
      </c>
      <c r="I2670" s="229" t="s">
        <v>357</v>
      </c>
    </row>
    <row r="2671">
      <c r="A2671" s="229" t="s">
        <v>7097</v>
      </c>
      <c r="B2671" s="229" t="s">
        <v>7098</v>
      </c>
      <c r="C2671" s="229" t="s">
        <v>7099</v>
      </c>
      <c r="D2671" s="230">
        <v>45704.86722222222</v>
      </c>
      <c r="E2671" s="230">
        <v>45704.875023148146</v>
      </c>
      <c r="F2671" s="231" t="s">
        <v>848</v>
      </c>
      <c r="G2671" s="232" t="s">
        <v>7100</v>
      </c>
      <c r="H2671" s="229" t="s">
        <v>811</v>
      </c>
      <c r="I2671" s="229" t="s">
        <v>3484</v>
      </c>
    </row>
    <row r="2672">
      <c r="A2672" s="229" t="s">
        <v>7101</v>
      </c>
      <c r="B2672" s="229" t="s">
        <v>7102</v>
      </c>
      <c r="C2672" s="229" t="s">
        <v>7103</v>
      </c>
      <c r="D2672" s="230">
        <v>45543.526296296295</v>
      </c>
      <c r="E2672" s="230"/>
      <c r="F2672" s="231" t="s">
        <v>431</v>
      </c>
      <c r="G2672" s="232" t="s">
        <v>7017</v>
      </c>
      <c r="H2672" s="229" t="s">
        <v>259</v>
      </c>
      <c r="I2672" s="229" t="s">
        <v>461</v>
      </c>
    </row>
    <row r="2673">
      <c r="A2673" s="233" t="s">
        <v>7104</v>
      </c>
      <c r="B2673" s="233" t="s">
        <v>7102</v>
      </c>
      <c r="C2673" s="233" t="s">
        <v>7105</v>
      </c>
      <c r="D2673" s="234">
        <v>45543.52590277778</v>
      </c>
      <c r="E2673" s="234"/>
      <c r="F2673" s="235" t="s">
        <v>865</v>
      </c>
      <c r="G2673" s="236" t="s">
        <v>7106</v>
      </c>
      <c r="H2673" s="233" t="s">
        <v>265</v>
      </c>
      <c r="I2673" s="233" t="s">
        <v>640</v>
      </c>
    </row>
    <row r="2674">
      <c r="A2674" s="233" t="s">
        <v>7107</v>
      </c>
      <c r="B2674" s="233" t="s">
        <v>7102</v>
      </c>
      <c r="C2674" s="233" t="s">
        <v>7103</v>
      </c>
      <c r="D2674" s="234">
        <v>45534.89760416667</v>
      </c>
      <c r="E2674" s="234"/>
      <c r="F2674" s="235" t="s">
        <v>291</v>
      </c>
      <c r="G2674" s="236" t="s">
        <v>7108</v>
      </c>
      <c r="H2674" s="233" t="s">
        <v>632</v>
      </c>
      <c r="I2674" s="233" t="s">
        <v>461</v>
      </c>
    </row>
    <row r="2675">
      <c r="A2675" s="229" t="s">
        <v>7109</v>
      </c>
      <c r="B2675" s="229" t="s">
        <v>7102</v>
      </c>
      <c r="C2675" s="229" t="s">
        <v>7105</v>
      </c>
      <c r="D2675" s="230">
        <v>45528.76039351852</v>
      </c>
      <c r="E2675" s="230"/>
      <c r="F2675" s="231" t="s">
        <v>1002</v>
      </c>
      <c r="G2675" s="232" t="s">
        <v>1003</v>
      </c>
      <c r="H2675" s="229" t="s">
        <v>265</v>
      </c>
      <c r="I2675" s="229" t="s">
        <v>640</v>
      </c>
    </row>
    <row r="2676">
      <c r="A2676" s="233" t="s">
        <v>7110</v>
      </c>
      <c r="B2676" s="233" t="s">
        <v>7102</v>
      </c>
      <c r="C2676" s="233" t="s">
        <v>7111</v>
      </c>
      <c r="D2676" s="234">
        <v>45522.49182870371</v>
      </c>
      <c r="E2676" s="234"/>
      <c r="F2676" s="235" t="s">
        <v>7112</v>
      </c>
      <c r="G2676" s="236" t="s">
        <v>7113</v>
      </c>
      <c r="H2676" s="233" t="s">
        <v>632</v>
      </c>
      <c r="I2676" s="233" t="s">
        <v>461</v>
      </c>
    </row>
    <row r="2677">
      <c r="A2677" s="233" t="s">
        <v>7114</v>
      </c>
      <c r="B2677" s="233" t="s">
        <v>7102</v>
      </c>
      <c r="C2677" s="233" t="s">
        <v>7103</v>
      </c>
      <c r="D2677" s="234">
        <v>45522.488078703704</v>
      </c>
      <c r="E2677" s="234"/>
      <c r="F2677" s="235" t="s">
        <v>281</v>
      </c>
      <c r="G2677" s="236" t="s">
        <v>3021</v>
      </c>
      <c r="H2677" s="233" t="s">
        <v>632</v>
      </c>
      <c r="I2677" s="233" t="s">
        <v>461</v>
      </c>
    </row>
    <row r="2678">
      <c r="A2678" s="233" t="s">
        <v>7115</v>
      </c>
      <c r="B2678" s="233" t="s">
        <v>7102</v>
      </c>
      <c r="C2678" s="233" t="s">
        <v>7103</v>
      </c>
      <c r="D2678" s="234">
        <v>45486.78295138889</v>
      </c>
      <c r="E2678" s="234"/>
      <c r="F2678" s="235" t="s">
        <v>1487</v>
      </c>
      <c r="G2678" s="236" t="s">
        <v>7116</v>
      </c>
      <c r="H2678" s="233" t="s">
        <v>632</v>
      </c>
      <c r="I2678" s="233" t="s">
        <v>461</v>
      </c>
    </row>
    <row r="2679">
      <c r="A2679" s="233" t="s">
        <v>7115</v>
      </c>
      <c r="B2679" s="233" t="s">
        <v>7102</v>
      </c>
      <c r="C2679" s="233" t="s">
        <v>7103</v>
      </c>
      <c r="D2679" s="234">
        <v>45486.78295138889</v>
      </c>
      <c r="E2679" s="234"/>
      <c r="F2679" s="235" t="s">
        <v>1487</v>
      </c>
      <c r="G2679" s="236" t="s">
        <v>7116</v>
      </c>
      <c r="H2679" s="233" t="s">
        <v>632</v>
      </c>
      <c r="I2679" s="233" t="s">
        <v>461</v>
      </c>
    </row>
    <row r="2680">
      <c r="A2680" s="229" t="s">
        <v>7117</v>
      </c>
      <c r="B2680" s="229" t="s">
        <v>7102</v>
      </c>
      <c r="C2680" s="229" t="s">
        <v>7103</v>
      </c>
      <c r="D2680" s="230">
        <v>45458.91755787037</v>
      </c>
      <c r="E2680" s="230">
        <v>45458.718773148146</v>
      </c>
      <c r="F2680" s="231" t="s">
        <v>281</v>
      </c>
      <c r="G2680" s="232" t="s">
        <v>1758</v>
      </c>
      <c r="H2680" s="229" t="s">
        <v>632</v>
      </c>
      <c r="I2680" s="229" t="s">
        <v>461</v>
      </c>
    </row>
    <row r="2681">
      <c r="A2681" s="233" t="s">
        <v>7118</v>
      </c>
      <c r="B2681" s="233" t="s">
        <v>7102</v>
      </c>
      <c r="C2681" s="233" t="s">
        <v>7103</v>
      </c>
      <c r="D2681" s="234">
        <v>45444.89711805555</v>
      </c>
      <c r="E2681" s="234">
        <v>45444.70141203704</v>
      </c>
      <c r="F2681" s="235" t="s">
        <v>291</v>
      </c>
      <c r="G2681" s="236" t="s">
        <v>7119</v>
      </c>
      <c r="H2681" s="233" t="s">
        <v>632</v>
      </c>
      <c r="I2681" s="233" t="s">
        <v>461</v>
      </c>
    </row>
    <row r="2682">
      <c r="A2682" s="229" t="s">
        <v>7120</v>
      </c>
      <c r="B2682" s="229" t="s">
        <v>7102</v>
      </c>
      <c r="C2682" s="229" t="s">
        <v>7103</v>
      </c>
      <c r="D2682" s="230">
        <v>45437.65478009259</v>
      </c>
      <c r="E2682" s="230">
        <v>45440.55912037037</v>
      </c>
      <c r="F2682" s="231" t="s">
        <v>431</v>
      </c>
      <c r="G2682" s="232" t="s">
        <v>7121</v>
      </c>
      <c r="H2682" s="229" t="s">
        <v>259</v>
      </c>
      <c r="I2682" s="229" t="s">
        <v>461</v>
      </c>
    </row>
    <row r="2683">
      <c r="A2683" s="233" t="s">
        <v>7122</v>
      </c>
      <c r="B2683" s="233" t="s">
        <v>7102</v>
      </c>
      <c r="C2683" s="233" t="s">
        <v>7105</v>
      </c>
      <c r="D2683" s="234">
        <v>45774.52328703704</v>
      </c>
      <c r="E2683" s="234">
        <v>45774.534837962965</v>
      </c>
      <c r="F2683" s="235" t="s">
        <v>7123</v>
      </c>
      <c r="G2683" s="236" t="s">
        <v>7124</v>
      </c>
      <c r="H2683" s="233" t="s">
        <v>265</v>
      </c>
      <c r="I2683" s="233" t="s">
        <v>640</v>
      </c>
    </row>
    <row r="2684">
      <c r="A2684" s="229" t="s">
        <v>7125</v>
      </c>
      <c r="B2684" s="229" t="s">
        <v>7126</v>
      </c>
      <c r="C2684" s="229" t="s">
        <v>7127</v>
      </c>
      <c r="D2684" s="230">
        <v>45551.84247685185</v>
      </c>
      <c r="E2684" s="230"/>
      <c r="F2684" s="231" t="s">
        <v>706</v>
      </c>
      <c r="G2684" s="232" t="s">
        <v>7128</v>
      </c>
      <c r="H2684" s="229" t="s">
        <v>319</v>
      </c>
      <c r="I2684" s="229" t="s">
        <v>3039</v>
      </c>
    </row>
    <row r="2685">
      <c r="A2685" s="233" t="s">
        <v>7129</v>
      </c>
      <c r="B2685" s="233" t="s">
        <v>7130</v>
      </c>
      <c r="C2685" s="233" t="s">
        <v>7131</v>
      </c>
      <c r="D2685" s="234">
        <v>45535.681076388886</v>
      </c>
      <c r="E2685" s="234"/>
      <c r="F2685" s="235" t="s">
        <v>730</v>
      </c>
      <c r="G2685" s="236" t="s">
        <v>4666</v>
      </c>
      <c r="H2685" s="233" t="s">
        <v>265</v>
      </c>
      <c r="I2685" s="233" t="s">
        <v>2071</v>
      </c>
    </row>
    <row r="2686">
      <c r="A2686" s="233" t="s">
        <v>7132</v>
      </c>
      <c r="B2686" s="233" t="s">
        <v>7130</v>
      </c>
      <c r="C2686" s="233" t="s">
        <v>7131</v>
      </c>
      <c r="D2686" s="234">
        <v>45745.70543981482</v>
      </c>
      <c r="E2686" s="234">
        <v>45748.70148148148</v>
      </c>
      <c r="F2686" s="235" t="s">
        <v>281</v>
      </c>
      <c r="G2686" s="236" t="s">
        <v>606</v>
      </c>
      <c r="H2686" s="233" t="s">
        <v>265</v>
      </c>
      <c r="I2686" s="233" t="s">
        <v>2071</v>
      </c>
    </row>
    <row r="2687">
      <c r="A2687" s="233" t="s">
        <v>7133</v>
      </c>
      <c r="B2687" s="233" t="s">
        <v>7130</v>
      </c>
      <c r="C2687" s="233" t="s">
        <v>7131</v>
      </c>
      <c r="D2687" s="234">
        <v>45738.720289351855</v>
      </c>
      <c r="E2687" s="234">
        <v>45740.7084375</v>
      </c>
      <c r="F2687" s="235" t="s">
        <v>281</v>
      </c>
      <c r="G2687" s="236" t="s">
        <v>7134</v>
      </c>
      <c r="H2687" s="233" t="s">
        <v>265</v>
      </c>
      <c r="I2687" s="233" t="s">
        <v>2071</v>
      </c>
    </row>
    <row r="2688">
      <c r="A2688" s="229" t="s">
        <v>7135</v>
      </c>
      <c r="B2688" s="229" t="s">
        <v>7136</v>
      </c>
      <c r="C2688" s="229" t="s">
        <v>7137</v>
      </c>
      <c r="D2688" s="230">
        <v>45737.81380787037</v>
      </c>
      <c r="E2688" s="230">
        <v>45739.65980324074</v>
      </c>
      <c r="F2688" s="231" t="s">
        <v>1450</v>
      </c>
      <c r="G2688" s="232" t="s">
        <v>7138</v>
      </c>
      <c r="H2688" s="229" t="s">
        <v>265</v>
      </c>
      <c r="I2688" s="229" t="s">
        <v>626</v>
      </c>
    </row>
    <row r="2689">
      <c r="A2689" s="229" t="s">
        <v>7139</v>
      </c>
      <c r="B2689" s="229" t="s">
        <v>7140</v>
      </c>
      <c r="C2689" s="229" t="s">
        <v>7141</v>
      </c>
      <c r="D2689" s="230">
        <v>45549.794537037036</v>
      </c>
      <c r="E2689" s="230"/>
      <c r="F2689" s="231" t="s">
        <v>706</v>
      </c>
      <c r="G2689" s="232" t="s">
        <v>7142</v>
      </c>
      <c r="H2689" s="229" t="s">
        <v>265</v>
      </c>
      <c r="I2689" s="229" t="s">
        <v>1673</v>
      </c>
    </row>
    <row r="2690">
      <c r="A2690" s="233" t="s">
        <v>7143</v>
      </c>
      <c r="B2690" s="233" t="s">
        <v>7140</v>
      </c>
      <c r="C2690" s="233" t="s">
        <v>7141</v>
      </c>
      <c r="D2690" s="234">
        <v>45535.71582175926</v>
      </c>
      <c r="E2690" s="234"/>
      <c r="F2690" s="235" t="s">
        <v>645</v>
      </c>
      <c r="G2690" s="236" t="s">
        <v>7144</v>
      </c>
      <c r="H2690" s="233" t="s">
        <v>265</v>
      </c>
      <c r="I2690" s="233" t="s">
        <v>1673</v>
      </c>
    </row>
    <row r="2691">
      <c r="A2691" s="229" t="s">
        <v>7145</v>
      </c>
      <c r="B2691" s="229" t="s">
        <v>7140</v>
      </c>
      <c r="C2691" s="229" t="s">
        <v>7141</v>
      </c>
      <c r="D2691" s="230">
        <v>45521.72278935185</v>
      </c>
      <c r="E2691" s="230"/>
      <c r="F2691" s="231" t="s">
        <v>538</v>
      </c>
      <c r="G2691" s="232" t="s">
        <v>7146</v>
      </c>
      <c r="H2691" s="229" t="s">
        <v>265</v>
      </c>
      <c r="I2691" s="229" t="s">
        <v>1673</v>
      </c>
    </row>
    <row r="2692">
      <c r="A2692" s="229" t="s">
        <v>7147</v>
      </c>
      <c r="B2692" s="229" t="s">
        <v>7140</v>
      </c>
      <c r="C2692" s="229" t="s">
        <v>7148</v>
      </c>
      <c r="D2692" s="230">
        <v>45732.7684375</v>
      </c>
      <c r="E2692" s="230">
        <v>45732.77784722222</v>
      </c>
      <c r="F2692" s="231" t="s">
        <v>431</v>
      </c>
      <c r="G2692" s="232" t="s">
        <v>7149</v>
      </c>
      <c r="H2692" s="229" t="s">
        <v>265</v>
      </c>
      <c r="I2692" s="229" t="s">
        <v>1673</v>
      </c>
    </row>
    <row r="2693">
      <c r="A2693" s="229" t="s">
        <v>7150</v>
      </c>
      <c r="B2693" s="229" t="s">
        <v>7140</v>
      </c>
      <c r="C2693" s="229" t="s">
        <v>7148</v>
      </c>
      <c r="D2693" s="230">
        <v>45773.78771990741</v>
      </c>
      <c r="E2693" s="230">
        <v>45773.79875</v>
      </c>
      <c r="F2693" s="231" t="s">
        <v>706</v>
      </c>
      <c r="G2693" s="232" t="s">
        <v>7151</v>
      </c>
      <c r="H2693" s="229" t="s">
        <v>265</v>
      </c>
      <c r="I2693" s="229" t="s">
        <v>1673</v>
      </c>
    </row>
    <row r="2694">
      <c r="A2694" s="229" t="s">
        <v>7152</v>
      </c>
      <c r="B2694" s="229" t="s">
        <v>7153</v>
      </c>
      <c r="C2694" s="229" t="s">
        <v>7154</v>
      </c>
      <c r="D2694" s="230">
        <v>45482.711006944446</v>
      </c>
      <c r="E2694" s="230"/>
      <c r="F2694" s="231" t="s">
        <v>572</v>
      </c>
      <c r="G2694" s="232" t="s">
        <v>7155</v>
      </c>
      <c r="H2694" s="229" t="s">
        <v>416</v>
      </c>
      <c r="I2694" s="229" t="s">
        <v>7156</v>
      </c>
    </row>
    <row r="2695">
      <c r="A2695" s="233" t="s">
        <v>7157</v>
      </c>
      <c r="B2695" s="233" t="s">
        <v>7158</v>
      </c>
      <c r="C2695" s="233" t="s">
        <v>7159</v>
      </c>
      <c r="D2695" s="234">
        <v>45704.84204861111</v>
      </c>
      <c r="E2695" s="234">
        <v>45705.649375</v>
      </c>
      <c r="F2695" s="235" t="s">
        <v>435</v>
      </c>
      <c r="G2695" s="236" t="s">
        <v>7160</v>
      </c>
      <c r="H2695" s="233" t="s">
        <v>346</v>
      </c>
      <c r="I2695" s="233" t="s">
        <v>7161</v>
      </c>
    </row>
    <row r="2696">
      <c r="A2696" s="233" t="s">
        <v>7162</v>
      </c>
      <c r="B2696" s="233" t="s">
        <v>7158</v>
      </c>
      <c r="C2696" s="233" t="s">
        <v>7159</v>
      </c>
      <c r="D2696" s="234">
        <v>45732.90380787037</v>
      </c>
      <c r="E2696" s="234">
        <v>45733.77096064815</v>
      </c>
      <c r="F2696" s="235" t="s">
        <v>317</v>
      </c>
      <c r="G2696" s="236" t="s">
        <v>7163</v>
      </c>
      <c r="H2696" s="233" t="s">
        <v>346</v>
      </c>
      <c r="I2696" s="233" t="s">
        <v>7161</v>
      </c>
    </row>
    <row r="2697">
      <c r="A2697" s="229" t="s">
        <v>7164</v>
      </c>
      <c r="B2697" s="229" t="s">
        <v>7165</v>
      </c>
      <c r="C2697" s="229" t="s">
        <v>7166</v>
      </c>
      <c r="D2697" s="230">
        <v>45760.50969907407</v>
      </c>
      <c r="E2697" s="230">
        <v>45761.805752314816</v>
      </c>
      <c r="F2697" s="231" t="s">
        <v>297</v>
      </c>
      <c r="G2697" s="232" t="s">
        <v>7167</v>
      </c>
      <c r="H2697" s="229" t="s">
        <v>265</v>
      </c>
      <c r="I2697" s="229" t="s">
        <v>5454</v>
      </c>
    </row>
    <row r="2698">
      <c r="A2698" s="229" t="s">
        <v>7168</v>
      </c>
      <c r="B2698" s="229" t="s">
        <v>7169</v>
      </c>
      <c r="C2698" s="229" t="s">
        <v>7170</v>
      </c>
      <c r="D2698" s="230">
        <v>45773.82677083334</v>
      </c>
      <c r="E2698" s="230">
        <v>45773.83710648148</v>
      </c>
      <c r="F2698" s="231" t="s">
        <v>730</v>
      </c>
      <c r="G2698" s="232" t="s">
        <v>6331</v>
      </c>
      <c r="H2698" s="229" t="s">
        <v>265</v>
      </c>
      <c r="I2698" s="229" t="s">
        <v>1483</v>
      </c>
    </row>
    <row r="2699">
      <c r="A2699" s="229" t="s">
        <v>7171</v>
      </c>
      <c r="B2699" s="229" t="s">
        <v>7172</v>
      </c>
      <c r="C2699" s="229" t="s">
        <v>7173</v>
      </c>
      <c r="D2699" s="230">
        <v>45774.563796296294</v>
      </c>
      <c r="E2699" s="230">
        <v>45774.59736111111</v>
      </c>
      <c r="F2699" s="231" t="s">
        <v>1082</v>
      </c>
      <c r="G2699" s="232" t="s">
        <v>7174</v>
      </c>
      <c r="H2699" s="229" t="s">
        <v>265</v>
      </c>
      <c r="I2699" s="229" t="s">
        <v>4551</v>
      </c>
    </row>
    <row r="2700">
      <c r="A2700" s="229" t="s">
        <v>7175</v>
      </c>
      <c r="B2700" s="229" t="s">
        <v>7176</v>
      </c>
      <c r="C2700" s="229" t="s">
        <v>7177</v>
      </c>
      <c r="D2700" s="230">
        <v>45467.766875</v>
      </c>
      <c r="E2700" s="230"/>
      <c r="F2700" s="231" t="s">
        <v>257</v>
      </c>
      <c r="G2700" s="232" t="s">
        <v>7178</v>
      </c>
      <c r="H2700" s="229" t="s">
        <v>356</v>
      </c>
      <c r="I2700" s="229" t="s">
        <v>7179</v>
      </c>
    </row>
    <row r="2701">
      <c r="A2701" s="233" t="s">
        <v>7180</v>
      </c>
      <c r="B2701" s="233" t="s">
        <v>7176</v>
      </c>
      <c r="C2701" s="233" t="s">
        <v>7177</v>
      </c>
      <c r="D2701" s="234">
        <v>45452.551469907405</v>
      </c>
      <c r="E2701" s="234">
        <v>45453.55224537037</v>
      </c>
      <c r="F2701" s="235" t="s">
        <v>465</v>
      </c>
      <c r="G2701" s="236" t="s">
        <v>3227</v>
      </c>
      <c r="H2701" s="233" t="s">
        <v>356</v>
      </c>
      <c r="I2701" s="233" t="s">
        <v>7179</v>
      </c>
    </row>
    <row r="2702">
      <c r="A2702" s="233" t="s">
        <v>7181</v>
      </c>
      <c r="B2702" s="233" t="s">
        <v>7176</v>
      </c>
      <c r="C2702" s="233" t="s">
        <v>7177</v>
      </c>
      <c r="D2702" s="234">
        <v>45447.83804398148</v>
      </c>
      <c r="E2702" s="234">
        <v>45447.6528125</v>
      </c>
      <c r="F2702" s="235" t="s">
        <v>1105</v>
      </c>
      <c r="G2702" s="236" t="s">
        <v>7182</v>
      </c>
      <c r="H2702" s="233" t="s">
        <v>356</v>
      </c>
      <c r="I2702" s="233" t="s">
        <v>7179</v>
      </c>
    </row>
    <row r="2703">
      <c r="A2703" s="233" t="s">
        <v>7183</v>
      </c>
      <c r="B2703" s="233" t="s">
        <v>7176</v>
      </c>
      <c r="C2703" s="233" t="s">
        <v>7177</v>
      </c>
      <c r="D2703" s="234">
        <v>45439.43038194445</v>
      </c>
      <c r="E2703" s="234">
        <v>45439.250081018516</v>
      </c>
      <c r="F2703" s="235" t="s">
        <v>465</v>
      </c>
      <c r="G2703" s="236" t="s">
        <v>3227</v>
      </c>
      <c r="H2703" s="233" t="s">
        <v>356</v>
      </c>
      <c r="I2703" s="233" t="s">
        <v>7179</v>
      </c>
    </row>
    <row r="2704">
      <c r="A2704" s="229" t="s">
        <v>7184</v>
      </c>
      <c r="B2704" s="229" t="s">
        <v>7185</v>
      </c>
      <c r="C2704" s="229" t="s">
        <v>7186</v>
      </c>
      <c r="D2704" s="230">
        <v>45501.60631944444</v>
      </c>
      <c r="E2704" s="243"/>
      <c r="F2704" s="231" t="s">
        <v>488</v>
      </c>
      <c r="G2704" s="232" t="s">
        <v>7187</v>
      </c>
      <c r="H2704" s="229" t="s">
        <v>811</v>
      </c>
      <c r="I2704" s="229" t="s">
        <v>357</v>
      </c>
    </row>
    <row r="2705">
      <c r="A2705" s="229" t="s">
        <v>7188</v>
      </c>
      <c r="B2705" s="229" t="s">
        <v>7189</v>
      </c>
      <c r="C2705" s="229" t="s">
        <v>7190</v>
      </c>
      <c r="D2705" s="230">
        <v>45544.53907407408</v>
      </c>
      <c r="E2705" s="230"/>
      <c r="F2705" s="231" t="s">
        <v>431</v>
      </c>
      <c r="G2705" s="232" t="s">
        <v>7191</v>
      </c>
      <c r="H2705" s="229" t="s">
        <v>561</v>
      </c>
      <c r="I2705" s="229" t="s">
        <v>1483</v>
      </c>
    </row>
    <row r="2706">
      <c r="A2706" s="229" t="s">
        <v>7192</v>
      </c>
      <c r="B2706" s="229" t="s">
        <v>7189</v>
      </c>
      <c r="C2706" s="229" t="s">
        <v>7190</v>
      </c>
      <c r="D2706" s="230">
        <v>45467.8068287037</v>
      </c>
      <c r="E2706" s="230"/>
      <c r="F2706" s="231" t="s">
        <v>439</v>
      </c>
      <c r="G2706" s="232" t="s">
        <v>7193</v>
      </c>
      <c r="H2706" s="229" t="s">
        <v>561</v>
      </c>
      <c r="I2706" s="229" t="s">
        <v>1483</v>
      </c>
    </row>
    <row r="2707">
      <c r="A2707" s="233" t="s">
        <v>7194</v>
      </c>
      <c r="B2707" s="233" t="s">
        <v>7189</v>
      </c>
      <c r="C2707" s="233" t="s">
        <v>7190</v>
      </c>
      <c r="D2707" s="234">
        <v>45451.56375</v>
      </c>
      <c r="E2707" s="234">
        <v>45451.36819444445</v>
      </c>
      <c r="F2707" s="235" t="s">
        <v>503</v>
      </c>
      <c r="G2707" s="236" t="s">
        <v>2171</v>
      </c>
      <c r="H2707" s="233" t="s">
        <v>561</v>
      </c>
      <c r="I2707" s="233" t="s">
        <v>1483</v>
      </c>
    </row>
    <row r="2708">
      <c r="A2708" s="229" t="s">
        <v>7195</v>
      </c>
      <c r="B2708" s="229" t="s">
        <v>7189</v>
      </c>
      <c r="C2708" s="229" t="s">
        <v>7196</v>
      </c>
      <c r="D2708" s="230">
        <v>45451.56193287037</v>
      </c>
      <c r="E2708" s="230">
        <v>45454.295219907406</v>
      </c>
      <c r="F2708" s="231" t="s">
        <v>645</v>
      </c>
      <c r="G2708" s="232" t="s">
        <v>646</v>
      </c>
      <c r="H2708" s="229" t="s">
        <v>259</v>
      </c>
      <c r="I2708" s="229" t="s">
        <v>2478</v>
      </c>
    </row>
    <row r="2709">
      <c r="A2709" s="229" t="s">
        <v>7197</v>
      </c>
      <c r="B2709" s="229" t="s">
        <v>7189</v>
      </c>
      <c r="C2709" s="229" t="s">
        <v>7190</v>
      </c>
      <c r="D2709" s="230">
        <v>45704.8221412037</v>
      </c>
      <c r="E2709" s="230">
        <v>45704.8368287037</v>
      </c>
      <c r="F2709" s="231" t="s">
        <v>431</v>
      </c>
      <c r="G2709" s="232" t="s">
        <v>7198</v>
      </c>
      <c r="H2709" s="229" t="s">
        <v>561</v>
      </c>
      <c r="I2709" s="229" t="s">
        <v>1483</v>
      </c>
    </row>
    <row r="2710">
      <c r="A2710" s="229" t="s">
        <v>7199</v>
      </c>
      <c r="B2710" s="229" t="s">
        <v>7189</v>
      </c>
      <c r="C2710" s="229" t="s">
        <v>7190</v>
      </c>
      <c r="D2710" s="230">
        <v>45733.87715277778</v>
      </c>
      <c r="E2710" s="230">
        <v>45733.88891203704</v>
      </c>
      <c r="F2710" s="231" t="s">
        <v>431</v>
      </c>
      <c r="G2710" s="232" t="s">
        <v>7200</v>
      </c>
      <c r="H2710" s="229" t="s">
        <v>561</v>
      </c>
      <c r="I2710" s="229" t="s">
        <v>1483</v>
      </c>
    </row>
    <row r="2711">
      <c r="A2711" s="233" t="s">
        <v>7201</v>
      </c>
      <c r="B2711" s="233" t="s">
        <v>7189</v>
      </c>
      <c r="C2711" s="233" t="s">
        <v>7190</v>
      </c>
      <c r="D2711" s="234">
        <v>45777.88177083333</v>
      </c>
      <c r="E2711" s="234">
        <v>45777.89239583333</v>
      </c>
      <c r="F2711" s="235" t="s">
        <v>431</v>
      </c>
      <c r="G2711" s="236" t="s">
        <v>2101</v>
      </c>
      <c r="H2711" s="233" t="s">
        <v>561</v>
      </c>
      <c r="I2711" s="233" t="s">
        <v>1483</v>
      </c>
    </row>
    <row r="2712">
      <c r="A2712" s="229" t="s">
        <v>7202</v>
      </c>
      <c r="B2712" s="229" t="s">
        <v>7203</v>
      </c>
      <c r="C2712" s="229" t="s">
        <v>7204</v>
      </c>
      <c r="D2712" s="230">
        <v>45478.90421296296</v>
      </c>
      <c r="E2712" s="230"/>
      <c r="F2712" s="231" t="s">
        <v>2180</v>
      </c>
      <c r="G2712" s="232" t="s">
        <v>2528</v>
      </c>
      <c r="H2712" s="229" t="s">
        <v>259</v>
      </c>
      <c r="I2712" s="229" t="s">
        <v>2971</v>
      </c>
    </row>
    <row r="2713">
      <c r="A2713" s="229" t="s">
        <v>7205</v>
      </c>
      <c r="B2713" s="229" t="s">
        <v>7206</v>
      </c>
      <c r="C2713" s="229" t="s">
        <v>7207</v>
      </c>
      <c r="D2713" s="230">
        <v>45526.87422453704</v>
      </c>
      <c r="E2713" s="230"/>
      <c r="F2713" s="231" t="s">
        <v>297</v>
      </c>
      <c r="G2713" s="232" t="s">
        <v>7208</v>
      </c>
      <c r="H2713" s="229" t="s">
        <v>259</v>
      </c>
      <c r="I2713" s="229" t="s">
        <v>1452</v>
      </c>
    </row>
    <row r="2714">
      <c r="A2714" s="233" t="s">
        <v>7209</v>
      </c>
      <c r="B2714" s="233" t="s">
        <v>7206</v>
      </c>
      <c r="C2714" s="233" t="s">
        <v>7207</v>
      </c>
      <c r="D2714" s="234">
        <v>45470.91186342593</v>
      </c>
      <c r="E2714" s="234"/>
      <c r="F2714" s="235" t="s">
        <v>3496</v>
      </c>
      <c r="G2714" s="236" t="s">
        <v>7210</v>
      </c>
      <c r="H2714" s="233" t="s">
        <v>259</v>
      </c>
      <c r="I2714" s="233" t="s">
        <v>1452</v>
      </c>
    </row>
    <row r="2715">
      <c r="A2715" s="229" t="s">
        <v>7211</v>
      </c>
      <c r="B2715" s="229" t="s">
        <v>7206</v>
      </c>
      <c r="C2715" s="229" t="s">
        <v>7207</v>
      </c>
      <c r="D2715" s="230">
        <v>45446.88554398148</v>
      </c>
      <c r="E2715" s="230">
        <v>45446.694502314815</v>
      </c>
      <c r="F2715" s="231" t="s">
        <v>1199</v>
      </c>
      <c r="G2715" s="232" t="s">
        <v>7212</v>
      </c>
      <c r="H2715" s="229" t="s">
        <v>259</v>
      </c>
      <c r="I2715" s="229" t="s">
        <v>1452</v>
      </c>
    </row>
    <row r="2716">
      <c r="A2716" s="233" t="s">
        <v>7213</v>
      </c>
      <c r="B2716" s="233" t="s">
        <v>7206</v>
      </c>
      <c r="C2716" s="233" t="s">
        <v>7214</v>
      </c>
      <c r="D2716" s="234">
        <v>45435.862175925926</v>
      </c>
      <c r="E2716" s="234">
        <v>45435.673634259256</v>
      </c>
      <c r="F2716" s="235" t="s">
        <v>1199</v>
      </c>
      <c r="G2716" s="236" t="s">
        <v>7215</v>
      </c>
      <c r="H2716" s="233" t="s">
        <v>259</v>
      </c>
      <c r="I2716" s="233" t="s">
        <v>1452</v>
      </c>
    </row>
    <row r="2717">
      <c r="A2717" s="229" t="s">
        <v>7216</v>
      </c>
      <c r="B2717" s="229" t="s">
        <v>7217</v>
      </c>
      <c r="C2717" s="229" t="s">
        <v>7218</v>
      </c>
      <c r="D2717" s="230">
        <v>45528.470243055555</v>
      </c>
      <c r="E2717" s="230"/>
      <c r="F2717" s="231" t="s">
        <v>580</v>
      </c>
      <c r="G2717" s="232" t="s">
        <v>3215</v>
      </c>
      <c r="H2717" s="229" t="s">
        <v>259</v>
      </c>
      <c r="I2717" s="229" t="s">
        <v>7219</v>
      </c>
    </row>
    <row r="2718">
      <c r="A2718" s="233" t="s">
        <v>7220</v>
      </c>
      <c r="B2718" s="233" t="s">
        <v>7217</v>
      </c>
      <c r="C2718" s="233" t="s">
        <v>7221</v>
      </c>
      <c r="D2718" s="234">
        <v>45451.856516203705</v>
      </c>
      <c r="E2718" s="234">
        <v>45453.23274305555</v>
      </c>
      <c r="F2718" s="235" t="s">
        <v>2943</v>
      </c>
      <c r="G2718" s="236" t="s">
        <v>7222</v>
      </c>
      <c r="H2718" s="233" t="s">
        <v>259</v>
      </c>
      <c r="I2718" s="233" t="s">
        <v>7219</v>
      </c>
    </row>
    <row r="2719">
      <c r="A2719" s="233" t="s">
        <v>7223</v>
      </c>
      <c r="B2719" s="233" t="s">
        <v>7224</v>
      </c>
      <c r="C2719" s="233" t="s">
        <v>1768</v>
      </c>
      <c r="D2719" s="234">
        <v>45507.66255787037</v>
      </c>
      <c r="E2719" s="234"/>
      <c r="F2719" s="235" t="s">
        <v>257</v>
      </c>
      <c r="G2719" s="236" t="s">
        <v>7225</v>
      </c>
      <c r="H2719" s="233" t="s">
        <v>632</v>
      </c>
      <c r="I2719" s="233" t="s">
        <v>1080</v>
      </c>
    </row>
    <row r="2720">
      <c r="A2720" s="229" t="s">
        <v>7226</v>
      </c>
      <c r="B2720" s="229" t="s">
        <v>7227</v>
      </c>
      <c r="C2720" s="229" t="s">
        <v>7228</v>
      </c>
      <c r="D2720" s="230">
        <v>45734.78371527778</v>
      </c>
      <c r="E2720" s="230">
        <v>45737.618159722224</v>
      </c>
      <c r="F2720" s="231" t="s">
        <v>439</v>
      </c>
      <c r="G2720" s="232" t="s">
        <v>7229</v>
      </c>
      <c r="H2720" s="229" t="s">
        <v>293</v>
      </c>
      <c r="I2720" s="229" t="s">
        <v>7230</v>
      </c>
    </row>
    <row r="2721">
      <c r="A2721" s="229" t="s">
        <v>7231</v>
      </c>
      <c r="B2721" s="229" t="s">
        <v>7232</v>
      </c>
      <c r="C2721" s="229" t="s">
        <v>7233</v>
      </c>
      <c r="D2721" s="230">
        <v>45535.6922337963</v>
      </c>
      <c r="E2721" s="230"/>
      <c r="F2721" s="231" t="s">
        <v>380</v>
      </c>
      <c r="G2721" s="232" t="s">
        <v>7234</v>
      </c>
      <c r="H2721" s="229" t="s">
        <v>265</v>
      </c>
      <c r="I2721" s="229" t="s">
        <v>461</v>
      </c>
    </row>
    <row r="2722">
      <c r="A2722" s="229" t="s">
        <v>7235</v>
      </c>
      <c r="B2722" s="229" t="s">
        <v>7232</v>
      </c>
      <c r="C2722" s="229" t="s">
        <v>7233</v>
      </c>
      <c r="D2722" s="230">
        <v>45494.73844907407</v>
      </c>
      <c r="E2722" s="230"/>
      <c r="F2722" s="231" t="s">
        <v>291</v>
      </c>
      <c r="G2722" s="232" t="s">
        <v>5885</v>
      </c>
      <c r="H2722" s="229" t="s">
        <v>265</v>
      </c>
      <c r="I2722" s="229" t="s">
        <v>461</v>
      </c>
    </row>
    <row r="2723">
      <c r="A2723" s="233" t="s">
        <v>7236</v>
      </c>
      <c r="B2723" s="233" t="s">
        <v>7237</v>
      </c>
      <c r="C2723" s="233" t="s">
        <v>7238</v>
      </c>
      <c r="D2723" s="234">
        <v>45549.692777777775</v>
      </c>
      <c r="E2723" s="234"/>
      <c r="F2723" s="235" t="s">
        <v>250</v>
      </c>
      <c r="G2723" s="236" t="s">
        <v>548</v>
      </c>
      <c r="H2723" s="233" t="s">
        <v>265</v>
      </c>
      <c r="I2723" s="233" t="s">
        <v>461</v>
      </c>
    </row>
    <row r="2724">
      <c r="A2724" s="229" t="s">
        <v>7239</v>
      </c>
      <c r="B2724" s="229" t="s">
        <v>7237</v>
      </c>
      <c r="C2724" s="229" t="s">
        <v>7238</v>
      </c>
      <c r="D2724" s="230">
        <v>45543.67700231481</v>
      </c>
      <c r="E2724" s="230"/>
      <c r="F2724" s="231" t="s">
        <v>250</v>
      </c>
      <c r="G2724" s="232" t="s">
        <v>7240</v>
      </c>
      <c r="H2724" s="229" t="s">
        <v>265</v>
      </c>
      <c r="I2724" s="229" t="s">
        <v>461</v>
      </c>
    </row>
    <row r="2725">
      <c r="A2725" s="233" t="s">
        <v>7241</v>
      </c>
      <c r="B2725" s="233" t="s">
        <v>7237</v>
      </c>
      <c r="C2725" s="233" t="s">
        <v>7238</v>
      </c>
      <c r="D2725" s="234">
        <v>45713.825162037036</v>
      </c>
      <c r="E2725" s="234">
        <v>45713.83684027778</v>
      </c>
      <c r="F2725" s="235" t="s">
        <v>250</v>
      </c>
      <c r="G2725" s="236" t="s">
        <v>3675</v>
      </c>
      <c r="H2725" s="233" t="s">
        <v>265</v>
      </c>
      <c r="I2725" s="233" t="s">
        <v>461</v>
      </c>
    </row>
    <row r="2726">
      <c r="A2726" s="233" t="s">
        <v>7242</v>
      </c>
      <c r="B2726" s="233" t="s">
        <v>7237</v>
      </c>
      <c r="C2726" s="233" t="s">
        <v>7243</v>
      </c>
      <c r="D2726" s="234">
        <v>45706.59800925926</v>
      </c>
      <c r="E2726" s="234">
        <v>45707.82299768519</v>
      </c>
      <c r="F2726" s="235" t="s">
        <v>722</v>
      </c>
      <c r="G2726" s="236" t="s">
        <v>3287</v>
      </c>
      <c r="H2726" s="233" t="s">
        <v>265</v>
      </c>
      <c r="I2726" s="233" t="s">
        <v>461</v>
      </c>
    </row>
    <row r="2727">
      <c r="A2727" s="233" t="s">
        <v>7244</v>
      </c>
      <c r="B2727" s="233" t="s">
        <v>7237</v>
      </c>
      <c r="C2727" s="233" t="s">
        <v>7243</v>
      </c>
      <c r="D2727" s="234">
        <v>45746.651296296295</v>
      </c>
      <c r="E2727" s="234">
        <v>45747.75009259259</v>
      </c>
      <c r="F2727" s="235" t="s">
        <v>380</v>
      </c>
      <c r="G2727" s="236" t="s">
        <v>1178</v>
      </c>
      <c r="H2727" s="233" t="s">
        <v>265</v>
      </c>
      <c r="I2727" s="233" t="s">
        <v>461</v>
      </c>
    </row>
    <row r="2728">
      <c r="A2728" s="229" t="s">
        <v>7245</v>
      </c>
      <c r="B2728" s="229" t="s">
        <v>7237</v>
      </c>
      <c r="C2728" s="229" t="s">
        <v>7238</v>
      </c>
      <c r="D2728" s="230">
        <v>45746.650416666664</v>
      </c>
      <c r="E2728" s="230">
        <v>45746.65991898148</v>
      </c>
      <c r="F2728" s="231" t="s">
        <v>250</v>
      </c>
      <c r="G2728" s="232" t="s">
        <v>455</v>
      </c>
      <c r="H2728" s="229" t="s">
        <v>265</v>
      </c>
      <c r="I2728" s="229" t="s">
        <v>461</v>
      </c>
    </row>
    <row r="2729">
      <c r="A2729" s="229" t="s">
        <v>7246</v>
      </c>
      <c r="B2729" s="229" t="s">
        <v>7237</v>
      </c>
      <c r="C2729" s="229" t="s">
        <v>7238</v>
      </c>
      <c r="D2729" s="230">
        <v>45738.69398148148</v>
      </c>
      <c r="E2729" s="230">
        <v>45738.704988425925</v>
      </c>
      <c r="F2729" s="231" t="s">
        <v>291</v>
      </c>
      <c r="G2729" s="232" t="s">
        <v>1415</v>
      </c>
      <c r="H2729" s="229" t="s">
        <v>265</v>
      </c>
      <c r="I2729" s="229" t="s">
        <v>461</v>
      </c>
    </row>
    <row r="2730">
      <c r="A2730" s="233" t="s">
        <v>7247</v>
      </c>
      <c r="B2730" s="233" t="s">
        <v>7237</v>
      </c>
      <c r="C2730" s="233" t="s">
        <v>7243</v>
      </c>
      <c r="D2730" s="234">
        <v>45738.69357638889</v>
      </c>
      <c r="E2730" s="234">
        <v>45740.88547453703</v>
      </c>
      <c r="F2730" s="235" t="s">
        <v>380</v>
      </c>
      <c r="G2730" s="236" t="s">
        <v>4249</v>
      </c>
      <c r="H2730" s="233" t="s">
        <v>265</v>
      </c>
      <c r="I2730" s="233" t="s">
        <v>461</v>
      </c>
    </row>
    <row r="2731">
      <c r="A2731" s="229" t="s">
        <v>7248</v>
      </c>
      <c r="B2731" s="229" t="s">
        <v>7237</v>
      </c>
      <c r="C2731" s="229" t="s">
        <v>7249</v>
      </c>
      <c r="D2731" s="230">
        <v>45773.80978009259</v>
      </c>
      <c r="E2731" s="230">
        <v>45773.93403935185</v>
      </c>
      <c r="F2731" s="231" t="s">
        <v>503</v>
      </c>
      <c r="G2731" s="232" t="s">
        <v>2104</v>
      </c>
      <c r="H2731" s="229" t="s">
        <v>259</v>
      </c>
      <c r="I2731" s="229" t="s">
        <v>461</v>
      </c>
    </row>
    <row r="2732">
      <c r="A2732" s="233" t="s">
        <v>7250</v>
      </c>
      <c r="B2732" s="233" t="s">
        <v>7237</v>
      </c>
      <c r="C2732" s="233" t="s">
        <v>7238</v>
      </c>
      <c r="D2732" s="234">
        <v>45773.80913194444</v>
      </c>
      <c r="E2732" s="234">
        <v>45773.81957175926</v>
      </c>
      <c r="F2732" s="235" t="s">
        <v>380</v>
      </c>
      <c r="G2732" s="236" t="s">
        <v>2390</v>
      </c>
      <c r="H2732" s="233" t="s">
        <v>265</v>
      </c>
      <c r="I2732" s="233" t="s">
        <v>461</v>
      </c>
    </row>
    <row r="2733">
      <c r="A2733" s="233" t="s">
        <v>7251</v>
      </c>
      <c r="B2733" s="233" t="s">
        <v>7237</v>
      </c>
      <c r="C2733" s="233" t="s">
        <v>7238</v>
      </c>
      <c r="D2733" s="234">
        <v>45759.80033564815</v>
      </c>
      <c r="E2733" s="234">
        <v>45759.80920138889</v>
      </c>
      <c r="F2733" s="235" t="s">
        <v>250</v>
      </c>
      <c r="G2733" s="236" t="s">
        <v>455</v>
      </c>
      <c r="H2733" s="233" t="s">
        <v>265</v>
      </c>
      <c r="I2733" s="233" t="s">
        <v>461</v>
      </c>
    </row>
    <row r="2734">
      <c r="A2734" s="229" t="s">
        <v>7252</v>
      </c>
      <c r="B2734" s="229" t="s">
        <v>7237</v>
      </c>
      <c r="C2734" s="229" t="s">
        <v>7243</v>
      </c>
      <c r="D2734" s="230">
        <v>45759.79976851852</v>
      </c>
      <c r="E2734" s="230">
        <v>45761.829988425925</v>
      </c>
      <c r="F2734" s="231" t="s">
        <v>380</v>
      </c>
      <c r="G2734" s="232" t="s">
        <v>1178</v>
      </c>
      <c r="H2734" s="229" t="s">
        <v>265</v>
      </c>
      <c r="I2734" s="229" t="s">
        <v>461</v>
      </c>
    </row>
    <row r="2735">
      <c r="A2735" s="233" t="s">
        <v>7253</v>
      </c>
      <c r="B2735" s="233" t="s">
        <v>7254</v>
      </c>
      <c r="C2735" s="233" t="s">
        <v>7255</v>
      </c>
      <c r="D2735" s="234">
        <v>45544.77957175926</v>
      </c>
      <c r="E2735" s="234"/>
      <c r="F2735" s="235" t="s">
        <v>706</v>
      </c>
      <c r="G2735" s="236" t="s">
        <v>7256</v>
      </c>
      <c r="H2735" s="233" t="s">
        <v>259</v>
      </c>
      <c r="I2735" s="233" t="s">
        <v>332</v>
      </c>
    </row>
    <row r="2736">
      <c r="A2736" s="229" t="s">
        <v>7257</v>
      </c>
      <c r="B2736" s="229" t="s">
        <v>7254</v>
      </c>
      <c r="C2736" s="229" t="s">
        <v>7255</v>
      </c>
      <c r="D2736" s="230">
        <v>45544.77916666667</v>
      </c>
      <c r="E2736" s="243"/>
      <c r="F2736" s="231" t="s">
        <v>391</v>
      </c>
      <c r="G2736" s="232" t="s">
        <v>877</v>
      </c>
      <c r="H2736" s="229" t="s">
        <v>259</v>
      </c>
      <c r="I2736" s="229" t="s">
        <v>332</v>
      </c>
    </row>
    <row r="2737">
      <c r="A2737" s="229" t="s">
        <v>7258</v>
      </c>
      <c r="B2737" s="229" t="s">
        <v>7254</v>
      </c>
      <c r="C2737" s="229" t="s">
        <v>7259</v>
      </c>
      <c r="D2737" s="230">
        <v>45542.89811342592</v>
      </c>
      <c r="E2737" s="230"/>
      <c r="F2737" s="231" t="s">
        <v>291</v>
      </c>
      <c r="G2737" s="232" t="s">
        <v>7260</v>
      </c>
      <c r="H2737" s="229" t="s">
        <v>259</v>
      </c>
      <c r="I2737" s="229" t="s">
        <v>260</v>
      </c>
    </row>
    <row r="2738">
      <c r="A2738" s="229" t="s">
        <v>7261</v>
      </c>
      <c r="B2738" s="229" t="s">
        <v>7254</v>
      </c>
      <c r="C2738" s="229" t="s">
        <v>7259</v>
      </c>
      <c r="D2738" s="230">
        <v>45536.557337962964</v>
      </c>
      <c r="E2738" s="230"/>
      <c r="F2738" s="231" t="s">
        <v>538</v>
      </c>
      <c r="G2738" s="232" t="s">
        <v>4008</v>
      </c>
      <c r="H2738" s="229" t="s">
        <v>259</v>
      </c>
      <c r="I2738" s="229" t="s">
        <v>260</v>
      </c>
    </row>
    <row r="2739">
      <c r="A2739" s="238" t="s">
        <v>7262</v>
      </c>
      <c r="B2739" s="238" t="s">
        <v>7263</v>
      </c>
      <c r="C2739" s="238" t="s">
        <v>7264</v>
      </c>
      <c r="D2739" s="239">
        <v>45524.85144675926</v>
      </c>
      <c r="E2739" s="239"/>
      <c r="F2739" s="240" t="s">
        <v>3359</v>
      </c>
      <c r="G2739" s="241" t="s">
        <v>7265</v>
      </c>
      <c r="H2739" s="238" t="s">
        <v>811</v>
      </c>
      <c r="I2739" s="238" t="s">
        <v>357</v>
      </c>
    </row>
    <row r="2740">
      <c r="A2740" s="233" t="s">
        <v>7266</v>
      </c>
      <c r="B2740" s="233" t="s">
        <v>7263</v>
      </c>
      <c r="C2740" s="233" t="s">
        <v>7264</v>
      </c>
      <c r="D2740" s="234">
        <v>45522.646678240744</v>
      </c>
      <c r="E2740" s="242"/>
      <c r="F2740" s="235" t="s">
        <v>7267</v>
      </c>
      <c r="G2740" s="236" t="s">
        <v>7268</v>
      </c>
      <c r="H2740" s="233" t="s">
        <v>811</v>
      </c>
      <c r="I2740" s="233" t="s">
        <v>357</v>
      </c>
    </row>
    <row r="2741">
      <c r="A2741" s="229" t="s">
        <v>7269</v>
      </c>
      <c r="B2741" s="229" t="s">
        <v>7263</v>
      </c>
      <c r="C2741" s="229" t="s">
        <v>7270</v>
      </c>
      <c r="D2741" s="230">
        <v>45513.85270833333</v>
      </c>
      <c r="E2741" s="230"/>
      <c r="F2741" s="231" t="s">
        <v>6483</v>
      </c>
      <c r="G2741" s="232" t="s">
        <v>7271</v>
      </c>
      <c r="H2741" s="229" t="s">
        <v>377</v>
      </c>
      <c r="I2741" s="229" t="s">
        <v>357</v>
      </c>
    </row>
    <row r="2742">
      <c r="A2742" s="229" t="s">
        <v>7272</v>
      </c>
      <c r="B2742" s="229" t="s">
        <v>7263</v>
      </c>
      <c r="C2742" s="229" t="s">
        <v>7270</v>
      </c>
      <c r="D2742" s="230">
        <v>45494.72138888889</v>
      </c>
      <c r="E2742" s="230"/>
      <c r="F2742" s="231" t="s">
        <v>7273</v>
      </c>
      <c r="G2742" s="232" t="s">
        <v>7274</v>
      </c>
      <c r="H2742" s="229" t="s">
        <v>377</v>
      </c>
      <c r="I2742" s="229" t="s">
        <v>357</v>
      </c>
    </row>
    <row r="2743">
      <c r="A2743" s="229" t="s">
        <v>7275</v>
      </c>
      <c r="B2743" s="229" t="s">
        <v>7263</v>
      </c>
      <c r="C2743" s="229" t="s">
        <v>7276</v>
      </c>
      <c r="D2743" s="230">
        <v>45486.89465277778</v>
      </c>
      <c r="E2743" s="230"/>
      <c r="F2743" s="231" t="s">
        <v>658</v>
      </c>
      <c r="G2743" s="232" t="s">
        <v>7277</v>
      </c>
      <c r="H2743" s="229" t="s">
        <v>377</v>
      </c>
      <c r="I2743" s="229" t="s">
        <v>357</v>
      </c>
    </row>
    <row r="2744">
      <c r="A2744" s="229" t="s">
        <v>7275</v>
      </c>
      <c r="B2744" s="229" t="s">
        <v>7263</v>
      </c>
      <c r="C2744" s="229" t="s">
        <v>7276</v>
      </c>
      <c r="D2744" s="230">
        <v>45486.89465277778</v>
      </c>
      <c r="E2744" s="230"/>
      <c r="F2744" s="231" t="s">
        <v>658</v>
      </c>
      <c r="G2744" s="232" t="s">
        <v>7277</v>
      </c>
      <c r="H2744" s="229" t="s">
        <v>377</v>
      </c>
      <c r="I2744" s="229" t="s">
        <v>357</v>
      </c>
    </row>
    <row r="2745">
      <c r="A2745" s="233" t="s">
        <v>7278</v>
      </c>
      <c r="B2745" s="233" t="s">
        <v>7263</v>
      </c>
      <c r="C2745" s="233" t="s">
        <v>7270</v>
      </c>
      <c r="D2745" s="234">
        <v>45462.741944444446</v>
      </c>
      <c r="E2745" s="234"/>
      <c r="F2745" s="235" t="s">
        <v>7279</v>
      </c>
      <c r="G2745" s="236" t="s">
        <v>7280</v>
      </c>
      <c r="H2745" s="233" t="s">
        <v>377</v>
      </c>
      <c r="I2745" s="233" t="s">
        <v>357</v>
      </c>
    </row>
    <row r="2746">
      <c r="A2746" s="233" t="s">
        <v>7278</v>
      </c>
      <c r="B2746" s="233" t="s">
        <v>7263</v>
      </c>
      <c r="C2746" s="233" t="s">
        <v>7270</v>
      </c>
      <c r="D2746" s="234">
        <v>45462.741944444446</v>
      </c>
      <c r="E2746" s="234">
        <v>45465.21880787037</v>
      </c>
      <c r="F2746" s="235" t="s">
        <v>7279</v>
      </c>
      <c r="G2746" s="236" t="s">
        <v>7280</v>
      </c>
      <c r="H2746" s="233" t="s">
        <v>377</v>
      </c>
      <c r="I2746" s="233" t="s">
        <v>357</v>
      </c>
    </row>
    <row r="2747">
      <c r="A2747" s="229" t="s">
        <v>7281</v>
      </c>
      <c r="B2747" s="229" t="s">
        <v>7263</v>
      </c>
      <c r="C2747" s="229" t="s">
        <v>7270</v>
      </c>
      <c r="D2747" s="230">
        <v>45750.739432870374</v>
      </c>
      <c r="E2747" s="230">
        <v>45751.41673611111</v>
      </c>
      <c r="F2747" s="231" t="s">
        <v>7282</v>
      </c>
      <c r="G2747" s="232" t="s">
        <v>7283</v>
      </c>
      <c r="H2747" s="229" t="s">
        <v>377</v>
      </c>
      <c r="I2747" s="229" t="s">
        <v>357</v>
      </c>
    </row>
    <row r="2748">
      <c r="A2748" s="233" t="s">
        <v>7284</v>
      </c>
      <c r="B2748" s="233" t="s">
        <v>7285</v>
      </c>
      <c r="C2748" s="233" t="s">
        <v>7286</v>
      </c>
      <c r="D2748" s="234">
        <v>45746.80267361111</v>
      </c>
      <c r="E2748" s="234">
        <v>45747.65287037037</v>
      </c>
      <c r="F2748" s="235" t="s">
        <v>269</v>
      </c>
      <c r="G2748" s="236" t="s">
        <v>6266</v>
      </c>
      <c r="H2748" s="233" t="s">
        <v>377</v>
      </c>
      <c r="I2748" s="233" t="s">
        <v>389</v>
      </c>
    </row>
    <row r="2749">
      <c r="A2749" s="229" t="s">
        <v>7287</v>
      </c>
      <c r="B2749" s="229" t="s">
        <v>7288</v>
      </c>
      <c r="C2749" s="229" t="s">
        <v>7289</v>
      </c>
      <c r="D2749" s="230">
        <v>45709.73111111111</v>
      </c>
      <c r="E2749" s="230">
        <v>45709.8299537037</v>
      </c>
      <c r="F2749" s="231" t="s">
        <v>317</v>
      </c>
      <c r="G2749" s="232" t="s">
        <v>680</v>
      </c>
      <c r="H2749" s="229" t="s">
        <v>259</v>
      </c>
      <c r="I2749" s="229" t="s">
        <v>7290</v>
      </c>
    </row>
    <row r="2750">
      <c r="A2750" s="233" t="s">
        <v>7291</v>
      </c>
      <c r="B2750" s="233" t="s">
        <v>7288</v>
      </c>
      <c r="C2750" s="233" t="s">
        <v>7289</v>
      </c>
      <c r="D2750" s="234">
        <v>45737.721655092595</v>
      </c>
      <c r="E2750" s="234">
        <v>45739.843831018516</v>
      </c>
      <c r="F2750" s="235" t="s">
        <v>1749</v>
      </c>
      <c r="G2750" s="236" t="s">
        <v>7292</v>
      </c>
      <c r="H2750" s="233" t="s">
        <v>259</v>
      </c>
      <c r="I2750" s="233" t="s">
        <v>7290</v>
      </c>
    </row>
    <row r="2751">
      <c r="A2751" s="233" t="s">
        <v>7293</v>
      </c>
      <c r="B2751" s="233" t="s">
        <v>7294</v>
      </c>
      <c r="C2751" s="233" t="s">
        <v>7295</v>
      </c>
      <c r="D2751" s="234">
        <v>45432.52681712963</v>
      </c>
      <c r="E2751" s="234">
        <v>45432.350810185184</v>
      </c>
      <c r="F2751" s="235" t="s">
        <v>470</v>
      </c>
      <c r="G2751" s="236" t="s">
        <v>7296</v>
      </c>
      <c r="H2751" s="233" t="s">
        <v>293</v>
      </c>
      <c r="I2751" s="233" t="s">
        <v>260</v>
      </c>
    </row>
    <row r="2752">
      <c r="A2752" s="229" t="s">
        <v>7297</v>
      </c>
      <c r="B2752" s="229" t="s">
        <v>7294</v>
      </c>
      <c r="C2752" s="229" t="s">
        <v>7295</v>
      </c>
      <c r="D2752" s="230">
        <v>45431.61083333333</v>
      </c>
      <c r="E2752" s="244"/>
      <c r="F2752" s="231" t="s">
        <v>470</v>
      </c>
      <c r="G2752" s="232" t="s">
        <v>7296</v>
      </c>
      <c r="H2752" s="229" t="s">
        <v>416</v>
      </c>
      <c r="I2752" s="229" t="s">
        <v>417</v>
      </c>
    </row>
    <row r="2753">
      <c r="A2753" s="229" t="s">
        <v>7298</v>
      </c>
      <c r="B2753" s="229" t="s">
        <v>7299</v>
      </c>
      <c r="C2753" s="229" t="s">
        <v>7300</v>
      </c>
      <c r="D2753" s="230">
        <v>45533.86375</v>
      </c>
      <c r="E2753" s="230"/>
      <c r="F2753" s="231" t="s">
        <v>1333</v>
      </c>
      <c r="G2753" s="232" t="s">
        <v>7301</v>
      </c>
      <c r="H2753" s="229" t="s">
        <v>265</v>
      </c>
      <c r="I2753" s="229" t="s">
        <v>6444</v>
      </c>
    </row>
    <row r="2754">
      <c r="A2754" s="233" t="s">
        <v>7302</v>
      </c>
      <c r="B2754" s="233" t="s">
        <v>7299</v>
      </c>
      <c r="C2754" s="233" t="s">
        <v>7303</v>
      </c>
      <c r="D2754" s="234">
        <v>45482.62954861111</v>
      </c>
      <c r="E2754" s="234"/>
      <c r="F2754" s="235" t="s">
        <v>1333</v>
      </c>
      <c r="G2754" s="236" t="s">
        <v>7304</v>
      </c>
      <c r="H2754" s="233" t="s">
        <v>265</v>
      </c>
      <c r="I2754" s="233" t="s">
        <v>6444</v>
      </c>
    </row>
    <row r="2755">
      <c r="A2755" s="229" t="s">
        <v>7305</v>
      </c>
      <c r="B2755" s="229" t="s">
        <v>7306</v>
      </c>
      <c r="C2755" s="229" t="s">
        <v>7307</v>
      </c>
      <c r="D2755" s="230">
        <v>45523.77951388889</v>
      </c>
      <c r="E2755" s="230"/>
      <c r="F2755" s="231" t="s">
        <v>722</v>
      </c>
      <c r="G2755" s="232" t="s">
        <v>7308</v>
      </c>
      <c r="H2755" s="229" t="s">
        <v>259</v>
      </c>
      <c r="I2755" s="229" t="s">
        <v>260</v>
      </c>
    </row>
    <row r="2756">
      <c r="A2756" s="233" t="s">
        <v>7309</v>
      </c>
      <c r="B2756" s="233" t="s">
        <v>7306</v>
      </c>
      <c r="C2756" s="233" t="s">
        <v>7307</v>
      </c>
      <c r="D2756" s="234">
        <v>45523.77898148148</v>
      </c>
      <c r="E2756" s="242"/>
      <c r="F2756" s="235" t="s">
        <v>391</v>
      </c>
      <c r="G2756" s="236" t="s">
        <v>877</v>
      </c>
      <c r="H2756" s="233" t="s">
        <v>259</v>
      </c>
      <c r="I2756" s="233" t="s">
        <v>260</v>
      </c>
    </row>
    <row r="2757">
      <c r="A2757" s="229" t="s">
        <v>7305</v>
      </c>
      <c r="B2757" s="229" t="s">
        <v>7306</v>
      </c>
      <c r="C2757" s="229" t="s">
        <v>7307</v>
      </c>
      <c r="D2757" s="230">
        <v>45523.77951388889</v>
      </c>
      <c r="E2757" s="230"/>
      <c r="F2757" s="231" t="s">
        <v>722</v>
      </c>
      <c r="G2757" s="232" t="s">
        <v>7308</v>
      </c>
      <c r="H2757" s="229" t="s">
        <v>259</v>
      </c>
      <c r="I2757" s="229" t="s">
        <v>260</v>
      </c>
    </row>
    <row r="2758">
      <c r="A2758" s="233" t="s">
        <v>7309</v>
      </c>
      <c r="B2758" s="233" t="s">
        <v>7306</v>
      </c>
      <c r="C2758" s="233" t="s">
        <v>7307</v>
      </c>
      <c r="D2758" s="234">
        <v>45523.77898148148</v>
      </c>
      <c r="E2758" s="242"/>
      <c r="F2758" s="235" t="s">
        <v>391</v>
      </c>
      <c r="G2758" s="236" t="s">
        <v>877</v>
      </c>
      <c r="H2758" s="233" t="s">
        <v>259</v>
      </c>
      <c r="I2758" s="233" t="s">
        <v>260</v>
      </c>
    </row>
    <row r="2759">
      <c r="A2759" s="233" t="s">
        <v>7310</v>
      </c>
      <c r="B2759" s="233" t="s">
        <v>7311</v>
      </c>
      <c r="C2759" s="233" t="s">
        <v>7312</v>
      </c>
      <c r="D2759" s="234">
        <v>45711.52505787037</v>
      </c>
      <c r="E2759" s="234">
        <v>45711.642488425925</v>
      </c>
      <c r="F2759" s="235" t="s">
        <v>538</v>
      </c>
      <c r="G2759" s="236" t="s">
        <v>2039</v>
      </c>
      <c r="H2759" s="233" t="s">
        <v>346</v>
      </c>
      <c r="I2759" s="233" t="s">
        <v>284</v>
      </c>
    </row>
    <row r="2760">
      <c r="A2760" s="233" t="s">
        <v>7313</v>
      </c>
      <c r="B2760" s="233" t="s">
        <v>7311</v>
      </c>
      <c r="C2760" s="233" t="s">
        <v>7314</v>
      </c>
      <c r="D2760" s="234">
        <v>45734.80489583333</v>
      </c>
      <c r="E2760" s="237"/>
      <c r="F2760" s="235" t="s">
        <v>862</v>
      </c>
      <c r="G2760" s="236" t="s">
        <v>7315</v>
      </c>
      <c r="H2760" s="233" t="s">
        <v>811</v>
      </c>
      <c r="I2760" s="233" t="s">
        <v>284</v>
      </c>
    </row>
    <row r="2761">
      <c r="A2761" s="229" t="s">
        <v>7316</v>
      </c>
      <c r="B2761" s="229" t="s">
        <v>7317</v>
      </c>
      <c r="C2761" s="229" t="s">
        <v>7318</v>
      </c>
      <c r="D2761" s="230">
        <v>45482.87719907407</v>
      </c>
      <c r="E2761" s="230"/>
      <c r="F2761" s="231" t="s">
        <v>439</v>
      </c>
      <c r="G2761" s="232" t="s">
        <v>439</v>
      </c>
      <c r="H2761" s="229" t="s">
        <v>5339</v>
      </c>
      <c r="I2761" s="229" t="s">
        <v>7319</v>
      </c>
    </row>
    <row r="2762">
      <c r="A2762" s="233" t="s">
        <v>7320</v>
      </c>
      <c r="B2762" s="233" t="s">
        <v>7321</v>
      </c>
      <c r="C2762" s="233" t="s">
        <v>7322</v>
      </c>
      <c r="D2762" s="234">
        <v>45451.46083333333</v>
      </c>
      <c r="E2762" s="234">
        <v>45451.27449074074</v>
      </c>
      <c r="F2762" s="235" t="s">
        <v>7323</v>
      </c>
      <c r="G2762" s="236" t="s">
        <v>7324</v>
      </c>
      <c r="H2762" s="233" t="s">
        <v>259</v>
      </c>
      <c r="I2762" s="233" t="s">
        <v>2314</v>
      </c>
    </row>
    <row r="2763">
      <c r="A2763" s="229" t="s">
        <v>7325</v>
      </c>
      <c r="B2763" s="229" t="s">
        <v>7326</v>
      </c>
      <c r="C2763" s="229" t="s">
        <v>7327</v>
      </c>
      <c r="D2763" s="230">
        <v>45489.87861111111</v>
      </c>
      <c r="E2763" s="230"/>
      <c r="F2763" s="231" t="s">
        <v>317</v>
      </c>
      <c r="G2763" s="232" t="s">
        <v>5511</v>
      </c>
      <c r="H2763" s="229" t="s">
        <v>561</v>
      </c>
      <c r="I2763" s="229" t="s">
        <v>461</v>
      </c>
    </row>
    <row r="2764">
      <c r="A2764" s="229" t="s">
        <v>7325</v>
      </c>
      <c r="B2764" s="229" t="s">
        <v>7326</v>
      </c>
      <c r="C2764" s="229" t="s">
        <v>7327</v>
      </c>
      <c r="D2764" s="230">
        <v>45489.87861111111</v>
      </c>
      <c r="E2764" s="230"/>
      <c r="F2764" s="231" t="s">
        <v>317</v>
      </c>
      <c r="G2764" s="232" t="s">
        <v>5511</v>
      </c>
      <c r="H2764" s="229" t="s">
        <v>561</v>
      </c>
      <c r="I2764" s="229" t="s">
        <v>461</v>
      </c>
    </row>
    <row r="2765">
      <c r="A2765" s="229" t="s">
        <v>7328</v>
      </c>
      <c r="B2765" s="229" t="s">
        <v>7326</v>
      </c>
      <c r="C2765" s="229" t="s">
        <v>7327</v>
      </c>
      <c r="D2765" s="230">
        <v>45473.54115740741</v>
      </c>
      <c r="E2765" s="230"/>
      <c r="F2765" s="231" t="s">
        <v>291</v>
      </c>
      <c r="G2765" s="232" t="s">
        <v>7329</v>
      </c>
      <c r="H2765" s="229" t="s">
        <v>561</v>
      </c>
      <c r="I2765" s="229" t="s">
        <v>461</v>
      </c>
    </row>
    <row r="2766">
      <c r="A2766" s="233" t="s">
        <v>7330</v>
      </c>
      <c r="B2766" s="233" t="s">
        <v>7326</v>
      </c>
      <c r="C2766" s="233" t="s">
        <v>7327</v>
      </c>
      <c r="D2766" s="234">
        <v>45452.81685185185</v>
      </c>
      <c r="E2766" s="234">
        <v>45452.6215625</v>
      </c>
      <c r="F2766" s="235" t="s">
        <v>291</v>
      </c>
      <c r="G2766" s="236" t="s">
        <v>1746</v>
      </c>
      <c r="H2766" s="233" t="s">
        <v>561</v>
      </c>
      <c r="I2766" s="233" t="s">
        <v>461</v>
      </c>
    </row>
    <row r="2767">
      <c r="A2767" s="229" t="s">
        <v>7331</v>
      </c>
      <c r="B2767" s="229" t="s">
        <v>7332</v>
      </c>
      <c r="C2767" s="229" t="s">
        <v>7333</v>
      </c>
      <c r="D2767" s="230">
        <v>45553.61298611111</v>
      </c>
      <c r="E2767" s="243"/>
      <c r="F2767" s="231" t="s">
        <v>580</v>
      </c>
      <c r="G2767" s="232" t="s">
        <v>7334</v>
      </c>
      <c r="H2767" s="229" t="s">
        <v>259</v>
      </c>
      <c r="I2767" s="229" t="s">
        <v>578</v>
      </c>
    </row>
    <row r="2768">
      <c r="A2768" s="229" t="s">
        <v>7335</v>
      </c>
      <c r="B2768" s="229" t="s">
        <v>7336</v>
      </c>
      <c r="C2768" s="229" t="s">
        <v>7337</v>
      </c>
      <c r="D2768" s="230">
        <v>45494.731516203705</v>
      </c>
      <c r="E2768" s="230"/>
      <c r="F2768" s="231" t="s">
        <v>516</v>
      </c>
      <c r="G2768" s="232" t="s">
        <v>7338</v>
      </c>
      <c r="H2768" s="229" t="s">
        <v>259</v>
      </c>
      <c r="I2768" s="229" t="s">
        <v>449</v>
      </c>
    </row>
    <row r="2769">
      <c r="A2769" s="233" t="s">
        <v>7339</v>
      </c>
      <c r="B2769" s="233" t="s">
        <v>7336</v>
      </c>
      <c r="C2769" s="233" t="s">
        <v>7340</v>
      </c>
      <c r="D2769" s="234">
        <v>45459.671377314815</v>
      </c>
      <c r="E2769" s="234">
        <v>45460.43763888889</v>
      </c>
      <c r="F2769" s="235" t="s">
        <v>872</v>
      </c>
      <c r="G2769" s="236" t="s">
        <v>7341</v>
      </c>
      <c r="H2769" s="233" t="s">
        <v>265</v>
      </c>
      <c r="I2769" s="233" t="s">
        <v>449</v>
      </c>
    </row>
    <row r="2770">
      <c r="A2770" s="229" t="s">
        <v>7342</v>
      </c>
      <c r="B2770" s="229" t="s">
        <v>7336</v>
      </c>
      <c r="C2770" s="229" t="s">
        <v>7340</v>
      </c>
      <c r="D2770" s="230">
        <v>45443.727164351854</v>
      </c>
      <c r="E2770" s="230">
        <v>45445.51399305555</v>
      </c>
      <c r="F2770" s="231" t="s">
        <v>542</v>
      </c>
      <c r="G2770" s="232" t="s">
        <v>7343</v>
      </c>
      <c r="H2770" s="229" t="s">
        <v>265</v>
      </c>
      <c r="I2770" s="229" t="s">
        <v>449</v>
      </c>
    </row>
    <row r="2771">
      <c r="A2771" s="229" t="s">
        <v>7344</v>
      </c>
      <c r="B2771" s="229" t="s">
        <v>7336</v>
      </c>
      <c r="C2771" s="229" t="s">
        <v>7345</v>
      </c>
      <c r="D2771" s="230">
        <v>45438.56443287037</v>
      </c>
      <c r="E2771" s="230">
        <v>45438.36818287037</v>
      </c>
      <c r="F2771" s="231" t="s">
        <v>706</v>
      </c>
      <c r="G2771" s="232" t="s">
        <v>7346</v>
      </c>
      <c r="H2771" s="229" t="s">
        <v>561</v>
      </c>
      <c r="I2771" s="229" t="s">
        <v>969</v>
      </c>
    </row>
    <row r="2772">
      <c r="A2772" s="233" t="s">
        <v>7347</v>
      </c>
      <c r="B2772" s="233" t="s">
        <v>7336</v>
      </c>
      <c r="C2772" s="233" t="s">
        <v>7340</v>
      </c>
      <c r="D2772" s="234">
        <v>45438.56282407408</v>
      </c>
      <c r="E2772" s="234">
        <v>45439.49318287037</v>
      </c>
      <c r="F2772" s="235" t="s">
        <v>715</v>
      </c>
      <c r="G2772" s="236" t="s">
        <v>7348</v>
      </c>
      <c r="H2772" s="233" t="s">
        <v>265</v>
      </c>
      <c r="I2772" s="233" t="s">
        <v>449</v>
      </c>
    </row>
    <row r="2773">
      <c r="A2773" s="229" t="s">
        <v>7349</v>
      </c>
      <c r="B2773" s="229" t="s">
        <v>7336</v>
      </c>
      <c r="C2773" s="229" t="s">
        <v>7340</v>
      </c>
      <c r="D2773" s="230">
        <v>45703.66386574074</v>
      </c>
      <c r="E2773" s="230">
        <v>45703.67369212963</v>
      </c>
      <c r="F2773" s="231" t="s">
        <v>291</v>
      </c>
      <c r="G2773" s="232" t="s">
        <v>577</v>
      </c>
      <c r="H2773" s="229" t="s">
        <v>265</v>
      </c>
      <c r="I2773" s="229" t="s">
        <v>449</v>
      </c>
    </row>
    <row r="2774">
      <c r="A2774" s="229" t="s">
        <v>7350</v>
      </c>
      <c r="B2774" s="229" t="s">
        <v>7336</v>
      </c>
      <c r="C2774" s="229" t="s">
        <v>7340</v>
      </c>
      <c r="D2774" s="230">
        <v>45736.882569444446</v>
      </c>
      <c r="E2774" s="230">
        <v>45736.89239583333</v>
      </c>
      <c r="F2774" s="231" t="s">
        <v>297</v>
      </c>
      <c r="G2774" s="232" t="s">
        <v>7351</v>
      </c>
      <c r="H2774" s="229" t="s">
        <v>265</v>
      </c>
      <c r="I2774" s="229" t="s">
        <v>449</v>
      </c>
    </row>
    <row r="2775">
      <c r="A2775" s="229" t="s">
        <v>7352</v>
      </c>
      <c r="B2775" s="229" t="s">
        <v>7353</v>
      </c>
      <c r="C2775" s="229" t="s">
        <v>7354</v>
      </c>
      <c r="D2775" s="230">
        <v>45712.45664351852</v>
      </c>
      <c r="E2775" s="230">
        <v>45712.46542824074</v>
      </c>
      <c r="F2775" s="231" t="s">
        <v>269</v>
      </c>
      <c r="G2775" s="232" t="s">
        <v>7355</v>
      </c>
      <c r="H2775" s="229" t="s">
        <v>259</v>
      </c>
      <c r="I2775" s="229" t="s">
        <v>781</v>
      </c>
    </row>
    <row r="2776">
      <c r="A2776" s="233" t="s">
        <v>7356</v>
      </c>
      <c r="B2776" s="233" t="s">
        <v>7353</v>
      </c>
      <c r="C2776" s="233" t="s">
        <v>7354</v>
      </c>
      <c r="D2776" s="234">
        <v>45747.597407407404</v>
      </c>
      <c r="E2776" s="234">
        <v>45747.60768518518</v>
      </c>
      <c r="F2776" s="235" t="s">
        <v>269</v>
      </c>
      <c r="G2776" s="236" t="s">
        <v>7357</v>
      </c>
      <c r="H2776" s="233" t="s">
        <v>259</v>
      </c>
      <c r="I2776" s="233" t="s">
        <v>781</v>
      </c>
    </row>
    <row r="2777">
      <c r="A2777" s="229" t="s">
        <v>7358</v>
      </c>
      <c r="B2777" s="229" t="s">
        <v>7353</v>
      </c>
      <c r="C2777" s="229" t="s">
        <v>7354</v>
      </c>
      <c r="D2777" s="230">
        <v>45735.57478009259</v>
      </c>
      <c r="E2777" s="230">
        <v>45735.58342592593</v>
      </c>
      <c r="F2777" s="231" t="s">
        <v>269</v>
      </c>
      <c r="G2777" s="232" t="s">
        <v>7359</v>
      </c>
      <c r="H2777" s="229" t="s">
        <v>259</v>
      </c>
      <c r="I2777" s="229" t="s">
        <v>781</v>
      </c>
    </row>
    <row r="2778">
      <c r="A2778" s="229" t="s">
        <v>7360</v>
      </c>
      <c r="B2778" s="229" t="s">
        <v>7353</v>
      </c>
      <c r="C2778" s="229" t="s">
        <v>7354</v>
      </c>
      <c r="D2778" s="230">
        <v>45749.51561342592</v>
      </c>
      <c r="E2778" s="230">
        <v>45749.524409722224</v>
      </c>
      <c r="F2778" s="231" t="s">
        <v>3387</v>
      </c>
      <c r="G2778" s="232" t="s">
        <v>7361</v>
      </c>
      <c r="H2778" s="229" t="s">
        <v>259</v>
      </c>
      <c r="I2778" s="229" t="s">
        <v>781</v>
      </c>
    </row>
    <row r="2779">
      <c r="A2779" s="233" t="s">
        <v>7362</v>
      </c>
      <c r="B2779" s="233" t="s">
        <v>7363</v>
      </c>
      <c r="C2779" s="233" t="s">
        <v>7364</v>
      </c>
      <c r="D2779" s="234">
        <v>45551.82796296296</v>
      </c>
      <c r="E2779" s="234"/>
      <c r="F2779" s="235" t="s">
        <v>435</v>
      </c>
      <c r="G2779" s="236" t="s">
        <v>7365</v>
      </c>
      <c r="H2779" s="233" t="s">
        <v>265</v>
      </c>
      <c r="I2779" s="233" t="s">
        <v>399</v>
      </c>
    </row>
    <row r="2780">
      <c r="A2780" s="233" t="s">
        <v>7366</v>
      </c>
      <c r="B2780" s="233" t="s">
        <v>7363</v>
      </c>
      <c r="C2780" s="233" t="s">
        <v>7367</v>
      </c>
      <c r="D2780" s="234">
        <v>45527.823125</v>
      </c>
      <c r="E2780" s="234"/>
      <c r="F2780" s="235" t="s">
        <v>7368</v>
      </c>
      <c r="G2780" s="236" t="s">
        <v>7369</v>
      </c>
      <c r="H2780" s="233" t="s">
        <v>265</v>
      </c>
      <c r="I2780" s="233" t="s">
        <v>399</v>
      </c>
    </row>
    <row r="2781">
      <c r="A2781" s="229" t="s">
        <v>7370</v>
      </c>
      <c r="B2781" s="229" t="s">
        <v>7363</v>
      </c>
      <c r="C2781" s="229" t="s">
        <v>7371</v>
      </c>
      <c r="D2781" s="230">
        <v>45524.88586805556</v>
      </c>
      <c r="E2781" s="230"/>
      <c r="F2781" s="231" t="s">
        <v>1082</v>
      </c>
      <c r="G2781" s="232" t="s">
        <v>7372</v>
      </c>
      <c r="H2781" s="229" t="s">
        <v>761</v>
      </c>
      <c r="I2781" s="229" t="s">
        <v>399</v>
      </c>
    </row>
    <row r="2782">
      <c r="A2782" s="233" t="s">
        <v>7373</v>
      </c>
      <c r="B2782" s="233" t="s">
        <v>7363</v>
      </c>
      <c r="C2782" s="233" t="s">
        <v>7374</v>
      </c>
      <c r="D2782" s="234">
        <v>45509.83840277778</v>
      </c>
      <c r="E2782" s="234"/>
      <c r="F2782" s="235" t="s">
        <v>2051</v>
      </c>
      <c r="G2782" s="236" t="s">
        <v>7375</v>
      </c>
      <c r="H2782" s="233" t="s">
        <v>561</v>
      </c>
      <c r="I2782" s="233" t="s">
        <v>1080</v>
      </c>
    </row>
    <row r="2783">
      <c r="A2783" s="233" t="s">
        <v>7376</v>
      </c>
      <c r="B2783" s="233" t="s">
        <v>7363</v>
      </c>
      <c r="C2783" s="233" t="s">
        <v>7367</v>
      </c>
      <c r="D2783" s="234">
        <v>45504.807442129626</v>
      </c>
      <c r="E2783" s="234"/>
      <c r="F2783" s="235" t="s">
        <v>281</v>
      </c>
      <c r="G2783" s="236" t="s">
        <v>7377</v>
      </c>
      <c r="H2783" s="233" t="s">
        <v>265</v>
      </c>
      <c r="I2783" s="233" t="s">
        <v>399</v>
      </c>
    </row>
    <row r="2784">
      <c r="A2784" s="233" t="s">
        <v>7378</v>
      </c>
      <c r="B2784" s="233" t="s">
        <v>7363</v>
      </c>
      <c r="C2784" s="233" t="s">
        <v>7367</v>
      </c>
      <c r="D2784" s="234">
        <v>45496.826469907406</v>
      </c>
      <c r="E2784" s="234"/>
      <c r="F2784" s="235" t="s">
        <v>2920</v>
      </c>
      <c r="G2784" s="236" t="s">
        <v>7379</v>
      </c>
      <c r="H2784" s="233" t="s">
        <v>265</v>
      </c>
      <c r="I2784" s="233" t="s">
        <v>399</v>
      </c>
    </row>
    <row r="2785">
      <c r="A2785" s="238" t="s">
        <v>7380</v>
      </c>
      <c r="B2785" s="238" t="s">
        <v>7363</v>
      </c>
      <c r="C2785" s="238" t="s">
        <v>7371</v>
      </c>
      <c r="D2785" s="239">
        <v>45496.825104166666</v>
      </c>
      <c r="E2785" s="239"/>
      <c r="F2785" s="240" t="s">
        <v>7381</v>
      </c>
      <c r="G2785" s="241" t="s">
        <v>7382</v>
      </c>
      <c r="H2785" s="238" t="s">
        <v>761</v>
      </c>
      <c r="I2785" s="238" t="s">
        <v>399</v>
      </c>
    </row>
    <row r="2786">
      <c r="A2786" s="233" t="s">
        <v>7383</v>
      </c>
      <c r="B2786" s="233" t="s">
        <v>7363</v>
      </c>
      <c r="C2786" s="233" t="s">
        <v>7371</v>
      </c>
      <c r="D2786" s="234">
        <v>45464.87519675926</v>
      </c>
      <c r="E2786" s="234"/>
      <c r="F2786" s="235" t="s">
        <v>1142</v>
      </c>
      <c r="G2786" s="236" t="s">
        <v>7384</v>
      </c>
      <c r="H2786" s="233" t="s">
        <v>761</v>
      </c>
      <c r="I2786" s="233" t="s">
        <v>399</v>
      </c>
    </row>
    <row r="2787">
      <c r="A2787" s="229" t="s">
        <v>7385</v>
      </c>
      <c r="B2787" s="229" t="s">
        <v>7363</v>
      </c>
      <c r="C2787" s="229" t="s">
        <v>7371</v>
      </c>
      <c r="D2787" s="230">
        <v>45431.87398148148</v>
      </c>
      <c r="E2787" s="230">
        <v>45431.67711805556</v>
      </c>
      <c r="F2787" s="231" t="s">
        <v>2893</v>
      </c>
      <c r="G2787" s="232" t="s">
        <v>7386</v>
      </c>
      <c r="H2787" s="229" t="s">
        <v>761</v>
      </c>
      <c r="I2787" s="229" t="s">
        <v>399</v>
      </c>
    </row>
    <row r="2788">
      <c r="A2788" s="233" t="s">
        <v>7387</v>
      </c>
      <c r="B2788" s="233" t="s">
        <v>7363</v>
      </c>
      <c r="C2788" s="233" t="s">
        <v>7364</v>
      </c>
      <c r="D2788" s="234">
        <v>45431.872037037036</v>
      </c>
      <c r="E2788" s="234">
        <v>45432.34741898148</v>
      </c>
      <c r="F2788" s="235" t="s">
        <v>7388</v>
      </c>
      <c r="G2788" s="236" t="s">
        <v>7389</v>
      </c>
      <c r="H2788" s="233" t="s">
        <v>265</v>
      </c>
      <c r="I2788" s="233" t="s">
        <v>399</v>
      </c>
    </row>
    <row r="2789">
      <c r="A2789" s="229" t="s">
        <v>7390</v>
      </c>
      <c r="B2789" s="229" t="s">
        <v>7363</v>
      </c>
      <c r="C2789" s="229" t="s">
        <v>7364</v>
      </c>
      <c r="D2789" s="230">
        <v>45706.72342592593</v>
      </c>
      <c r="E2789" s="230">
        <v>45708.48962962963</v>
      </c>
      <c r="F2789" s="231" t="s">
        <v>651</v>
      </c>
      <c r="G2789" s="232" t="s">
        <v>7391</v>
      </c>
      <c r="H2789" s="229" t="s">
        <v>259</v>
      </c>
      <c r="I2789" s="229" t="s">
        <v>399</v>
      </c>
    </row>
    <row r="2790">
      <c r="A2790" s="233" t="s">
        <v>7392</v>
      </c>
      <c r="B2790" s="233" t="s">
        <v>7363</v>
      </c>
      <c r="C2790" s="233" t="s">
        <v>7364</v>
      </c>
      <c r="D2790" s="234">
        <v>45706.713912037034</v>
      </c>
      <c r="E2790" s="237"/>
      <c r="F2790" s="235" t="s">
        <v>391</v>
      </c>
      <c r="G2790" s="236" t="s">
        <v>877</v>
      </c>
      <c r="H2790" s="233" t="s">
        <v>259</v>
      </c>
      <c r="I2790" s="233" t="s">
        <v>399</v>
      </c>
    </row>
    <row r="2791">
      <c r="A2791" s="233" t="s">
        <v>7393</v>
      </c>
      <c r="B2791" s="233" t="s">
        <v>7363</v>
      </c>
      <c r="C2791" s="233" t="s">
        <v>7364</v>
      </c>
      <c r="D2791" s="234">
        <v>45705.89436342593</v>
      </c>
      <c r="E2791" s="237"/>
      <c r="F2791" s="235" t="s">
        <v>651</v>
      </c>
      <c r="G2791" s="236" t="s">
        <v>7394</v>
      </c>
      <c r="H2791" s="233" t="s">
        <v>265</v>
      </c>
      <c r="I2791" s="233" t="s">
        <v>399</v>
      </c>
    </row>
    <row r="2792">
      <c r="A2792" s="229" t="s">
        <v>7395</v>
      </c>
      <c r="B2792" s="229" t="s">
        <v>7363</v>
      </c>
      <c r="C2792" s="229" t="s">
        <v>7364</v>
      </c>
      <c r="D2792" s="230">
        <v>45737.870520833334</v>
      </c>
      <c r="E2792" s="230">
        <v>45738.58693287037</v>
      </c>
      <c r="F2792" s="231" t="s">
        <v>7396</v>
      </c>
      <c r="G2792" s="232" t="s">
        <v>7397</v>
      </c>
      <c r="H2792" s="229" t="s">
        <v>265</v>
      </c>
      <c r="I2792" s="229" t="s">
        <v>399</v>
      </c>
    </row>
    <row r="2793">
      <c r="A2793" s="229" t="s">
        <v>7398</v>
      </c>
      <c r="B2793" s="229" t="s">
        <v>7363</v>
      </c>
      <c r="C2793" s="229" t="s">
        <v>7399</v>
      </c>
      <c r="D2793" s="230">
        <v>45735.89065972222</v>
      </c>
      <c r="E2793" s="230">
        <v>45735.90282407407</v>
      </c>
      <c r="F2793" s="231" t="s">
        <v>4266</v>
      </c>
      <c r="G2793" s="232" t="s">
        <v>7400</v>
      </c>
      <c r="H2793" s="229" t="s">
        <v>561</v>
      </c>
      <c r="I2793" s="229" t="s">
        <v>567</v>
      </c>
    </row>
    <row r="2794">
      <c r="A2794" s="233" t="s">
        <v>7401</v>
      </c>
      <c r="B2794" s="233" t="s">
        <v>7363</v>
      </c>
      <c r="C2794" s="233" t="s">
        <v>7364</v>
      </c>
      <c r="D2794" s="234">
        <v>45735.88664351852</v>
      </c>
      <c r="E2794" s="234">
        <v>45736.75351851852</v>
      </c>
      <c r="F2794" s="235" t="s">
        <v>291</v>
      </c>
      <c r="G2794" s="236" t="s">
        <v>3912</v>
      </c>
      <c r="H2794" s="233" t="s">
        <v>265</v>
      </c>
      <c r="I2794" s="233" t="s">
        <v>399</v>
      </c>
    </row>
    <row r="2795">
      <c r="A2795" s="233" t="s">
        <v>7402</v>
      </c>
      <c r="B2795" s="233" t="s">
        <v>7403</v>
      </c>
      <c r="C2795" s="233" t="s">
        <v>7404</v>
      </c>
      <c r="D2795" s="234">
        <v>45746.52</v>
      </c>
      <c r="E2795" s="234">
        <v>45746.53832175926</v>
      </c>
      <c r="F2795" s="235" t="s">
        <v>281</v>
      </c>
      <c r="G2795" s="236" t="s">
        <v>7405</v>
      </c>
      <c r="H2795" s="233" t="s">
        <v>259</v>
      </c>
      <c r="I2795" s="233" t="s">
        <v>461</v>
      </c>
    </row>
    <row r="2796">
      <c r="A2796" s="233" t="s">
        <v>7406</v>
      </c>
      <c r="B2796" s="233" t="s">
        <v>7407</v>
      </c>
      <c r="C2796" s="233" t="s">
        <v>7408</v>
      </c>
      <c r="D2796" s="234">
        <v>45714.75601851852</v>
      </c>
      <c r="E2796" s="234">
        <v>45714.767384259256</v>
      </c>
      <c r="F2796" s="235" t="s">
        <v>1199</v>
      </c>
      <c r="G2796" s="236" t="s">
        <v>7409</v>
      </c>
      <c r="H2796" s="233" t="s">
        <v>265</v>
      </c>
      <c r="I2796" s="233" t="s">
        <v>6398</v>
      </c>
    </row>
    <row r="2797">
      <c r="A2797" s="233" t="s">
        <v>7410</v>
      </c>
      <c r="B2797" s="233" t="s">
        <v>7407</v>
      </c>
      <c r="C2797" s="233" t="s">
        <v>7408</v>
      </c>
      <c r="D2797" s="234">
        <v>45735.76369212963</v>
      </c>
      <c r="E2797" s="234">
        <v>45735.77434027778</v>
      </c>
      <c r="F2797" s="235" t="s">
        <v>1199</v>
      </c>
      <c r="G2797" s="236" t="s">
        <v>7411</v>
      </c>
      <c r="H2797" s="233" t="s">
        <v>265</v>
      </c>
      <c r="I2797" s="233" t="s">
        <v>6398</v>
      </c>
    </row>
    <row r="2798">
      <c r="A2798" s="229" t="s">
        <v>7412</v>
      </c>
      <c r="B2798" s="229" t="s">
        <v>7407</v>
      </c>
      <c r="C2798" s="229" t="s">
        <v>7408</v>
      </c>
      <c r="D2798" s="230">
        <v>45774.5577662037</v>
      </c>
      <c r="E2798" s="230">
        <v>45774.56951388889</v>
      </c>
      <c r="F2798" s="231" t="s">
        <v>1199</v>
      </c>
      <c r="G2798" s="232" t="s">
        <v>303</v>
      </c>
      <c r="H2798" s="229" t="s">
        <v>265</v>
      </c>
      <c r="I2798" s="229" t="s">
        <v>6398</v>
      </c>
    </row>
    <row r="2799">
      <c r="A2799" s="229" t="s">
        <v>7413</v>
      </c>
      <c r="B2799" s="229" t="s">
        <v>7414</v>
      </c>
      <c r="C2799" s="229" t="s">
        <v>7415</v>
      </c>
      <c r="D2799" s="230">
        <v>45552.486712962964</v>
      </c>
      <c r="E2799" s="230"/>
      <c r="F2799" s="231" t="s">
        <v>2990</v>
      </c>
      <c r="G2799" s="232" t="s">
        <v>7416</v>
      </c>
      <c r="H2799" s="229" t="s">
        <v>346</v>
      </c>
      <c r="I2799" s="229" t="s">
        <v>6655</v>
      </c>
    </row>
    <row r="2800">
      <c r="A2800" s="233" t="s">
        <v>7417</v>
      </c>
      <c r="B2800" s="233" t="s">
        <v>7414</v>
      </c>
      <c r="C2800" s="233" t="s">
        <v>7418</v>
      </c>
      <c r="D2800" s="234">
        <v>45541.62635416666</v>
      </c>
      <c r="E2800" s="234"/>
      <c r="F2800" s="235" t="s">
        <v>509</v>
      </c>
      <c r="G2800" s="236" t="s">
        <v>7419</v>
      </c>
      <c r="H2800" s="233" t="s">
        <v>346</v>
      </c>
      <c r="I2800" s="233" t="s">
        <v>1932</v>
      </c>
    </row>
    <row r="2801">
      <c r="A2801" s="233" t="s">
        <v>7420</v>
      </c>
      <c r="B2801" s="233" t="s">
        <v>7414</v>
      </c>
      <c r="C2801" s="233" t="s">
        <v>7421</v>
      </c>
      <c r="D2801" s="234">
        <v>45762.578055555554</v>
      </c>
      <c r="E2801" s="234">
        <v>45763.60775462963</v>
      </c>
      <c r="F2801" s="235" t="s">
        <v>909</v>
      </c>
      <c r="G2801" s="236" t="s">
        <v>7422</v>
      </c>
      <c r="H2801" s="233" t="s">
        <v>377</v>
      </c>
      <c r="I2801" s="233" t="s">
        <v>389</v>
      </c>
    </row>
    <row r="2802">
      <c r="A2802" s="233" t="s">
        <v>7423</v>
      </c>
      <c r="B2802" s="233" t="s">
        <v>7424</v>
      </c>
      <c r="C2802" s="233" t="s">
        <v>7425</v>
      </c>
      <c r="D2802" s="234">
        <v>45491.62972222222</v>
      </c>
      <c r="E2802" s="234"/>
      <c r="F2802" s="235" t="s">
        <v>503</v>
      </c>
      <c r="G2802" s="236" t="s">
        <v>503</v>
      </c>
      <c r="H2802" s="233" t="s">
        <v>7426</v>
      </c>
      <c r="I2802" s="233" t="s">
        <v>2716</v>
      </c>
    </row>
    <row r="2803">
      <c r="A2803" s="233" t="s">
        <v>7423</v>
      </c>
      <c r="B2803" s="233" t="s">
        <v>7424</v>
      </c>
      <c r="C2803" s="233" t="s">
        <v>7425</v>
      </c>
      <c r="D2803" s="234">
        <v>45491.62972222222</v>
      </c>
      <c r="E2803" s="234"/>
      <c r="F2803" s="235" t="s">
        <v>503</v>
      </c>
      <c r="G2803" s="236" t="s">
        <v>503</v>
      </c>
      <c r="H2803" s="233" t="s">
        <v>7426</v>
      </c>
      <c r="I2803" s="233" t="s">
        <v>2716</v>
      </c>
    </row>
    <row r="2804">
      <c r="A2804" s="233" t="s">
        <v>7427</v>
      </c>
      <c r="B2804" s="233" t="s">
        <v>7428</v>
      </c>
      <c r="C2804" s="233" t="s">
        <v>7429</v>
      </c>
      <c r="D2804" s="234">
        <v>45432.91300925926</v>
      </c>
      <c r="E2804" s="234"/>
      <c r="F2804" s="235" t="s">
        <v>651</v>
      </c>
      <c r="G2804" s="236" t="s">
        <v>7430</v>
      </c>
      <c r="H2804" s="233" t="s">
        <v>356</v>
      </c>
      <c r="I2804" s="233" t="s">
        <v>1928</v>
      </c>
    </row>
    <row r="2805">
      <c r="A2805" s="229" t="s">
        <v>7431</v>
      </c>
      <c r="B2805" s="229" t="s">
        <v>7432</v>
      </c>
      <c r="C2805" s="229" t="s">
        <v>7433</v>
      </c>
      <c r="D2805" s="230">
        <v>45550.51288194444</v>
      </c>
      <c r="E2805" s="230"/>
      <c r="F2805" s="231" t="s">
        <v>431</v>
      </c>
      <c r="G2805" s="232" t="s">
        <v>7434</v>
      </c>
      <c r="H2805" s="229" t="s">
        <v>259</v>
      </c>
      <c r="I2805" s="229" t="s">
        <v>313</v>
      </c>
    </row>
    <row r="2806">
      <c r="A2806" s="229" t="s">
        <v>7435</v>
      </c>
      <c r="B2806" s="229" t="s">
        <v>7436</v>
      </c>
      <c r="C2806" s="229" t="s">
        <v>4819</v>
      </c>
      <c r="D2806" s="230">
        <v>45702.80630787037</v>
      </c>
      <c r="E2806" s="230">
        <v>45703.524502314816</v>
      </c>
      <c r="F2806" s="231" t="s">
        <v>250</v>
      </c>
      <c r="G2806" s="232" t="s">
        <v>455</v>
      </c>
      <c r="H2806" s="229" t="s">
        <v>265</v>
      </c>
      <c r="I2806" s="229" t="s">
        <v>1080</v>
      </c>
    </row>
    <row r="2807">
      <c r="A2807" s="233" t="s">
        <v>7437</v>
      </c>
      <c r="B2807" s="233" t="s">
        <v>7436</v>
      </c>
      <c r="C2807" s="233" t="s">
        <v>7438</v>
      </c>
      <c r="D2807" s="234">
        <v>45746.79278935185</v>
      </c>
      <c r="E2807" s="234">
        <v>45748.57304398148</v>
      </c>
      <c r="F2807" s="235" t="s">
        <v>291</v>
      </c>
      <c r="G2807" s="236" t="s">
        <v>577</v>
      </c>
      <c r="H2807" s="233" t="s">
        <v>265</v>
      </c>
      <c r="I2807" s="233" t="s">
        <v>1080</v>
      </c>
    </row>
    <row r="2808">
      <c r="A2808" s="233" t="s">
        <v>7439</v>
      </c>
      <c r="B2808" s="233" t="s">
        <v>7436</v>
      </c>
      <c r="C2808" s="233" t="s">
        <v>7440</v>
      </c>
      <c r="D2808" s="234">
        <v>45761.85414351852</v>
      </c>
      <c r="E2808" s="234">
        <v>45761.89934027778</v>
      </c>
      <c r="F2808" s="235" t="s">
        <v>269</v>
      </c>
      <c r="G2808" s="236" t="s">
        <v>2207</v>
      </c>
      <c r="H2808" s="233" t="s">
        <v>259</v>
      </c>
      <c r="I2808" s="233" t="s">
        <v>7441</v>
      </c>
    </row>
    <row r="2809">
      <c r="A2809" s="229" t="s">
        <v>7442</v>
      </c>
      <c r="B2809" s="229" t="s">
        <v>7436</v>
      </c>
      <c r="C2809" s="229" t="s">
        <v>7443</v>
      </c>
      <c r="D2809" s="230">
        <v>45761.853368055556</v>
      </c>
      <c r="E2809" s="230">
        <v>45761.93056712963</v>
      </c>
      <c r="F2809" s="231" t="s">
        <v>498</v>
      </c>
      <c r="G2809" s="232" t="s">
        <v>1692</v>
      </c>
      <c r="H2809" s="229" t="s">
        <v>259</v>
      </c>
      <c r="I2809" s="229" t="s">
        <v>1080</v>
      </c>
    </row>
    <row r="2810">
      <c r="A2810" s="229" t="s">
        <v>7444</v>
      </c>
      <c r="B2810" s="229" t="s">
        <v>7445</v>
      </c>
      <c r="C2810" s="229" t="s">
        <v>7446</v>
      </c>
      <c r="D2810" s="230">
        <v>45528.68780092592</v>
      </c>
      <c r="E2810" s="230"/>
      <c r="F2810" s="231" t="s">
        <v>988</v>
      </c>
      <c r="G2810" s="232" t="s">
        <v>7447</v>
      </c>
      <c r="H2810" s="229" t="s">
        <v>265</v>
      </c>
      <c r="I2810" s="229" t="s">
        <v>1080</v>
      </c>
    </row>
    <row r="2811">
      <c r="A2811" s="229" t="s">
        <v>7448</v>
      </c>
      <c r="B2811" s="229" t="s">
        <v>7445</v>
      </c>
      <c r="C2811" s="229" t="s">
        <v>7446</v>
      </c>
      <c r="D2811" s="230">
        <v>45473.66538194445</v>
      </c>
      <c r="E2811" s="230"/>
      <c r="F2811" s="231" t="s">
        <v>498</v>
      </c>
      <c r="G2811" s="232" t="s">
        <v>7449</v>
      </c>
      <c r="H2811" s="229" t="s">
        <v>265</v>
      </c>
      <c r="I2811" s="229" t="s">
        <v>1080</v>
      </c>
    </row>
    <row r="2812">
      <c r="A2812" s="229" t="s">
        <v>7450</v>
      </c>
      <c r="B2812" s="229" t="s">
        <v>7445</v>
      </c>
      <c r="C2812" s="229" t="s">
        <v>7446</v>
      </c>
      <c r="D2812" s="230">
        <v>45703.496875</v>
      </c>
      <c r="E2812" s="230">
        <v>45703.507106481484</v>
      </c>
      <c r="F2812" s="231" t="s">
        <v>722</v>
      </c>
      <c r="G2812" s="232" t="s">
        <v>3287</v>
      </c>
      <c r="H2812" s="229" t="s">
        <v>265</v>
      </c>
      <c r="I2812" s="229" t="s">
        <v>1080</v>
      </c>
    </row>
    <row r="2813">
      <c r="A2813" s="233" t="s">
        <v>7451</v>
      </c>
      <c r="B2813" s="233" t="s">
        <v>7445</v>
      </c>
      <c r="C2813" s="233" t="s">
        <v>7446</v>
      </c>
      <c r="D2813" s="234">
        <v>45745.44462962963</v>
      </c>
      <c r="E2813" s="234">
        <v>45745.45490740741</v>
      </c>
      <c r="F2813" s="235" t="s">
        <v>465</v>
      </c>
      <c r="G2813" s="236" t="s">
        <v>7452</v>
      </c>
      <c r="H2813" s="233" t="s">
        <v>265</v>
      </c>
      <c r="I2813" s="233" t="s">
        <v>1080</v>
      </c>
    </row>
    <row r="2814">
      <c r="A2814" s="229" t="s">
        <v>7453</v>
      </c>
      <c r="B2814" s="229" t="s">
        <v>7445</v>
      </c>
      <c r="C2814" s="229" t="s">
        <v>7446</v>
      </c>
      <c r="D2814" s="230">
        <v>45748.693564814814</v>
      </c>
      <c r="E2814" s="230">
        <v>45748.70150462963</v>
      </c>
      <c r="F2814" s="231" t="s">
        <v>442</v>
      </c>
      <c r="G2814" s="232" t="s">
        <v>5396</v>
      </c>
      <c r="H2814" s="229" t="s">
        <v>265</v>
      </c>
      <c r="I2814" s="229" t="s">
        <v>1080</v>
      </c>
    </row>
    <row r="2815">
      <c r="A2815" s="229" t="s">
        <v>7454</v>
      </c>
      <c r="B2815" s="229" t="s">
        <v>7455</v>
      </c>
      <c r="C2815" s="229" t="s">
        <v>7456</v>
      </c>
      <c r="D2815" s="230">
        <v>45550.639502314814</v>
      </c>
      <c r="E2815" s="230"/>
      <c r="F2815" s="231" t="s">
        <v>658</v>
      </c>
      <c r="G2815" s="232" t="s">
        <v>7457</v>
      </c>
      <c r="H2815" s="229" t="s">
        <v>259</v>
      </c>
      <c r="I2815" s="229" t="s">
        <v>620</v>
      </c>
    </row>
    <row r="2816">
      <c r="A2816" s="233" t="s">
        <v>7458</v>
      </c>
      <c r="B2816" s="233" t="s">
        <v>7455</v>
      </c>
      <c r="C2816" s="233" t="s">
        <v>7456</v>
      </c>
      <c r="D2816" s="234">
        <v>45535.8765162037</v>
      </c>
      <c r="E2816" s="234"/>
      <c r="F2816" s="235" t="s">
        <v>658</v>
      </c>
      <c r="G2816" s="236" t="s">
        <v>7459</v>
      </c>
      <c r="H2816" s="233" t="s">
        <v>259</v>
      </c>
      <c r="I2816" s="233" t="s">
        <v>620</v>
      </c>
    </row>
    <row r="2817">
      <c r="A2817" s="229" t="s">
        <v>7460</v>
      </c>
      <c r="B2817" s="229" t="s">
        <v>7455</v>
      </c>
      <c r="C2817" s="229" t="s">
        <v>7461</v>
      </c>
      <c r="D2817" s="230">
        <v>45529.57292824074</v>
      </c>
      <c r="E2817" s="230"/>
      <c r="F2817" s="231" t="s">
        <v>380</v>
      </c>
      <c r="G2817" s="232" t="s">
        <v>2393</v>
      </c>
      <c r="H2817" s="229" t="s">
        <v>561</v>
      </c>
      <c r="I2817" s="229" t="s">
        <v>461</v>
      </c>
    </row>
    <row r="2818">
      <c r="A2818" s="233" t="s">
        <v>7462</v>
      </c>
      <c r="B2818" s="233" t="s">
        <v>7455</v>
      </c>
      <c r="C2818" s="233" t="s">
        <v>7463</v>
      </c>
      <c r="D2818" s="234">
        <v>45529.57224537037</v>
      </c>
      <c r="E2818" s="234"/>
      <c r="F2818" s="235" t="s">
        <v>291</v>
      </c>
      <c r="G2818" s="236" t="s">
        <v>3566</v>
      </c>
      <c r="H2818" s="233" t="s">
        <v>265</v>
      </c>
      <c r="I2818" s="233" t="s">
        <v>640</v>
      </c>
    </row>
    <row r="2819">
      <c r="A2819" s="233" t="s">
        <v>7464</v>
      </c>
      <c r="B2819" s="233" t="s">
        <v>7455</v>
      </c>
      <c r="C2819" s="233" t="s">
        <v>7461</v>
      </c>
      <c r="D2819" s="234">
        <v>45521.71575231481</v>
      </c>
      <c r="E2819" s="234"/>
      <c r="F2819" s="235" t="s">
        <v>380</v>
      </c>
      <c r="G2819" s="236" t="s">
        <v>7465</v>
      </c>
      <c r="H2819" s="233" t="s">
        <v>252</v>
      </c>
      <c r="I2819" s="233" t="s">
        <v>461</v>
      </c>
    </row>
    <row r="2820">
      <c r="A2820" s="229" t="s">
        <v>7466</v>
      </c>
      <c r="B2820" s="229" t="s">
        <v>7455</v>
      </c>
      <c r="C2820" s="229" t="s">
        <v>7463</v>
      </c>
      <c r="D2820" s="230">
        <v>45521.71481481481</v>
      </c>
      <c r="E2820" s="230"/>
      <c r="F2820" s="231" t="s">
        <v>291</v>
      </c>
      <c r="G2820" s="232" t="s">
        <v>2341</v>
      </c>
      <c r="H2820" s="229" t="s">
        <v>265</v>
      </c>
      <c r="I2820" s="229" t="s">
        <v>640</v>
      </c>
    </row>
    <row r="2821">
      <c r="A2821" s="233" t="s">
        <v>7467</v>
      </c>
      <c r="B2821" s="233" t="s">
        <v>7455</v>
      </c>
      <c r="C2821" s="233" t="s">
        <v>7461</v>
      </c>
      <c r="D2821" s="234">
        <v>45516.54177083333</v>
      </c>
      <c r="E2821" s="234"/>
      <c r="F2821" s="235" t="s">
        <v>380</v>
      </c>
      <c r="G2821" s="236" t="s">
        <v>7468</v>
      </c>
      <c r="H2821" s="233" t="s">
        <v>252</v>
      </c>
      <c r="I2821" s="233" t="s">
        <v>461</v>
      </c>
    </row>
    <row r="2822">
      <c r="A2822" s="229" t="s">
        <v>7469</v>
      </c>
      <c r="B2822" s="229" t="s">
        <v>7455</v>
      </c>
      <c r="C2822" s="229" t="s">
        <v>7463</v>
      </c>
      <c r="D2822" s="230">
        <v>45516.540983796294</v>
      </c>
      <c r="E2822" s="230"/>
      <c r="F2822" s="231" t="s">
        <v>291</v>
      </c>
      <c r="G2822" s="232" t="s">
        <v>7470</v>
      </c>
      <c r="H2822" s="229" t="s">
        <v>265</v>
      </c>
      <c r="I2822" s="229" t="s">
        <v>640</v>
      </c>
    </row>
    <row r="2823">
      <c r="A2823" s="229" t="s">
        <v>7471</v>
      </c>
      <c r="B2823" s="229" t="s">
        <v>7455</v>
      </c>
      <c r="C2823" s="229" t="s">
        <v>7461</v>
      </c>
      <c r="D2823" s="230">
        <v>45508.565717592595</v>
      </c>
      <c r="E2823" s="230"/>
      <c r="F2823" s="231" t="s">
        <v>503</v>
      </c>
      <c r="G2823" s="232" t="s">
        <v>7472</v>
      </c>
      <c r="H2823" s="229" t="s">
        <v>252</v>
      </c>
      <c r="I2823" s="229" t="s">
        <v>461</v>
      </c>
    </row>
    <row r="2824">
      <c r="A2824" s="233" t="s">
        <v>7473</v>
      </c>
      <c r="B2824" s="233" t="s">
        <v>7455</v>
      </c>
      <c r="C2824" s="233" t="s">
        <v>7463</v>
      </c>
      <c r="D2824" s="234">
        <v>45508.56460648148</v>
      </c>
      <c r="E2824" s="234"/>
      <c r="F2824" s="235" t="s">
        <v>291</v>
      </c>
      <c r="G2824" s="236" t="s">
        <v>7474</v>
      </c>
      <c r="H2824" s="233" t="s">
        <v>265</v>
      </c>
      <c r="I2824" s="233" t="s">
        <v>640</v>
      </c>
    </row>
    <row r="2825">
      <c r="A2825" s="229" t="s">
        <v>7475</v>
      </c>
      <c r="B2825" s="229" t="s">
        <v>7455</v>
      </c>
      <c r="C2825" s="229" t="s">
        <v>7456</v>
      </c>
      <c r="D2825" s="230">
        <v>45502.59038194444</v>
      </c>
      <c r="E2825" s="230"/>
      <c r="F2825" s="231" t="s">
        <v>1487</v>
      </c>
      <c r="G2825" s="232" t="s">
        <v>7476</v>
      </c>
      <c r="H2825" s="229" t="s">
        <v>259</v>
      </c>
      <c r="I2825" s="229" t="s">
        <v>620</v>
      </c>
    </row>
    <row r="2826">
      <c r="A2826" s="229" t="s">
        <v>7477</v>
      </c>
      <c r="B2826" s="229" t="s">
        <v>7455</v>
      </c>
      <c r="C2826" s="229" t="s">
        <v>7463</v>
      </c>
      <c r="D2826" s="230">
        <v>45501.820972222224</v>
      </c>
      <c r="E2826" s="230"/>
      <c r="F2826" s="231" t="s">
        <v>291</v>
      </c>
      <c r="G2826" s="232" t="s">
        <v>7478</v>
      </c>
      <c r="H2826" s="229" t="s">
        <v>265</v>
      </c>
      <c r="I2826" s="229" t="s">
        <v>640</v>
      </c>
    </row>
    <row r="2827">
      <c r="A2827" s="233" t="s">
        <v>7479</v>
      </c>
      <c r="B2827" s="233" t="s">
        <v>7455</v>
      </c>
      <c r="C2827" s="233" t="s">
        <v>7456</v>
      </c>
      <c r="D2827" s="234">
        <v>45501.819560185184</v>
      </c>
      <c r="E2827" s="242"/>
      <c r="F2827" s="235" t="s">
        <v>1487</v>
      </c>
      <c r="G2827" s="236" t="s">
        <v>7480</v>
      </c>
      <c r="H2827" s="233" t="s">
        <v>561</v>
      </c>
      <c r="I2827" s="233" t="s">
        <v>620</v>
      </c>
    </row>
    <row r="2828">
      <c r="A2828" s="233" t="s">
        <v>7481</v>
      </c>
      <c r="B2828" s="233" t="s">
        <v>7455</v>
      </c>
      <c r="C2828" s="233" t="s">
        <v>7456</v>
      </c>
      <c r="D2828" s="234">
        <v>45495.64329861111</v>
      </c>
      <c r="E2828" s="234"/>
      <c r="F2828" s="235" t="s">
        <v>380</v>
      </c>
      <c r="G2828" s="236" t="s">
        <v>3551</v>
      </c>
      <c r="H2828" s="233" t="s">
        <v>561</v>
      </c>
      <c r="I2828" s="233" t="s">
        <v>620</v>
      </c>
    </row>
    <row r="2829">
      <c r="A2829" s="238" t="s">
        <v>7482</v>
      </c>
      <c r="B2829" s="238" t="s">
        <v>7455</v>
      </c>
      <c r="C2829" s="238" t="s">
        <v>7456</v>
      </c>
      <c r="D2829" s="239">
        <v>45452.55846064815</v>
      </c>
      <c r="E2829" s="239">
        <v>45452.486180555556</v>
      </c>
      <c r="F2829" s="240" t="s">
        <v>503</v>
      </c>
      <c r="G2829" s="241" t="s">
        <v>3990</v>
      </c>
      <c r="H2829" s="238" t="s">
        <v>259</v>
      </c>
      <c r="I2829" s="238" t="s">
        <v>620</v>
      </c>
    </row>
    <row r="2830">
      <c r="A2830" s="233" t="s">
        <v>7483</v>
      </c>
      <c r="B2830" s="233" t="s">
        <v>7455</v>
      </c>
      <c r="C2830" s="233" t="s">
        <v>7461</v>
      </c>
      <c r="D2830" s="234">
        <v>45452.55769675926</v>
      </c>
      <c r="E2830" s="234">
        <v>45452.361655092594</v>
      </c>
      <c r="F2830" s="235" t="s">
        <v>503</v>
      </c>
      <c r="G2830" s="236" t="s">
        <v>3990</v>
      </c>
      <c r="H2830" s="233" t="s">
        <v>561</v>
      </c>
      <c r="I2830" s="233" t="s">
        <v>461</v>
      </c>
    </row>
    <row r="2831">
      <c r="A2831" s="229" t="s">
        <v>7484</v>
      </c>
      <c r="B2831" s="229" t="s">
        <v>7455</v>
      </c>
      <c r="C2831" s="229" t="s">
        <v>7463</v>
      </c>
      <c r="D2831" s="230">
        <v>45452.556805555556</v>
      </c>
      <c r="E2831" s="230">
        <v>45452.3578125</v>
      </c>
      <c r="F2831" s="231" t="s">
        <v>291</v>
      </c>
      <c r="G2831" s="232" t="s">
        <v>1040</v>
      </c>
      <c r="H2831" s="229" t="s">
        <v>265</v>
      </c>
      <c r="I2831" s="229" t="s">
        <v>640</v>
      </c>
    </row>
    <row r="2832">
      <c r="A2832" s="229" t="s">
        <v>7485</v>
      </c>
      <c r="B2832" s="229" t="s">
        <v>7455</v>
      </c>
      <c r="C2832" s="229" t="s">
        <v>7486</v>
      </c>
      <c r="D2832" s="230">
        <v>45711.59263888889</v>
      </c>
      <c r="E2832" s="230">
        <v>45711.60773148148</v>
      </c>
      <c r="F2832" s="231" t="s">
        <v>431</v>
      </c>
      <c r="G2832" s="232" t="s">
        <v>432</v>
      </c>
      <c r="H2832" s="229" t="s">
        <v>561</v>
      </c>
      <c r="I2832" s="229" t="s">
        <v>620</v>
      </c>
    </row>
    <row r="2833">
      <c r="A2833" s="229" t="s">
        <v>7487</v>
      </c>
      <c r="B2833" s="229" t="s">
        <v>7455</v>
      </c>
      <c r="C2833" s="229" t="s">
        <v>7456</v>
      </c>
      <c r="D2833" s="230">
        <v>45711.5871412037</v>
      </c>
      <c r="E2833" s="230">
        <v>45711.81267361111</v>
      </c>
      <c r="F2833" s="231" t="s">
        <v>715</v>
      </c>
      <c r="G2833" s="232" t="s">
        <v>2511</v>
      </c>
      <c r="H2833" s="229" t="s">
        <v>259</v>
      </c>
      <c r="I2833" s="229" t="s">
        <v>620</v>
      </c>
    </row>
    <row r="2834">
      <c r="A2834" s="229" t="s">
        <v>7488</v>
      </c>
      <c r="B2834" s="229" t="s">
        <v>7455</v>
      </c>
      <c r="C2834" s="229" t="s">
        <v>7461</v>
      </c>
      <c r="D2834" s="230">
        <v>45710.64912037037</v>
      </c>
      <c r="E2834" s="230">
        <v>45710.66675925926</v>
      </c>
      <c r="F2834" s="231" t="s">
        <v>380</v>
      </c>
      <c r="G2834" s="232" t="s">
        <v>1178</v>
      </c>
      <c r="H2834" s="229" t="s">
        <v>252</v>
      </c>
      <c r="I2834" s="229" t="s">
        <v>461</v>
      </c>
    </row>
    <row r="2835">
      <c r="A2835" s="233" t="s">
        <v>7489</v>
      </c>
      <c r="B2835" s="233" t="s">
        <v>7455</v>
      </c>
      <c r="C2835" s="233" t="s">
        <v>7463</v>
      </c>
      <c r="D2835" s="234">
        <v>45710.6483912037</v>
      </c>
      <c r="E2835" s="234">
        <v>45710.65975694444</v>
      </c>
      <c r="F2835" s="235" t="s">
        <v>291</v>
      </c>
      <c r="G2835" s="236" t="s">
        <v>577</v>
      </c>
      <c r="H2835" s="233" t="s">
        <v>265</v>
      </c>
      <c r="I2835" s="233" t="s">
        <v>640</v>
      </c>
    </row>
    <row r="2836">
      <c r="A2836" s="229" t="s">
        <v>7490</v>
      </c>
      <c r="B2836" s="229" t="s">
        <v>7455</v>
      </c>
      <c r="C2836" s="229" t="s">
        <v>7461</v>
      </c>
      <c r="D2836" s="230">
        <v>45746.63396990741</v>
      </c>
      <c r="E2836" s="230">
        <v>45746.656435185185</v>
      </c>
      <c r="F2836" s="231" t="s">
        <v>380</v>
      </c>
      <c r="G2836" s="232" t="s">
        <v>649</v>
      </c>
      <c r="H2836" s="229" t="s">
        <v>252</v>
      </c>
      <c r="I2836" s="229" t="s">
        <v>461</v>
      </c>
    </row>
    <row r="2837">
      <c r="A2837" s="233" t="s">
        <v>7491</v>
      </c>
      <c r="B2837" s="233" t="s">
        <v>7455</v>
      </c>
      <c r="C2837" s="233" t="s">
        <v>7456</v>
      </c>
      <c r="D2837" s="234">
        <v>45746.6334375</v>
      </c>
      <c r="E2837" s="234">
        <v>45747.65644675926</v>
      </c>
      <c r="F2837" s="235" t="s">
        <v>503</v>
      </c>
      <c r="G2837" s="236" t="s">
        <v>7492</v>
      </c>
      <c r="H2837" s="233" t="s">
        <v>259</v>
      </c>
      <c r="I2837" s="233" t="s">
        <v>620</v>
      </c>
    </row>
    <row r="2838">
      <c r="A2838" s="229" t="s">
        <v>7493</v>
      </c>
      <c r="B2838" s="229" t="s">
        <v>7455</v>
      </c>
      <c r="C2838" s="229" t="s">
        <v>7463</v>
      </c>
      <c r="D2838" s="230">
        <v>45746.632731481484</v>
      </c>
      <c r="E2838" s="230">
        <v>45746.642476851855</v>
      </c>
      <c r="F2838" s="231" t="s">
        <v>317</v>
      </c>
      <c r="G2838" s="232" t="s">
        <v>7494</v>
      </c>
      <c r="H2838" s="229" t="s">
        <v>265</v>
      </c>
      <c r="I2838" s="229" t="s">
        <v>640</v>
      </c>
    </row>
    <row r="2839">
      <c r="A2839" s="229" t="s">
        <v>7495</v>
      </c>
      <c r="B2839" s="229" t="s">
        <v>7455</v>
      </c>
      <c r="C2839" s="229" t="s">
        <v>7456</v>
      </c>
      <c r="D2839" s="230">
        <v>45774.587847222225</v>
      </c>
      <c r="E2839" s="230">
        <v>45775.4897337963</v>
      </c>
      <c r="F2839" s="231" t="s">
        <v>715</v>
      </c>
      <c r="G2839" s="232" t="s">
        <v>7496</v>
      </c>
      <c r="H2839" s="229" t="s">
        <v>259</v>
      </c>
      <c r="I2839" s="229" t="s">
        <v>620</v>
      </c>
    </row>
    <row r="2840">
      <c r="A2840" s="233" t="s">
        <v>7497</v>
      </c>
      <c r="B2840" s="233" t="s">
        <v>7455</v>
      </c>
      <c r="C2840" s="233" t="s">
        <v>7461</v>
      </c>
      <c r="D2840" s="234">
        <v>45774.587164351855</v>
      </c>
      <c r="E2840" s="234">
        <v>45774.59741898148</v>
      </c>
      <c r="F2840" s="235" t="s">
        <v>380</v>
      </c>
      <c r="G2840" s="236" t="s">
        <v>2390</v>
      </c>
      <c r="H2840" s="233" t="s">
        <v>561</v>
      </c>
      <c r="I2840" s="233" t="s">
        <v>461</v>
      </c>
    </row>
    <row r="2841">
      <c r="A2841" s="229" t="s">
        <v>7498</v>
      </c>
      <c r="B2841" s="229" t="s">
        <v>7455</v>
      </c>
      <c r="C2841" s="229" t="s">
        <v>7463</v>
      </c>
      <c r="D2841" s="230">
        <v>45774.586643518516</v>
      </c>
      <c r="E2841" s="230">
        <v>45774.59736111111</v>
      </c>
      <c r="F2841" s="231" t="s">
        <v>291</v>
      </c>
      <c r="G2841" s="232" t="s">
        <v>3960</v>
      </c>
      <c r="H2841" s="229" t="s">
        <v>265</v>
      </c>
      <c r="I2841" s="229" t="s">
        <v>640</v>
      </c>
    </row>
    <row r="2842">
      <c r="A2842" s="229" t="s">
        <v>7499</v>
      </c>
      <c r="B2842" s="229" t="s">
        <v>7455</v>
      </c>
      <c r="C2842" s="229" t="s">
        <v>7461</v>
      </c>
      <c r="D2842" s="230">
        <v>45761.55746527778</v>
      </c>
      <c r="E2842" s="230">
        <v>45761.57649305555</v>
      </c>
      <c r="F2842" s="231" t="s">
        <v>380</v>
      </c>
      <c r="G2842" s="232" t="s">
        <v>2879</v>
      </c>
      <c r="H2842" s="229" t="s">
        <v>252</v>
      </c>
      <c r="I2842" s="229" t="s">
        <v>461</v>
      </c>
    </row>
    <row r="2843">
      <c r="A2843" s="233" t="s">
        <v>7500</v>
      </c>
      <c r="B2843" s="233" t="s">
        <v>7455</v>
      </c>
      <c r="C2843" s="233" t="s">
        <v>7463</v>
      </c>
      <c r="D2843" s="234">
        <v>45761.55611111111</v>
      </c>
      <c r="E2843" s="234">
        <v>45761.56613425926</v>
      </c>
      <c r="F2843" s="235" t="s">
        <v>291</v>
      </c>
      <c r="G2843" s="236" t="s">
        <v>7501</v>
      </c>
      <c r="H2843" s="233" t="s">
        <v>265</v>
      </c>
      <c r="I2843" s="233" t="s">
        <v>640</v>
      </c>
    </row>
    <row r="2844">
      <c r="A2844" s="229" t="s">
        <v>7502</v>
      </c>
      <c r="B2844" s="229" t="s">
        <v>7503</v>
      </c>
      <c r="C2844" s="229" t="s">
        <v>7504</v>
      </c>
      <c r="D2844" s="230">
        <v>45541.86931712963</v>
      </c>
      <c r="E2844" s="230"/>
      <c r="F2844" s="231" t="s">
        <v>281</v>
      </c>
      <c r="G2844" s="232" t="s">
        <v>1521</v>
      </c>
      <c r="H2844" s="229" t="s">
        <v>416</v>
      </c>
      <c r="I2844" s="229" t="s">
        <v>417</v>
      </c>
    </row>
    <row r="2845">
      <c r="A2845" s="229" t="s">
        <v>7505</v>
      </c>
      <c r="B2845" s="229" t="s">
        <v>7503</v>
      </c>
      <c r="C2845" s="229" t="s">
        <v>7504</v>
      </c>
      <c r="D2845" s="230">
        <v>45514.582291666666</v>
      </c>
      <c r="E2845" s="230"/>
      <c r="F2845" s="231" t="s">
        <v>730</v>
      </c>
      <c r="G2845" s="232" t="s">
        <v>5420</v>
      </c>
      <c r="H2845" s="229" t="s">
        <v>416</v>
      </c>
      <c r="I2845" s="229" t="s">
        <v>417</v>
      </c>
    </row>
    <row r="2846">
      <c r="A2846" s="229" t="s">
        <v>7506</v>
      </c>
      <c r="B2846" s="229" t="s">
        <v>7503</v>
      </c>
      <c r="C2846" s="229" t="s">
        <v>7504</v>
      </c>
      <c r="D2846" s="230">
        <v>45507.785358796296</v>
      </c>
      <c r="E2846" s="230"/>
      <c r="F2846" s="231" t="s">
        <v>291</v>
      </c>
      <c r="G2846" s="232" t="s">
        <v>3088</v>
      </c>
      <c r="H2846" s="229" t="s">
        <v>416</v>
      </c>
      <c r="I2846" s="229" t="s">
        <v>417</v>
      </c>
    </row>
    <row r="2847">
      <c r="A2847" s="233" t="s">
        <v>7507</v>
      </c>
      <c r="B2847" s="233" t="s">
        <v>7503</v>
      </c>
      <c r="C2847" s="233" t="s">
        <v>7504</v>
      </c>
      <c r="D2847" s="234">
        <v>45493.733668981484</v>
      </c>
      <c r="E2847" s="234"/>
      <c r="F2847" s="235" t="s">
        <v>281</v>
      </c>
      <c r="G2847" s="236" t="s">
        <v>1603</v>
      </c>
      <c r="H2847" s="233" t="s">
        <v>416</v>
      </c>
      <c r="I2847" s="233" t="s">
        <v>417</v>
      </c>
    </row>
    <row r="2848">
      <c r="A2848" s="229" t="s">
        <v>7508</v>
      </c>
      <c r="B2848" s="229" t="s">
        <v>7509</v>
      </c>
      <c r="C2848" s="229" t="s">
        <v>7510</v>
      </c>
      <c r="D2848" s="230">
        <v>45448.893113425926</v>
      </c>
      <c r="E2848" s="230">
        <v>45448.69446759259</v>
      </c>
      <c r="F2848" s="231" t="s">
        <v>281</v>
      </c>
      <c r="G2848" s="232" t="s">
        <v>7511</v>
      </c>
      <c r="H2848" s="229" t="s">
        <v>265</v>
      </c>
      <c r="I2848" s="229" t="s">
        <v>2071</v>
      </c>
    </row>
    <row r="2849">
      <c r="A2849" s="229" t="s">
        <v>7512</v>
      </c>
      <c r="B2849" s="229" t="s">
        <v>7513</v>
      </c>
      <c r="C2849" s="229" t="s">
        <v>7514</v>
      </c>
      <c r="D2849" s="230">
        <v>45493.81508101852</v>
      </c>
      <c r="E2849" s="230"/>
      <c r="F2849" s="231" t="s">
        <v>503</v>
      </c>
      <c r="G2849" s="232" t="s">
        <v>7515</v>
      </c>
      <c r="H2849" s="229" t="s">
        <v>265</v>
      </c>
      <c r="I2849" s="229" t="s">
        <v>755</v>
      </c>
    </row>
    <row r="2850">
      <c r="A2850" s="233" t="s">
        <v>7516</v>
      </c>
      <c r="B2850" s="233" t="s">
        <v>7513</v>
      </c>
      <c r="C2850" s="233" t="s">
        <v>7517</v>
      </c>
      <c r="D2850" s="234">
        <v>45493.81375</v>
      </c>
      <c r="E2850" s="234"/>
      <c r="F2850" s="235" t="s">
        <v>317</v>
      </c>
      <c r="G2850" s="236" t="s">
        <v>3142</v>
      </c>
      <c r="H2850" s="233" t="s">
        <v>265</v>
      </c>
      <c r="I2850" s="233" t="s">
        <v>755</v>
      </c>
    </row>
    <row r="2851">
      <c r="A2851" s="233" t="s">
        <v>7518</v>
      </c>
      <c r="B2851" s="233" t="s">
        <v>7519</v>
      </c>
      <c r="C2851" s="233" t="s">
        <v>4302</v>
      </c>
      <c r="D2851" s="234">
        <v>45536.645578703705</v>
      </c>
      <c r="E2851" s="234"/>
      <c r="F2851" s="235" t="s">
        <v>651</v>
      </c>
      <c r="G2851" s="236" t="s">
        <v>7520</v>
      </c>
      <c r="H2851" s="233" t="s">
        <v>259</v>
      </c>
      <c r="I2851" s="233" t="s">
        <v>1080</v>
      </c>
    </row>
    <row r="2852">
      <c r="A2852" s="229" t="s">
        <v>7521</v>
      </c>
      <c r="B2852" s="229" t="s">
        <v>7522</v>
      </c>
      <c r="C2852" s="229" t="s">
        <v>7523</v>
      </c>
      <c r="D2852" s="230">
        <v>45711.558969907404</v>
      </c>
      <c r="E2852" s="230">
        <v>45711.61818287037</v>
      </c>
      <c r="F2852" s="231" t="s">
        <v>431</v>
      </c>
      <c r="G2852" s="232" t="s">
        <v>432</v>
      </c>
      <c r="H2852" s="229" t="s">
        <v>416</v>
      </c>
      <c r="I2852" s="229" t="s">
        <v>1162</v>
      </c>
    </row>
    <row r="2853">
      <c r="A2853" s="233" t="s">
        <v>7524</v>
      </c>
      <c r="B2853" s="233" t="s">
        <v>7522</v>
      </c>
      <c r="C2853" s="233" t="s">
        <v>7525</v>
      </c>
      <c r="D2853" s="234">
        <v>45745.58761574074</v>
      </c>
      <c r="E2853" s="234">
        <v>45747.68765046296</v>
      </c>
      <c r="F2853" s="235" t="s">
        <v>503</v>
      </c>
      <c r="G2853" s="236" t="s">
        <v>7526</v>
      </c>
      <c r="H2853" s="233" t="s">
        <v>356</v>
      </c>
      <c r="I2853" s="233" t="s">
        <v>7527</v>
      </c>
    </row>
    <row r="2854">
      <c r="A2854" s="229" t="s">
        <v>7528</v>
      </c>
      <c r="B2854" s="229" t="s">
        <v>7529</v>
      </c>
      <c r="C2854" s="229" t="s">
        <v>7530</v>
      </c>
      <c r="D2854" s="230">
        <v>45550.516238425924</v>
      </c>
      <c r="E2854" s="230"/>
      <c r="F2854" s="231" t="s">
        <v>503</v>
      </c>
      <c r="G2854" s="232" t="s">
        <v>1576</v>
      </c>
      <c r="H2854" s="229" t="s">
        <v>259</v>
      </c>
      <c r="I2854" s="229" t="s">
        <v>2307</v>
      </c>
    </row>
    <row r="2855">
      <c r="A2855" s="229" t="s">
        <v>7531</v>
      </c>
      <c r="B2855" s="229" t="s">
        <v>7532</v>
      </c>
      <c r="C2855" s="229" t="s">
        <v>7533</v>
      </c>
      <c r="D2855" s="230">
        <v>45708.58733796296</v>
      </c>
      <c r="E2855" s="230">
        <v>45709.48615740741</v>
      </c>
      <c r="F2855" s="231" t="s">
        <v>1450</v>
      </c>
      <c r="G2855" s="232" t="s">
        <v>7534</v>
      </c>
      <c r="H2855" s="229" t="s">
        <v>293</v>
      </c>
      <c r="I2855" s="229" t="s">
        <v>6043</v>
      </c>
    </row>
    <row r="2856">
      <c r="A2856" s="229" t="s">
        <v>7535</v>
      </c>
      <c r="B2856" s="229" t="s">
        <v>7532</v>
      </c>
      <c r="C2856" s="229" t="s">
        <v>7533</v>
      </c>
      <c r="D2856" s="230">
        <v>45750.84748842593</v>
      </c>
      <c r="E2856" s="230">
        <v>45751.482777777775</v>
      </c>
      <c r="F2856" s="231" t="s">
        <v>380</v>
      </c>
      <c r="G2856" s="232" t="s">
        <v>1161</v>
      </c>
      <c r="H2856" s="229" t="s">
        <v>293</v>
      </c>
      <c r="I2856" s="229" t="s">
        <v>6043</v>
      </c>
    </row>
    <row r="2857">
      <c r="A2857" s="229" t="s">
        <v>7536</v>
      </c>
      <c r="B2857" s="229" t="s">
        <v>7537</v>
      </c>
      <c r="C2857" s="229" t="s">
        <v>7538</v>
      </c>
      <c r="D2857" s="230">
        <v>45542.85773148148</v>
      </c>
      <c r="E2857" s="230"/>
      <c r="F2857" s="231" t="s">
        <v>7539</v>
      </c>
      <c r="G2857" s="232" t="s">
        <v>7540</v>
      </c>
      <c r="H2857" s="229" t="s">
        <v>259</v>
      </c>
      <c r="I2857" s="229" t="s">
        <v>449</v>
      </c>
    </row>
    <row r="2858">
      <c r="A2858" s="233" t="s">
        <v>7541</v>
      </c>
      <c r="B2858" s="233" t="s">
        <v>7542</v>
      </c>
      <c r="C2858" s="233" t="s">
        <v>7543</v>
      </c>
      <c r="D2858" s="234">
        <v>45453.47084490741</v>
      </c>
      <c r="E2858" s="234">
        <v>45454.44797453703</v>
      </c>
      <c r="F2858" s="235" t="s">
        <v>7544</v>
      </c>
      <c r="G2858" s="236" t="s">
        <v>7545</v>
      </c>
      <c r="H2858" s="233" t="s">
        <v>1345</v>
      </c>
      <c r="I2858" s="233" t="s">
        <v>2560</v>
      </c>
    </row>
    <row r="2859">
      <c r="A2859" s="229" t="s">
        <v>7546</v>
      </c>
      <c r="B2859" s="229" t="s">
        <v>7547</v>
      </c>
      <c r="C2859" s="229" t="s">
        <v>7548</v>
      </c>
      <c r="D2859" s="230">
        <v>45747.83582175926</v>
      </c>
      <c r="E2859" s="230">
        <v>45747.899363425924</v>
      </c>
      <c r="F2859" s="231" t="s">
        <v>439</v>
      </c>
      <c r="G2859" s="232" t="s">
        <v>439</v>
      </c>
      <c r="H2859" s="229" t="s">
        <v>2001</v>
      </c>
      <c r="I2859" s="229" t="s">
        <v>7549</v>
      </c>
    </row>
    <row r="2860">
      <c r="A2860" s="233" t="s">
        <v>7550</v>
      </c>
      <c r="B2860" s="233" t="s">
        <v>7547</v>
      </c>
      <c r="C2860" s="233" t="s">
        <v>7551</v>
      </c>
      <c r="D2860" s="234">
        <v>45774.87496527778</v>
      </c>
      <c r="E2860" s="234">
        <v>45774.899351851855</v>
      </c>
      <c r="F2860" s="235" t="s">
        <v>503</v>
      </c>
      <c r="G2860" s="236" t="s">
        <v>503</v>
      </c>
      <c r="H2860" s="233" t="s">
        <v>2001</v>
      </c>
      <c r="I2860" s="233" t="s">
        <v>7552</v>
      </c>
    </row>
    <row r="2861">
      <c r="A2861" s="233" t="s">
        <v>7553</v>
      </c>
      <c r="B2861" s="233" t="s">
        <v>7547</v>
      </c>
      <c r="C2861" s="233" t="s">
        <v>7548</v>
      </c>
      <c r="D2861" s="234">
        <v>45760.85369212963</v>
      </c>
      <c r="E2861" s="234">
        <v>45760.89239583333</v>
      </c>
      <c r="F2861" s="235" t="s">
        <v>1082</v>
      </c>
      <c r="G2861" s="236" t="s">
        <v>1082</v>
      </c>
      <c r="H2861" s="233" t="s">
        <v>2001</v>
      </c>
      <c r="I2861" s="233" t="s">
        <v>7549</v>
      </c>
    </row>
    <row r="2862">
      <c r="A2862" s="229" t="s">
        <v>7554</v>
      </c>
      <c r="B2862" s="229" t="s">
        <v>7555</v>
      </c>
      <c r="C2862" s="229" t="s">
        <v>7556</v>
      </c>
      <c r="D2862" s="230">
        <v>45495.753530092596</v>
      </c>
      <c r="E2862" s="230"/>
      <c r="F2862" s="231" t="s">
        <v>503</v>
      </c>
      <c r="G2862" s="232" t="s">
        <v>3052</v>
      </c>
      <c r="H2862" s="229" t="s">
        <v>346</v>
      </c>
      <c r="I2862" s="229" t="s">
        <v>284</v>
      </c>
    </row>
    <row r="2863">
      <c r="A2863" s="229" t="s">
        <v>7557</v>
      </c>
      <c r="B2863" s="229" t="s">
        <v>7555</v>
      </c>
      <c r="C2863" s="229" t="s">
        <v>7558</v>
      </c>
      <c r="D2863" s="230">
        <v>45706.51190972222</v>
      </c>
      <c r="E2863" s="230">
        <v>45706.67023148148</v>
      </c>
      <c r="F2863" s="231" t="s">
        <v>1556</v>
      </c>
      <c r="G2863" s="232" t="s">
        <v>7559</v>
      </c>
      <c r="H2863" s="229" t="s">
        <v>811</v>
      </c>
      <c r="I2863" s="229" t="s">
        <v>284</v>
      </c>
    </row>
    <row r="2864">
      <c r="A2864" s="229" t="s">
        <v>7560</v>
      </c>
      <c r="B2864" s="229" t="s">
        <v>7555</v>
      </c>
      <c r="C2864" s="229" t="s">
        <v>7558</v>
      </c>
      <c r="D2864" s="230">
        <v>45704.52469907407</v>
      </c>
      <c r="E2864" s="230">
        <v>45705.82299768519</v>
      </c>
      <c r="F2864" s="231" t="s">
        <v>7561</v>
      </c>
      <c r="G2864" s="232" t="s">
        <v>7562</v>
      </c>
      <c r="H2864" s="229" t="s">
        <v>346</v>
      </c>
      <c r="I2864" s="229" t="s">
        <v>284</v>
      </c>
    </row>
    <row r="2865">
      <c r="A2865" s="229" t="s">
        <v>7563</v>
      </c>
      <c r="B2865" s="229" t="s">
        <v>7564</v>
      </c>
      <c r="C2865" s="229" t="s">
        <v>7565</v>
      </c>
      <c r="D2865" s="230">
        <v>45510.51372685185</v>
      </c>
      <c r="E2865" s="230"/>
      <c r="F2865" s="231" t="s">
        <v>1259</v>
      </c>
      <c r="G2865" s="232" t="s">
        <v>7566</v>
      </c>
      <c r="H2865" s="229" t="s">
        <v>293</v>
      </c>
      <c r="I2865" s="229" t="s">
        <v>2326</v>
      </c>
    </row>
    <row r="2866">
      <c r="A2866" s="229" t="s">
        <v>7567</v>
      </c>
      <c r="B2866" s="229" t="s">
        <v>7568</v>
      </c>
      <c r="C2866" s="229" t="s">
        <v>7558</v>
      </c>
      <c r="D2866" s="230">
        <v>45448.74827546296</v>
      </c>
      <c r="E2866" s="230">
        <v>45448.67018518518</v>
      </c>
      <c r="F2866" s="231" t="s">
        <v>431</v>
      </c>
      <c r="G2866" s="232" t="s">
        <v>521</v>
      </c>
      <c r="H2866" s="229" t="s">
        <v>346</v>
      </c>
      <c r="I2866" s="229" t="s">
        <v>284</v>
      </c>
    </row>
    <row r="2867">
      <c r="A2867" s="233" t="s">
        <v>7569</v>
      </c>
      <c r="B2867" s="233" t="s">
        <v>7570</v>
      </c>
      <c r="C2867" s="233" t="s">
        <v>7571</v>
      </c>
      <c r="D2867" s="234">
        <v>45546.79362268518</v>
      </c>
      <c r="E2867" s="234"/>
      <c r="F2867" s="235" t="s">
        <v>695</v>
      </c>
      <c r="G2867" s="236" t="s">
        <v>7572</v>
      </c>
      <c r="H2867" s="233" t="s">
        <v>754</v>
      </c>
      <c r="I2867" s="233" t="s">
        <v>4978</v>
      </c>
    </row>
    <row r="2868">
      <c r="A2868" s="233" t="s">
        <v>7573</v>
      </c>
      <c r="B2868" s="233" t="s">
        <v>7570</v>
      </c>
      <c r="C2868" s="233" t="s">
        <v>7571</v>
      </c>
      <c r="D2868" s="234">
        <v>45532.8825462963</v>
      </c>
      <c r="E2868" s="234"/>
      <c r="F2868" s="235" t="s">
        <v>2351</v>
      </c>
      <c r="G2868" s="236" t="s">
        <v>7574</v>
      </c>
      <c r="H2868" s="233" t="s">
        <v>754</v>
      </c>
      <c r="I2868" s="233" t="s">
        <v>4978</v>
      </c>
    </row>
    <row r="2869">
      <c r="A2869" s="229" t="s">
        <v>7575</v>
      </c>
      <c r="B2869" s="229" t="s">
        <v>7570</v>
      </c>
      <c r="C2869" s="229" t="s">
        <v>7571</v>
      </c>
      <c r="D2869" s="230">
        <v>45495.79368055556</v>
      </c>
      <c r="E2869" s="230"/>
      <c r="F2869" s="231" t="s">
        <v>706</v>
      </c>
      <c r="G2869" s="232" t="s">
        <v>1388</v>
      </c>
      <c r="H2869" s="229" t="s">
        <v>754</v>
      </c>
      <c r="I2869" s="229" t="s">
        <v>4978</v>
      </c>
    </row>
    <row r="2870">
      <c r="A2870" s="229" t="s">
        <v>7576</v>
      </c>
      <c r="B2870" s="229" t="s">
        <v>7570</v>
      </c>
      <c r="C2870" s="229" t="s">
        <v>7571</v>
      </c>
      <c r="D2870" s="230">
        <v>45445.56519675926</v>
      </c>
      <c r="E2870" s="230">
        <v>45446.413252314815</v>
      </c>
      <c r="F2870" s="231" t="s">
        <v>470</v>
      </c>
      <c r="G2870" s="232" t="s">
        <v>649</v>
      </c>
      <c r="H2870" s="229" t="s">
        <v>265</v>
      </c>
      <c r="I2870" s="229" t="s">
        <v>4978</v>
      </c>
    </row>
    <row r="2871">
      <c r="A2871" s="233" t="s">
        <v>7577</v>
      </c>
      <c r="B2871" s="233" t="s">
        <v>7570</v>
      </c>
      <c r="C2871" s="233" t="s">
        <v>7571</v>
      </c>
      <c r="D2871" s="234">
        <v>45437.76498842592</v>
      </c>
      <c r="E2871" s="234">
        <v>45437.56959490741</v>
      </c>
      <c r="F2871" s="235" t="s">
        <v>1092</v>
      </c>
      <c r="G2871" s="236" t="s">
        <v>7578</v>
      </c>
      <c r="H2871" s="233" t="s">
        <v>265</v>
      </c>
      <c r="I2871" s="233" t="s">
        <v>4978</v>
      </c>
    </row>
    <row r="2872">
      <c r="A2872" s="229" t="s">
        <v>7579</v>
      </c>
      <c r="B2872" s="229" t="s">
        <v>7580</v>
      </c>
      <c r="C2872" s="229" t="s">
        <v>7581</v>
      </c>
      <c r="D2872" s="230">
        <v>45715.72392361111</v>
      </c>
      <c r="E2872" s="244"/>
      <c r="F2872" s="231" t="s">
        <v>498</v>
      </c>
      <c r="G2872" s="232" t="s">
        <v>1692</v>
      </c>
      <c r="H2872" s="229" t="s">
        <v>7582</v>
      </c>
      <c r="I2872" s="229" t="s">
        <v>7583</v>
      </c>
    </row>
    <row r="2873">
      <c r="A2873" s="229" t="s">
        <v>7584</v>
      </c>
      <c r="B2873" s="229" t="s">
        <v>7585</v>
      </c>
      <c r="C2873" s="229" t="s">
        <v>7586</v>
      </c>
      <c r="D2873" s="230">
        <v>45529.809745370374</v>
      </c>
      <c r="E2873" s="230"/>
      <c r="F2873" s="231" t="s">
        <v>431</v>
      </c>
      <c r="G2873" s="232" t="s">
        <v>3983</v>
      </c>
      <c r="H2873" s="229" t="s">
        <v>265</v>
      </c>
      <c r="I2873" s="229" t="s">
        <v>3455</v>
      </c>
    </row>
    <row r="2874">
      <c r="A2874" s="233" t="s">
        <v>7587</v>
      </c>
      <c r="B2874" s="233" t="s">
        <v>7585</v>
      </c>
      <c r="C2874" s="233" t="s">
        <v>7588</v>
      </c>
      <c r="D2874" s="234">
        <v>45529.807650462964</v>
      </c>
      <c r="E2874" s="234"/>
      <c r="F2874" s="235" t="s">
        <v>380</v>
      </c>
      <c r="G2874" s="236" t="s">
        <v>2393</v>
      </c>
      <c r="H2874" s="233" t="s">
        <v>265</v>
      </c>
      <c r="I2874" s="233" t="s">
        <v>1080</v>
      </c>
    </row>
    <row r="2875">
      <c r="A2875" s="229" t="s">
        <v>7589</v>
      </c>
      <c r="B2875" s="229" t="s">
        <v>7590</v>
      </c>
      <c r="C2875" s="229" t="s">
        <v>7591</v>
      </c>
      <c r="D2875" s="230">
        <v>45501.77229166667</v>
      </c>
      <c r="E2875" s="230"/>
      <c r="F2875" s="231" t="s">
        <v>7592</v>
      </c>
      <c r="G2875" s="232" t="s">
        <v>7593</v>
      </c>
      <c r="H2875" s="229" t="s">
        <v>346</v>
      </c>
      <c r="I2875" s="229" t="s">
        <v>823</v>
      </c>
    </row>
    <row r="2876">
      <c r="A2876" s="233" t="s">
        <v>7594</v>
      </c>
      <c r="B2876" s="233" t="s">
        <v>7590</v>
      </c>
      <c r="C2876" s="233" t="s">
        <v>7595</v>
      </c>
      <c r="D2876" s="234">
        <v>45466.595497685186</v>
      </c>
      <c r="E2876" s="234"/>
      <c r="F2876" s="235" t="s">
        <v>1884</v>
      </c>
      <c r="G2876" s="236" t="s">
        <v>7596</v>
      </c>
      <c r="H2876" s="233" t="s">
        <v>346</v>
      </c>
      <c r="I2876" s="233" t="s">
        <v>823</v>
      </c>
    </row>
    <row r="2877">
      <c r="A2877" s="229" t="s">
        <v>7597</v>
      </c>
      <c r="B2877" s="229" t="s">
        <v>7590</v>
      </c>
      <c r="C2877" s="229" t="s">
        <v>7591</v>
      </c>
      <c r="D2877" s="230">
        <v>45466.592523148145</v>
      </c>
      <c r="E2877" s="230"/>
      <c r="F2877" s="231" t="s">
        <v>1784</v>
      </c>
      <c r="G2877" s="232" t="s">
        <v>7598</v>
      </c>
      <c r="H2877" s="229" t="s">
        <v>346</v>
      </c>
      <c r="I2877" s="229" t="s">
        <v>823</v>
      </c>
    </row>
    <row r="2878">
      <c r="A2878" s="233" t="s">
        <v>7599</v>
      </c>
      <c r="B2878" s="233" t="s">
        <v>7600</v>
      </c>
      <c r="C2878" s="233" t="s">
        <v>7591</v>
      </c>
      <c r="D2878" s="234">
        <v>45538.6944212963</v>
      </c>
      <c r="E2878" s="234"/>
      <c r="F2878" s="235" t="s">
        <v>6759</v>
      </c>
      <c r="G2878" s="236" t="s">
        <v>7601</v>
      </c>
      <c r="H2878" s="233" t="s">
        <v>346</v>
      </c>
      <c r="I2878" s="233" t="s">
        <v>823</v>
      </c>
    </row>
    <row r="2879">
      <c r="A2879" s="233" t="s">
        <v>7602</v>
      </c>
      <c r="B2879" s="233" t="s">
        <v>7600</v>
      </c>
      <c r="C2879" s="233" t="s">
        <v>7591</v>
      </c>
      <c r="D2879" s="234">
        <v>45520.67125</v>
      </c>
      <c r="E2879" s="234"/>
      <c r="F2879" s="235" t="s">
        <v>7603</v>
      </c>
      <c r="G2879" s="236" t="s">
        <v>7604</v>
      </c>
      <c r="H2879" s="233" t="s">
        <v>346</v>
      </c>
      <c r="I2879" s="233" t="s">
        <v>823</v>
      </c>
    </row>
    <row r="2880">
      <c r="A2880" s="233" t="s">
        <v>7605</v>
      </c>
      <c r="B2880" s="233" t="s">
        <v>7600</v>
      </c>
      <c r="C2880" s="233" t="s">
        <v>7591</v>
      </c>
      <c r="D2880" s="234">
        <v>45507.61252314815</v>
      </c>
      <c r="E2880" s="234"/>
      <c r="F2880" s="235" t="s">
        <v>991</v>
      </c>
      <c r="G2880" s="236" t="s">
        <v>7606</v>
      </c>
      <c r="H2880" s="233" t="s">
        <v>346</v>
      </c>
      <c r="I2880" s="233" t="s">
        <v>823</v>
      </c>
    </row>
    <row r="2881">
      <c r="A2881" s="229" t="s">
        <v>7607</v>
      </c>
      <c r="B2881" s="229" t="s">
        <v>7600</v>
      </c>
      <c r="C2881" s="229" t="s">
        <v>7591</v>
      </c>
      <c r="D2881" s="230">
        <v>45495.83818287037</v>
      </c>
      <c r="E2881" s="230"/>
      <c r="F2881" s="231" t="s">
        <v>7608</v>
      </c>
      <c r="G2881" s="232" t="s">
        <v>7609</v>
      </c>
      <c r="H2881" s="229" t="s">
        <v>346</v>
      </c>
      <c r="I2881" s="229" t="s">
        <v>823</v>
      </c>
    </row>
    <row r="2882">
      <c r="A2882" s="233" t="s">
        <v>7610</v>
      </c>
      <c r="B2882" s="233" t="s">
        <v>7611</v>
      </c>
      <c r="C2882" s="233" t="s">
        <v>7612</v>
      </c>
      <c r="D2882" s="234">
        <v>45732.72829861111</v>
      </c>
      <c r="E2882" s="234">
        <v>45732.7396875</v>
      </c>
      <c r="F2882" s="235" t="s">
        <v>291</v>
      </c>
      <c r="G2882" s="236" t="s">
        <v>7613</v>
      </c>
      <c r="H2882" s="233" t="s">
        <v>561</v>
      </c>
      <c r="I2882" s="233" t="s">
        <v>7614</v>
      </c>
    </row>
    <row r="2883">
      <c r="A2883" s="233" t="s">
        <v>7615</v>
      </c>
      <c r="B2883" s="233" t="s">
        <v>7616</v>
      </c>
      <c r="C2883" s="233" t="s">
        <v>7617</v>
      </c>
      <c r="D2883" s="234">
        <v>45431.499560185184</v>
      </c>
      <c r="E2883" s="234">
        <v>45431.60423611111</v>
      </c>
      <c r="F2883" s="235" t="s">
        <v>350</v>
      </c>
      <c r="G2883" s="236" t="s">
        <v>7618</v>
      </c>
      <c r="H2883" s="233" t="s">
        <v>346</v>
      </c>
      <c r="I2883" s="233" t="s">
        <v>1714</v>
      </c>
    </row>
    <row r="2884">
      <c r="A2884" s="229" t="s">
        <v>7619</v>
      </c>
      <c r="B2884" s="229" t="s">
        <v>7620</v>
      </c>
      <c r="C2884" s="229" t="s">
        <v>7621</v>
      </c>
      <c r="D2884" s="230">
        <v>45488.547430555554</v>
      </c>
      <c r="E2884" s="230"/>
      <c r="F2884" s="231" t="s">
        <v>281</v>
      </c>
      <c r="G2884" s="232" t="s">
        <v>281</v>
      </c>
      <c r="H2884" s="229" t="s">
        <v>1632</v>
      </c>
      <c r="I2884" s="229" t="s">
        <v>963</v>
      </c>
    </row>
    <row r="2885">
      <c r="A2885" s="229" t="s">
        <v>7619</v>
      </c>
      <c r="B2885" s="229" t="s">
        <v>7620</v>
      </c>
      <c r="C2885" s="229" t="s">
        <v>7621</v>
      </c>
      <c r="D2885" s="230">
        <v>45488.547430555554</v>
      </c>
      <c r="E2885" s="230"/>
      <c r="F2885" s="231" t="s">
        <v>281</v>
      </c>
      <c r="G2885" s="232" t="s">
        <v>281</v>
      </c>
      <c r="H2885" s="229" t="s">
        <v>1632</v>
      </c>
      <c r="I2885" s="229" t="s">
        <v>963</v>
      </c>
    </row>
    <row r="2886">
      <c r="A2886" s="233" t="s">
        <v>7622</v>
      </c>
      <c r="B2886" s="233" t="s">
        <v>7623</v>
      </c>
      <c r="C2886" s="233" t="s">
        <v>7621</v>
      </c>
      <c r="D2886" s="234">
        <v>45536.54672453704</v>
      </c>
      <c r="E2886" s="234"/>
      <c r="F2886" s="235" t="s">
        <v>291</v>
      </c>
      <c r="G2886" s="236" t="s">
        <v>291</v>
      </c>
      <c r="H2886" s="233" t="s">
        <v>1632</v>
      </c>
      <c r="I2886" s="233" t="s">
        <v>963</v>
      </c>
    </row>
    <row r="2887">
      <c r="A2887" s="233" t="s">
        <v>7624</v>
      </c>
      <c r="B2887" s="233" t="s">
        <v>7625</v>
      </c>
      <c r="C2887" s="233" t="s">
        <v>7626</v>
      </c>
      <c r="D2887" s="234">
        <v>45551.88767361111</v>
      </c>
      <c r="E2887" s="234"/>
      <c r="F2887" s="235" t="s">
        <v>624</v>
      </c>
      <c r="G2887" s="236" t="s">
        <v>7627</v>
      </c>
      <c r="H2887" s="233" t="s">
        <v>319</v>
      </c>
      <c r="I2887" s="233" t="s">
        <v>7628</v>
      </c>
    </row>
    <row r="2888">
      <c r="A2888" s="229" t="s">
        <v>7629</v>
      </c>
      <c r="B2888" s="229" t="s">
        <v>7625</v>
      </c>
      <c r="C2888" s="229" t="s">
        <v>7630</v>
      </c>
      <c r="D2888" s="230">
        <v>45550.66616898148</v>
      </c>
      <c r="E2888" s="230"/>
      <c r="F2888" s="231" t="s">
        <v>250</v>
      </c>
      <c r="G2888" s="232" t="s">
        <v>7631</v>
      </c>
      <c r="H2888" s="229" t="s">
        <v>319</v>
      </c>
      <c r="I2888" s="229" t="s">
        <v>7628</v>
      </c>
    </row>
    <row r="2889">
      <c r="A2889" s="229" t="s">
        <v>7632</v>
      </c>
      <c r="B2889" s="229" t="s">
        <v>7625</v>
      </c>
      <c r="C2889" s="229" t="s">
        <v>7633</v>
      </c>
      <c r="D2889" s="230">
        <v>45528.82990740741</v>
      </c>
      <c r="E2889" s="230"/>
      <c r="F2889" s="231" t="s">
        <v>7634</v>
      </c>
      <c r="G2889" s="232" t="s">
        <v>7635</v>
      </c>
      <c r="H2889" s="229" t="s">
        <v>259</v>
      </c>
      <c r="I2889" s="229" t="s">
        <v>5765</v>
      </c>
    </row>
    <row r="2890">
      <c r="A2890" s="229" t="s">
        <v>7636</v>
      </c>
      <c r="B2890" s="229" t="s">
        <v>7625</v>
      </c>
      <c r="C2890" s="229" t="s">
        <v>7633</v>
      </c>
      <c r="D2890" s="230">
        <v>45479.84815972222</v>
      </c>
      <c r="E2890" s="230"/>
      <c r="F2890" s="231" t="s">
        <v>498</v>
      </c>
      <c r="G2890" s="232" t="s">
        <v>6173</v>
      </c>
      <c r="H2890" s="229" t="s">
        <v>259</v>
      </c>
      <c r="I2890" s="229" t="s">
        <v>5765</v>
      </c>
    </row>
    <row r="2891">
      <c r="A2891" s="229" t="s">
        <v>7637</v>
      </c>
      <c r="B2891" s="229" t="s">
        <v>7625</v>
      </c>
      <c r="C2891" s="229" t="s">
        <v>7630</v>
      </c>
      <c r="D2891" s="230">
        <v>45439.87126157407</v>
      </c>
      <c r="E2891" s="230">
        <v>45440.28135416667</v>
      </c>
      <c r="F2891" s="231" t="s">
        <v>1531</v>
      </c>
      <c r="G2891" s="232" t="s">
        <v>7638</v>
      </c>
      <c r="H2891" s="229" t="s">
        <v>319</v>
      </c>
      <c r="I2891" s="229" t="s">
        <v>7628</v>
      </c>
    </row>
    <row r="2892">
      <c r="A2892" s="229" t="s">
        <v>7639</v>
      </c>
      <c r="B2892" s="229" t="s">
        <v>7625</v>
      </c>
      <c r="C2892" s="229" t="s">
        <v>7633</v>
      </c>
      <c r="D2892" s="230">
        <v>45773.84877314815</v>
      </c>
      <c r="E2892" s="230">
        <v>45774.43408564815</v>
      </c>
      <c r="F2892" s="231" t="s">
        <v>498</v>
      </c>
      <c r="G2892" s="232" t="s">
        <v>7640</v>
      </c>
      <c r="H2892" s="229" t="s">
        <v>259</v>
      </c>
      <c r="I2892" s="229" t="s">
        <v>5765</v>
      </c>
    </row>
    <row r="2893">
      <c r="A2893" s="233" t="s">
        <v>7641</v>
      </c>
      <c r="B2893" s="233" t="s">
        <v>7625</v>
      </c>
      <c r="C2893" s="233" t="s">
        <v>7633</v>
      </c>
      <c r="D2893" s="234">
        <v>45759.824583333335</v>
      </c>
      <c r="E2893" s="234">
        <v>45760.42365740741</v>
      </c>
      <c r="F2893" s="235" t="s">
        <v>498</v>
      </c>
      <c r="G2893" s="236" t="s">
        <v>7642</v>
      </c>
      <c r="H2893" s="233" t="s">
        <v>259</v>
      </c>
      <c r="I2893" s="233" t="s">
        <v>5765</v>
      </c>
    </row>
    <row r="2894">
      <c r="A2894" s="229" t="s">
        <v>7643</v>
      </c>
      <c r="B2894" s="229" t="s">
        <v>7644</v>
      </c>
      <c r="C2894" s="229" t="s">
        <v>7645</v>
      </c>
      <c r="D2894" s="230">
        <v>45543.58777777778</v>
      </c>
      <c r="E2894" s="230"/>
      <c r="F2894" s="231" t="s">
        <v>7646</v>
      </c>
      <c r="G2894" s="232" t="s">
        <v>7647</v>
      </c>
      <c r="H2894" s="229" t="s">
        <v>265</v>
      </c>
      <c r="I2894" s="229" t="s">
        <v>626</v>
      </c>
    </row>
    <row r="2895">
      <c r="A2895" s="233" t="s">
        <v>7648</v>
      </c>
      <c r="B2895" s="233" t="s">
        <v>7644</v>
      </c>
      <c r="C2895" s="233" t="s">
        <v>7645</v>
      </c>
      <c r="D2895" s="234">
        <v>45534.58726851852</v>
      </c>
      <c r="E2895" s="234"/>
      <c r="F2895" s="235" t="s">
        <v>291</v>
      </c>
      <c r="G2895" s="236" t="s">
        <v>451</v>
      </c>
      <c r="H2895" s="233" t="s">
        <v>265</v>
      </c>
      <c r="I2895" s="233" t="s">
        <v>626</v>
      </c>
    </row>
    <row r="2896">
      <c r="A2896" s="233" t="s">
        <v>7649</v>
      </c>
      <c r="B2896" s="233" t="s">
        <v>7644</v>
      </c>
      <c r="C2896" s="233" t="s">
        <v>7645</v>
      </c>
      <c r="D2896" s="234">
        <v>45527.62017361111</v>
      </c>
      <c r="E2896" s="234"/>
      <c r="F2896" s="235" t="s">
        <v>470</v>
      </c>
      <c r="G2896" s="236" t="s">
        <v>4514</v>
      </c>
      <c r="H2896" s="233" t="s">
        <v>265</v>
      </c>
      <c r="I2896" s="233" t="s">
        <v>626</v>
      </c>
    </row>
    <row r="2897">
      <c r="A2897" s="233" t="s">
        <v>7650</v>
      </c>
      <c r="B2897" s="233" t="s">
        <v>7644</v>
      </c>
      <c r="C2897" s="233" t="s">
        <v>7645</v>
      </c>
      <c r="D2897" s="234">
        <v>45500.514398148145</v>
      </c>
      <c r="E2897" s="234"/>
      <c r="F2897" s="235" t="s">
        <v>730</v>
      </c>
      <c r="G2897" s="236" t="s">
        <v>6950</v>
      </c>
      <c r="H2897" s="233" t="s">
        <v>265</v>
      </c>
      <c r="I2897" s="233" t="s">
        <v>626</v>
      </c>
    </row>
    <row r="2898">
      <c r="A2898" s="233" t="s">
        <v>7651</v>
      </c>
      <c r="B2898" s="233" t="s">
        <v>7644</v>
      </c>
      <c r="C2898" s="233" t="s">
        <v>7645</v>
      </c>
      <c r="D2898" s="234">
        <v>45492.85486111111</v>
      </c>
      <c r="E2898" s="234"/>
      <c r="F2898" s="235" t="s">
        <v>658</v>
      </c>
      <c r="G2898" s="236" t="s">
        <v>7652</v>
      </c>
      <c r="H2898" s="233" t="s">
        <v>259</v>
      </c>
      <c r="I2898" s="233" t="s">
        <v>626</v>
      </c>
    </row>
    <row r="2899">
      <c r="A2899" s="229" t="s">
        <v>7651</v>
      </c>
      <c r="B2899" s="229" t="s">
        <v>7644</v>
      </c>
      <c r="C2899" s="229" t="s">
        <v>7645</v>
      </c>
      <c r="D2899" s="230">
        <v>45492.85486111111</v>
      </c>
      <c r="E2899" s="230"/>
      <c r="F2899" s="231" t="s">
        <v>658</v>
      </c>
      <c r="G2899" s="232" t="s">
        <v>7652</v>
      </c>
      <c r="H2899" s="229" t="s">
        <v>259</v>
      </c>
      <c r="I2899" s="229" t="s">
        <v>626</v>
      </c>
    </row>
    <row r="2900">
      <c r="A2900" s="233" t="s">
        <v>7653</v>
      </c>
      <c r="B2900" s="233" t="s">
        <v>7644</v>
      </c>
      <c r="C2900" s="233" t="s">
        <v>7654</v>
      </c>
      <c r="D2900" s="234">
        <v>45488.81230324074</v>
      </c>
      <c r="E2900" s="234"/>
      <c r="F2900" s="235" t="s">
        <v>563</v>
      </c>
      <c r="G2900" s="236" t="s">
        <v>7655</v>
      </c>
      <c r="H2900" s="233" t="s">
        <v>259</v>
      </c>
      <c r="I2900" s="233" t="s">
        <v>626</v>
      </c>
    </row>
    <row r="2901">
      <c r="A2901" s="229" t="s">
        <v>7651</v>
      </c>
      <c r="B2901" s="229" t="s">
        <v>7644</v>
      </c>
      <c r="C2901" s="229" t="s">
        <v>7645</v>
      </c>
      <c r="D2901" s="230">
        <v>45492.85486111111</v>
      </c>
      <c r="E2901" s="230"/>
      <c r="F2901" s="231" t="s">
        <v>658</v>
      </c>
      <c r="G2901" s="232" t="s">
        <v>7652</v>
      </c>
      <c r="H2901" s="229" t="s">
        <v>259</v>
      </c>
      <c r="I2901" s="229" t="s">
        <v>626</v>
      </c>
    </row>
    <row r="2902">
      <c r="A2902" s="233" t="s">
        <v>7653</v>
      </c>
      <c r="B2902" s="233" t="s">
        <v>7644</v>
      </c>
      <c r="C2902" s="233" t="s">
        <v>7654</v>
      </c>
      <c r="D2902" s="234">
        <v>45488.81230324074</v>
      </c>
      <c r="E2902" s="234"/>
      <c r="F2902" s="235" t="s">
        <v>563</v>
      </c>
      <c r="G2902" s="236" t="s">
        <v>7655</v>
      </c>
      <c r="H2902" s="233" t="s">
        <v>259</v>
      </c>
      <c r="I2902" s="233" t="s">
        <v>626</v>
      </c>
    </row>
    <row r="2903">
      <c r="A2903" s="229" t="s">
        <v>7656</v>
      </c>
      <c r="B2903" s="229" t="s">
        <v>7644</v>
      </c>
      <c r="C2903" s="229" t="s">
        <v>7645</v>
      </c>
      <c r="D2903" s="230">
        <v>45451.55266203704</v>
      </c>
      <c r="E2903" s="230">
        <v>45451.42041666667</v>
      </c>
      <c r="F2903" s="231" t="s">
        <v>7657</v>
      </c>
      <c r="G2903" s="232" t="s">
        <v>7658</v>
      </c>
      <c r="H2903" s="229" t="s">
        <v>259</v>
      </c>
      <c r="I2903" s="229" t="s">
        <v>626</v>
      </c>
    </row>
    <row r="2904">
      <c r="A2904" s="229" t="s">
        <v>7659</v>
      </c>
      <c r="B2904" s="229" t="s">
        <v>7644</v>
      </c>
      <c r="C2904" s="229" t="s">
        <v>7645</v>
      </c>
      <c r="D2904" s="230">
        <v>45437.72738425926</v>
      </c>
      <c r="E2904" s="230">
        <v>45439.337002314816</v>
      </c>
      <c r="F2904" s="231" t="s">
        <v>250</v>
      </c>
      <c r="G2904" s="232" t="s">
        <v>3644</v>
      </c>
      <c r="H2904" s="229" t="s">
        <v>259</v>
      </c>
      <c r="I2904" s="229" t="s">
        <v>626</v>
      </c>
    </row>
    <row r="2905">
      <c r="A2905" s="233" t="s">
        <v>7660</v>
      </c>
      <c r="B2905" s="233" t="s">
        <v>7644</v>
      </c>
      <c r="C2905" s="233" t="s">
        <v>7645</v>
      </c>
      <c r="D2905" s="234">
        <v>45702.81518518519</v>
      </c>
      <c r="E2905" s="234">
        <v>45703.6528587963</v>
      </c>
      <c r="F2905" s="235" t="s">
        <v>250</v>
      </c>
      <c r="G2905" s="236" t="s">
        <v>5808</v>
      </c>
      <c r="H2905" s="233" t="s">
        <v>259</v>
      </c>
      <c r="I2905" s="233" t="s">
        <v>626</v>
      </c>
    </row>
    <row r="2906">
      <c r="A2906" s="229" t="s">
        <v>7661</v>
      </c>
      <c r="B2906" s="229" t="s">
        <v>7644</v>
      </c>
      <c r="C2906" s="229" t="s">
        <v>7645</v>
      </c>
      <c r="D2906" s="230">
        <v>45737.63060185185</v>
      </c>
      <c r="E2906" s="230">
        <v>45737.8403587963</v>
      </c>
      <c r="F2906" s="231" t="s">
        <v>317</v>
      </c>
      <c r="G2906" s="232" t="s">
        <v>1478</v>
      </c>
      <c r="H2906" s="229" t="s">
        <v>259</v>
      </c>
      <c r="I2906" s="229" t="s">
        <v>626</v>
      </c>
    </row>
    <row r="2907">
      <c r="A2907" s="229" t="s">
        <v>7662</v>
      </c>
      <c r="B2907" s="229" t="s">
        <v>7663</v>
      </c>
      <c r="C2907" s="229" t="s">
        <v>7664</v>
      </c>
      <c r="D2907" s="230">
        <v>45773.711180555554</v>
      </c>
      <c r="E2907" s="230">
        <v>45773.72236111111</v>
      </c>
      <c r="F2907" s="231" t="s">
        <v>431</v>
      </c>
      <c r="G2907" s="232" t="s">
        <v>2101</v>
      </c>
      <c r="H2907" s="229" t="s">
        <v>265</v>
      </c>
      <c r="I2907" s="229" t="s">
        <v>2262</v>
      </c>
    </row>
    <row r="2908">
      <c r="A2908" s="233" t="s">
        <v>7665</v>
      </c>
      <c r="B2908" s="233" t="s">
        <v>7663</v>
      </c>
      <c r="C2908" s="233" t="s">
        <v>7664</v>
      </c>
      <c r="D2908" s="234">
        <v>45773.7096875</v>
      </c>
      <c r="E2908" s="237"/>
      <c r="F2908" s="235" t="s">
        <v>391</v>
      </c>
      <c r="G2908" s="236" t="s">
        <v>877</v>
      </c>
      <c r="H2908" s="233" t="s">
        <v>265</v>
      </c>
      <c r="I2908" s="233" t="s">
        <v>2262</v>
      </c>
    </row>
    <row r="2909">
      <c r="A2909" s="229" t="s">
        <v>7666</v>
      </c>
      <c r="B2909" s="229" t="s">
        <v>7663</v>
      </c>
      <c r="C2909" s="229" t="s">
        <v>7667</v>
      </c>
      <c r="D2909" s="230">
        <v>45773.70929398148</v>
      </c>
      <c r="E2909" s="230">
        <v>45773.71896990741</v>
      </c>
      <c r="F2909" s="231" t="s">
        <v>503</v>
      </c>
      <c r="G2909" s="232" t="s">
        <v>2104</v>
      </c>
      <c r="H2909" s="229" t="s">
        <v>265</v>
      </c>
      <c r="I2909" s="229" t="s">
        <v>7668</v>
      </c>
    </row>
    <row r="2910">
      <c r="A2910" s="233" t="s">
        <v>7669</v>
      </c>
      <c r="B2910" s="233" t="s">
        <v>7670</v>
      </c>
      <c r="C2910" s="233" t="s">
        <v>7671</v>
      </c>
      <c r="D2910" s="234">
        <v>45549.743101851855</v>
      </c>
      <c r="E2910" s="234"/>
      <c r="F2910" s="235" t="s">
        <v>339</v>
      </c>
      <c r="G2910" s="236" t="s">
        <v>1579</v>
      </c>
      <c r="H2910" s="233" t="s">
        <v>561</v>
      </c>
      <c r="I2910" s="233" t="s">
        <v>260</v>
      </c>
    </row>
    <row r="2911">
      <c r="A2911" s="233" t="s">
        <v>7672</v>
      </c>
      <c r="B2911" s="233" t="s">
        <v>7670</v>
      </c>
      <c r="C2911" s="233" t="s">
        <v>7671</v>
      </c>
      <c r="D2911" s="234">
        <v>45543.65840277778</v>
      </c>
      <c r="E2911" s="234"/>
      <c r="F2911" s="235" t="s">
        <v>538</v>
      </c>
      <c r="G2911" s="236" t="s">
        <v>7673</v>
      </c>
      <c r="H2911" s="233" t="s">
        <v>561</v>
      </c>
      <c r="I2911" s="233" t="s">
        <v>260</v>
      </c>
    </row>
    <row r="2912">
      <c r="A2912" s="229" t="s">
        <v>7674</v>
      </c>
      <c r="B2912" s="229" t="s">
        <v>7670</v>
      </c>
      <c r="C2912" s="229" t="s">
        <v>7671</v>
      </c>
      <c r="D2912" s="230">
        <v>45522.44961805556</v>
      </c>
      <c r="E2912" s="230"/>
      <c r="F2912" s="231" t="s">
        <v>503</v>
      </c>
      <c r="G2912" s="232" t="s">
        <v>7675</v>
      </c>
      <c r="H2912" s="229" t="s">
        <v>561</v>
      </c>
      <c r="I2912" s="229" t="s">
        <v>260</v>
      </c>
    </row>
    <row r="2913">
      <c r="A2913" s="233" t="s">
        <v>7676</v>
      </c>
      <c r="B2913" s="233" t="s">
        <v>7670</v>
      </c>
      <c r="C2913" s="233" t="s">
        <v>7677</v>
      </c>
      <c r="D2913" s="234">
        <v>45522.449016203704</v>
      </c>
      <c r="E2913" s="234"/>
      <c r="F2913" s="235" t="s">
        <v>291</v>
      </c>
      <c r="G2913" s="236" t="s">
        <v>3557</v>
      </c>
      <c r="H2913" s="233" t="s">
        <v>259</v>
      </c>
      <c r="I2913" s="233" t="s">
        <v>260</v>
      </c>
    </row>
    <row r="2914">
      <c r="A2914" s="233" t="s">
        <v>7678</v>
      </c>
      <c r="B2914" s="233" t="s">
        <v>7670</v>
      </c>
      <c r="C2914" s="233" t="s">
        <v>7677</v>
      </c>
      <c r="D2914" s="234">
        <v>45507.78837962963</v>
      </c>
      <c r="E2914" s="234"/>
      <c r="F2914" s="235" t="s">
        <v>465</v>
      </c>
      <c r="G2914" s="236" t="s">
        <v>7679</v>
      </c>
      <c r="H2914" s="233" t="s">
        <v>259</v>
      </c>
      <c r="I2914" s="233" t="s">
        <v>260</v>
      </c>
    </row>
    <row r="2915">
      <c r="A2915" s="233" t="s">
        <v>7680</v>
      </c>
      <c r="B2915" s="233" t="s">
        <v>7670</v>
      </c>
      <c r="C2915" s="233" t="s">
        <v>7671</v>
      </c>
      <c r="D2915" s="234">
        <v>45493.53565972222</v>
      </c>
      <c r="E2915" s="234"/>
      <c r="F2915" s="235" t="s">
        <v>339</v>
      </c>
      <c r="G2915" s="236" t="s">
        <v>7681</v>
      </c>
      <c r="H2915" s="233" t="s">
        <v>561</v>
      </c>
      <c r="I2915" s="233" t="s">
        <v>260</v>
      </c>
    </row>
    <row r="2916">
      <c r="A2916" s="229" t="s">
        <v>7682</v>
      </c>
      <c r="B2916" s="229" t="s">
        <v>7670</v>
      </c>
      <c r="C2916" s="229" t="s">
        <v>7677</v>
      </c>
      <c r="D2916" s="230">
        <v>45711.43607638889</v>
      </c>
      <c r="E2916" s="230">
        <v>45711.66327546296</v>
      </c>
      <c r="F2916" s="231" t="s">
        <v>291</v>
      </c>
      <c r="G2916" s="232" t="s">
        <v>577</v>
      </c>
      <c r="H2916" s="229" t="s">
        <v>259</v>
      </c>
      <c r="I2916" s="229" t="s">
        <v>260</v>
      </c>
    </row>
    <row r="2917">
      <c r="A2917" s="233" t="s">
        <v>7683</v>
      </c>
      <c r="B2917" s="233" t="s">
        <v>7670</v>
      </c>
      <c r="C2917" s="233" t="s">
        <v>7671</v>
      </c>
      <c r="D2917" s="234">
        <v>45704.44556712963</v>
      </c>
      <c r="E2917" s="234">
        <v>45704.4584837963</v>
      </c>
      <c r="F2917" s="235" t="s">
        <v>431</v>
      </c>
      <c r="G2917" s="236" t="s">
        <v>432</v>
      </c>
      <c r="H2917" s="233" t="s">
        <v>561</v>
      </c>
      <c r="I2917" s="233" t="s">
        <v>260</v>
      </c>
    </row>
    <row r="2918">
      <c r="A2918" s="229" t="s">
        <v>7684</v>
      </c>
      <c r="B2918" s="229" t="s">
        <v>7670</v>
      </c>
      <c r="C2918" s="229" t="s">
        <v>7677</v>
      </c>
      <c r="D2918" s="230">
        <v>45704.44505787037</v>
      </c>
      <c r="E2918" s="230">
        <v>45704.67040509259</v>
      </c>
      <c r="F2918" s="231" t="s">
        <v>317</v>
      </c>
      <c r="G2918" s="232" t="s">
        <v>680</v>
      </c>
      <c r="H2918" s="229" t="s">
        <v>259</v>
      </c>
      <c r="I2918" s="229" t="s">
        <v>260</v>
      </c>
    </row>
    <row r="2919">
      <c r="A2919" s="229" t="s">
        <v>7685</v>
      </c>
      <c r="B2919" s="229" t="s">
        <v>7670</v>
      </c>
      <c r="C2919" s="229" t="s">
        <v>7677</v>
      </c>
      <c r="D2919" s="230">
        <v>45759.8215625</v>
      </c>
      <c r="E2919" s="230">
        <v>45759.91321759259</v>
      </c>
      <c r="F2919" s="231" t="s">
        <v>1105</v>
      </c>
      <c r="G2919" s="232" t="s">
        <v>7686</v>
      </c>
      <c r="H2919" s="229" t="s">
        <v>259</v>
      </c>
      <c r="I2919" s="229" t="s">
        <v>260</v>
      </c>
    </row>
    <row r="2920">
      <c r="A2920" s="229" t="s">
        <v>7687</v>
      </c>
      <c r="B2920" s="229" t="s">
        <v>7688</v>
      </c>
      <c r="C2920" s="229" t="s">
        <v>7689</v>
      </c>
      <c r="D2920" s="230">
        <v>45536.82842592592</v>
      </c>
      <c r="E2920" s="243"/>
      <c r="F2920" s="231" t="s">
        <v>391</v>
      </c>
      <c r="G2920" s="232" t="s">
        <v>877</v>
      </c>
      <c r="H2920" s="229" t="s">
        <v>259</v>
      </c>
      <c r="I2920" s="229" t="s">
        <v>7690</v>
      </c>
    </row>
    <row r="2921">
      <c r="A2921" s="233" t="s">
        <v>7691</v>
      </c>
      <c r="B2921" s="233" t="s">
        <v>7688</v>
      </c>
      <c r="C2921" s="233" t="s">
        <v>7692</v>
      </c>
      <c r="D2921" s="234">
        <v>45508.89792824074</v>
      </c>
      <c r="E2921" s="234"/>
      <c r="F2921" s="235" t="s">
        <v>599</v>
      </c>
      <c r="G2921" s="236" t="s">
        <v>7693</v>
      </c>
      <c r="H2921" s="233" t="s">
        <v>259</v>
      </c>
      <c r="I2921" s="233" t="s">
        <v>7694</v>
      </c>
    </row>
    <row r="2922">
      <c r="A2922" s="233" t="s">
        <v>7695</v>
      </c>
      <c r="B2922" s="233" t="s">
        <v>7688</v>
      </c>
      <c r="C2922" s="233" t="s">
        <v>7692</v>
      </c>
      <c r="D2922" s="234">
        <v>45467.90305555556</v>
      </c>
      <c r="E2922" s="234"/>
      <c r="F2922" s="235" t="s">
        <v>599</v>
      </c>
      <c r="G2922" s="236" t="s">
        <v>7696</v>
      </c>
      <c r="H2922" s="233" t="s">
        <v>259</v>
      </c>
      <c r="I2922" s="233" t="s">
        <v>7694</v>
      </c>
    </row>
    <row r="2923">
      <c r="A2923" s="233" t="s">
        <v>7697</v>
      </c>
      <c r="B2923" s="233" t="s">
        <v>7698</v>
      </c>
      <c r="C2923" s="233" t="s">
        <v>7699</v>
      </c>
      <c r="D2923" s="234">
        <v>45547.8966087963</v>
      </c>
      <c r="E2923" s="234"/>
      <c r="F2923" s="235" t="s">
        <v>7700</v>
      </c>
      <c r="G2923" s="236" t="s">
        <v>7701</v>
      </c>
      <c r="H2923" s="233" t="s">
        <v>259</v>
      </c>
      <c r="I2923" s="233" t="s">
        <v>313</v>
      </c>
    </row>
    <row r="2924">
      <c r="A2924" s="229" t="s">
        <v>7702</v>
      </c>
      <c r="B2924" s="229" t="s">
        <v>7698</v>
      </c>
      <c r="C2924" s="229" t="s">
        <v>7703</v>
      </c>
      <c r="D2924" s="230">
        <v>45547.85789351852</v>
      </c>
      <c r="E2924" s="243"/>
      <c r="F2924" s="231" t="s">
        <v>7700</v>
      </c>
      <c r="G2924" s="232" t="s">
        <v>7701</v>
      </c>
      <c r="H2924" s="229" t="s">
        <v>259</v>
      </c>
      <c r="I2924" s="229" t="s">
        <v>313</v>
      </c>
    </row>
    <row r="2925">
      <c r="A2925" s="233" t="s">
        <v>7704</v>
      </c>
      <c r="B2925" s="233" t="s">
        <v>7698</v>
      </c>
      <c r="C2925" s="233" t="s">
        <v>7705</v>
      </c>
      <c r="D2925" s="234">
        <v>45450.731412037036</v>
      </c>
      <c r="E2925" s="234">
        <v>45451.26746527778</v>
      </c>
      <c r="F2925" s="235" t="s">
        <v>1954</v>
      </c>
      <c r="G2925" s="236" t="s">
        <v>7706</v>
      </c>
      <c r="H2925" s="233" t="s">
        <v>259</v>
      </c>
      <c r="I2925" s="233" t="s">
        <v>313</v>
      </c>
    </row>
    <row r="2926">
      <c r="A2926" s="233" t="s">
        <v>7707</v>
      </c>
      <c r="B2926" s="233" t="s">
        <v>7698</v>
      </c>
      <c r="C2926" s="233" t="s">
        <v>7708</v>
      </c>
      <c r="D2926" s="234">
        <v>45447.84994212963</v>
      </c>
      <c r="E2926" s="234">
        <v>45447.65283564815</v>
      </c>
      <c r="F2926" s="235" t="s">
        <v>7709</v>
      </c>
      <c r="G2926" s="236" t="s">
        <v>7710</v>
      </c>
      <c r="H2926" s="233" t="s">
        <v>632</v>
      </c>
      <c r="I2926" s="233" t="s">
        <v>313</v>
      </c>
    </row>
    <row r="2927">
      <c r="A2927" s="233" t="s">
        <v>7711</v>
      </c>
      <c r="B2927" s="233" t="s">
        <v>7712</v>
      </c>
      <c r="C2927" s="233" t="s">
        <v>7713</v>
      </c>
      <c r="D2927" s="234">
        <v>45734.645578703705</v>
      </c>
      <c r="E2927" s="234">
        <v>45737.54172453703</v>
      </c>
      <c r="F2927" s="235" t="s">
        <v>2966</v>
      </c>
      <c r="G2927" s="236" t="s">
        <v>7714</v>
      </c>
      <c r="H2927" s="233" t="s">
        <v>259</v>
      </c>
      <c r="I2927" s="233" t="s">
        <v>313</v>
      </c>
    </row>
    <row r="2928">
      <c r="A2928" s="233" t="s">
        <v>7715</v>
      </c>
      <c r="B2928" s="233" t="s">
        <v>7716</v>
      </c>
      <c r="C2928" s="233" t="s">
        <v>7717</v>
      </c>
      <c r="D2928" s="234">
        <v>45714.64699074074</v>
      </c>
      <c r="E2928" s="234">
        <v>45714.65634259259</v>
      </c>
      <c r="F2928" s="235" t="s">
        <v>988</v>
      </c>
      <c r="G2928" s="236" t="s">
        <v>7718</v>
      </c>
      <c r="H2928" s="233" t="s">
        <v>259</v>
      </c>
      <c r="I2928" s="233" t="s">
        <v>607</v>
      </c>
    </row>
    <row r="2929">
      <c r="A2929" s="233" t="s">
        <v>7719</v>
      </c>
      <c r="B2929" s="233" t="s">
        <v>7720</v>
      </c>
      <c r="C2929" s="233" t="s">
        <v>7721</v>
      </c>
      <c r="D2929" s="234">
        <v>45747.623761574076</v>
      </c>
      <c r="E2929" s="234">
        <v>45747.76055555556</v>
      </c>
      <c r="F2929" s="235" t="s">
        <v>380</v>
      </c>
      <c r="G2929" s="236" t="s">
        <v>3808</v>
      </c>
      <c r="H2929" s="233" t="s">
        <v>259</v>
      </c>
      <c r="I2929" s="233" t="s">
        <v>607</v>
      </c>
    </row>
    <row r="2930">
      <c r="A2930" s="233" t="s">
        <v>7722</v>
      </c>
      <c r="B2930" s="233" t="s">
        <v>7720</v>
      </c>
      <c r="C2930" s="233" t="s">
        <v>7721</v>
      </c>
      <c r="D2930" s="234">
        <v>45761.64457175926</v>
      </c>
      <c r="E2930" s="234">
        <v>45761.82302083333</v>
      </c>
      <c r="F2930" s="235" t="s">
        <v>380</v>
      </c>
      <c r="G2930" s="236" t="s">
        <v>453</v>
      </c>
      <c r="H2930" s="233" t="s">
        <v>259</v>
      </c>
      <c r="I2930" s="233" t="s">
        <v>607</v>
      </c>
    </row>
    <row r="2931">
      <c r="A2931" s="233" t="s">
        <v>7723</v>
      </c>
      <c r="B2931" s="233" t="s">
        <v>7724</v>
      </c>
      <c r="C2931" s="233" t="s">
        <v>7725</v>
      </c>
      <c r="D2931" s="234">
        <v>45745.62306712963</v>
      </c>
      <c r="E2931" s="234">
        <v>45745.87159722222</v>
      </c>
      <c r="F2931" s="235" t="s">
        <v>291</v>
      </c>
      <c r="G2931" s="236" t="s">
        <v>577</v>
      </c>
      <c r="H2931" s="233" t="s">
        <v>259</v>
      </c>
      <c r="I2931" s="233" t="s">
        <v>7726</v>
      </c>
    </row>
    <row r="2932">
      <c r="A2932" s="233" t="s">
        <v>7727</v>
      </c>
      <c r="B2932" s="233" t="s">
        <v>7728</v>
      </c>
      <c r="C2932" s="233" t="s">
        <v>2942</v>
      </c>
      <c r="D2932" s="234">
        <v>45542.52261574074</v>
      </c>
      <c r="E2932" s="234"/>
      <c r="F2932" s="235" t="s">
        <v>3550</v>
      </c>
      <c r="G2932" s="236" t="s">
        <v>7729</v>
      </c>
      <c r="H2932" s="233" t="s">
        <v>388</v>
      </c>
      <c r="I2932" s="233" t="s">
        <v>1250</v>
      </c>
    </row>
    <row r="2933">
      <c r="A2933" s="238" t="s">
        <v>7730</v>
      </c>
      <c r="B2933" s="238" t="s">
        <v>7728</v>
      </c>
      <c r="C2933" s="238" t="s">
        <v>7731</v>
      </c>
      <c r="D2933" s="239">
        <v>45534.90390046296</v>
      </c>
      <c r="E2933" s="239"/>
      <c r="F2933" s="240" t="s">
        <v>651</v>
      </c>
      <c r="G2933" s="241" t="s">
        <v>1560</v>
      </c>
      <c r="H2933" s="238" t="s">
        <v>811</v>
      </c>
      <c r="I2933" s="238" t="s">
        <v>1250</v>
      </c>
    </row>
    <row r="2934">
      <c r="A2934" s="233" t="s">
        <v>7732</v>
      </c>
      <c r="B2934" s="233" t="s">
        <v>7728</v>
      </c>
      <c r="C2934" s="233" t="s">
        <v>2942</v>
      </c>
      <c r="D2934" s="234">
        <v>45500.43164351852</v>
      </c>
      <c r="E2934" s="234"/>
      <c r="F2934" s="235" t="s">
        <v>542</v>
      </c>
      <c r="G2934" s="236" t="s">
        <v>7733</v>
      </c>
      <c r="H2934" s="233" t="s">
        <v>388</v>
      </c>
      <c r="I2934" s="233" t="s">
        <v>1250</v>
      </c>
    </row>
    <row r="2935">
      <c r="A2935" s="233" t="s">
        <v>7734</v>
      </c>
      <c r="B2935" s="233" t="s">
        <v>7728</v>
      </c>
      <c r="C2935" s="233" t="s">
        <v>7731</v>
      </c>
      <c r="D2935" s="234">
        <v>45489.885</v>
      </c>
      <c r="E2935" s="234"/>
      <c r="F2935" s="235" t="s">
        <v>1259</v>
      </c>
      <c r="G2935" s="236" t="s">
        <v>1260</v>
      </c>
      <c r="H2935" s="233" t="s">
        <v>346</v>
      </c>
      <c r="I2935" s="233" t="s">
        <v>1250</v>
      </c>
    </row>
    <row r="2936">
      <c r="A2936" s="233" t="s">
        <v>7734</v>
      </c>
      <c r="B2936" s="233" t="s">
        <v>7728</v>
      </c>
      <c r="C2936" s="233" t="s">
        <v>7731</v>
      </c>
      <c r="D2936" s="234">
        <v>45489.885</v>
      </c>
      <c r="E2936" s="234"/>
      <c r="F2936" s="235" t="s">
        <v>1259</v>
      </c>
      <c r="G2936" s="236" t="s">
        <v>1260</v>
      </c>
      <c r="H2936" s="233" t="s">
        <v>346</v>
      </c>
      <c r="I2936" s="233" t="s">
        <v>1250</v>
      </c>
    </row>
    <row r="2937">
      <c r="A2937" s="229" t="s">
        <v>7735</v>
      </c>
      <c r="B2937" s="229" t="s">
        <v>7728</v>
      </c>
      <c r="C2937" s="229" t="s">
        <v>2942</v>
      </c>
      <c r="D2937" s="230">
        <v>45473.768171296295</v>
      </c>
      <c r="E2937" s="230"/>
      <c r="F2937" s="231" t="s">
        <v>1105</v>
      </c>
      <c r="G2937" s="232" t="s">
        <v>7736</v>
      </c>
      <c r="H2937" s="229" t="s">
        <v>388</v>
      </c>
      <c r="I2937" s="229" t="s">
        <v>1250</v>
      </c>
    </row>
    <row r="2938">
      <c r="A2938" s="229" t="s">
        <v>7737</v>
      </c>
      <c r="B2938" s="229" t="s">
        <v>7728</v>
      </c>
      <c r="C2938" s="229" t="s">
        <v>2942</v>
      </c>
      <c r="D2938" s="230">
        <v>45451.65511574074</v>
      </c>
      <c r="E2938" s="230">
        <v>45451.46193287037</v>
      </c>
      <c r="F2938" s="231" t="s">
        <v>715</v>
      </c>
      <c r="G2938" s="232" t="s">
        <v>7738</v>
      </c>
      <c r="H2938" s="229" t="s">
        <v>388</v>
      </c>
      <c r="I2938" s="229" t="s">
        <v>1250</v>
      </c>
    </row>
    <row r="2939">
      <c r="A2939" s="229" t="s">
        <v>7739</v>
      </c>
      <c r="B2939" s="229" t="s">
        <v>7728</v>
      </c>
      <c r="C2939" s="229" t="s">
        <v>2942</v>
      </c>
      <c r="D2939" s="230">
        <v>45431.556759259256</v>
      </c>
      <c r="E2939" s="230">
        <v>45431.36127314815</v>
      </c>
      <c r="F2939" s="231" t="s">
        <v>715</v>
      </c>
      <c r="G2939" s="232" t="s">
        <v>7738</v>
      </c>
      <c r="H2939" s="229" t="s">
        <v>388</v>
      </c>
      <c r="I2939" s="229" t="s">
        <v>1250</v>
      </c>
    </row>
    <row r="2940">
      <c r="A2940" s="229" t="s">
        <v>7740</v>
      </c>
      <c r="B2940" s="229" t="s">
        <v>7728</v>
      </c>
      <c r="C2940" s="229" t="s">
        <v>2942</v>
      </c>
      <c r="D2940" s="230">
        <v>45745.749456018515</v>
      </c>
      <c r="E2940" s="230">
        <v>45747.47578703704</v>
      </c>
      <c r="F2940" s="231" t="s">
        <v>5912</v>
      </c>
      <c r="G2940" s="232" t="s">
        <v>7741</v>
      </c>
      <c r="H2940" s="229" t="s">
        <v>388</v>
      </c>
      <c r="I2940" s="229" t="s">
        <v>1250</v>
      </c>
    </row>
    <row r="2941">
      <c r="A2941" s="229" t="s">
        <v>7742</v>
      </c>
      <c r="B2941" s="229" t="s">
        <v>7728</v>
      </c>
      <c r="C2941" s="229" t="s">
        <v>2942</v>
      </c>
      <c r="D2941" s="230">
        <v>45760.49636574074</v>
      </c>
      <c r="E2941" s="230">
        <v>45761.47927083333</v>
      </c>
      <c r="F2941" s="231" t="s">
        <v>1779</v>
      </c>
      <c r="G2941" s="232" t="s">
        <v>7743</v>
      </c>
      <c r="H2941" s="229" t="s">
        <v>388</v>
      </c>
      <c r="I2941" s="229" t="s">
        <v>1250</v>
      </c>
    </row>
    <row r="2942">
      <c r="A2942" s="229" t="s">
        <v>7744</v>
      </c>
      <c r="B2942" s="229" t="s">
        <v>7745</v>
      </c>
      <c r="C2942" s="229" t="s">
        <v>748</v>
      </c>
      <c r="D2942" s="230">
        <v>45536.52363425926</v>
      </c>
      <c r="E2942" s="230"/>
      <c r="F2942" s="231" t="s">
        <v>339</v>
      </c>
      <c r="G2942" s="232" t="s">
        <v>1133</v>
      </c>
      <c r="H2942" s="229" t="s">
        <v>259</v>
      </c>
      <c r="I2942" s="229" t="s">
        <v>531</v>
      </c>
    </row>
    <row r="2943">
      <c r="A2943" s="229" t="s">
        <v>7746</v>
      </c>
      <c r="B2943" s="229" t="s">
        <v>7745</v>
      </c>
      <c r="C2943" s="229" t="s">
        <v>7747</v>
      </c>
      <c r="D2943" s="230">
        <v>45704.57225694445</v>
      </c>
      <c r="E2943" s="230">
        <v>45704.58018518519</v>
      </c>
      <c r="F2943" s="231" t="s">
        <v>431</v>
      </c>
      <c r="G2943" s="232" t="s">
        <v>2555</v>
      </c>
      <c r="H2943" s="229" t="s">
        <v>265</v>
      </c>
      <c r="I2943" s="229" t="s">
        <v>260</v>
      </c>
    </row>
    <row r="2944">
      <c r="A2944" s="233" t="s">
        <v>7748</v>
      </c>
      <c r="B2944" s="233" t="s">
        <v>7745</v>
      </c>
      <c r="C2944" s="233" t="s">
        <v>7749</v>
      </c>
      <c r="D2944" s="234">
        <v>45735.52206018518</v>
      </c>
      <c r="E2944" s="234">
        <v>45735.5521875</v>
      </c>
      <c r="F2944" s="235" t="s">
        <v>7123</v>
      </c>
      <c r="G2944" s="236" t="s">
        <v>7750</v>
      </c>
      <c r="H2944" s="233" t="s">
        <v>259</v>
      </c>
      <c r="I2944" s="233" t="s">
        <v>260</v>
      </c>
    </row>
    <row r="2945">
      <c r="A2945" s="229" t="s">
        <v>7751</v>
      </c>
      <c r="B2945" s="229" t="s">
        <v>7745</v>
      </c>
      <c r="C2945" s="229" t="s">
        <v>7747</v>
      </c>
      <c r="D2945" s="230">
        <v>45733.55840277778</v>
      </c>
      <c r="E2945" s="230">
        <v>45733.56951388889</v>
      </c>
      <c r="F2945" s="231" t="s">
        <v>538</v>
      </c>
      <c r="G2945" s="232" t="s">
        <v>4008</v>
      </c>
      <c r="H2945" s="229" t="s">
        <v>265</v>
      </c>
      <c r="I2945" s="229" t="s">
        <v>260</v>
      </c>
    </row>
    <row r="2946">
      <c r="A2946" s="233" t="s">
        <v>7752</v>
      </c>
      <c r="B2946" s="233" t="s">
        <v>7745</v>
      </c>
      <c r="C2946" s="233" t="s">
        <v>7747</v>
      </c>
      <c r="D2946" s="234">
        <v>45776.61759259259</v>
      </c>
      <c r="E2946" s="234">
        <v>45776.628530092596</v>
      </c>
      <c r="F2946" s="235" t="s">
        <v>503</v>
      </c>
      <c r="G2946" s="236" t="s">
        <v>2104</v>
      </c>
      <c r="H2946" s="233" t="s">
        <v>265</v>
      </c>
      <c r="I2946" s="233" t="s">
        <v>260</v>
      </c>
    </row>
    <row r="2947">
      <c r="A2947" s="233" t="s">
        <v>7753</v>
      </c>
      <c r="B2947" s="233" t="s">
        <v>7745</v>
      </c>
      <c r="C2947" s="233" t="s">
        <v>7747</v>
      </c>
      <c r="D2947" s="234">
        <v>45760.48857638889</v>
      </c>
      <c r="E2947" s="234">
        <v>45760.500127314815</v>
      </c>
      <c r="F2947" s="235" t="s">
        <v>470</v>
      </c>
      <c r="G2947" s="236" t="s">
        <v>790</v>
      </c>
      <c r="H2947" s="233" t="s">
        <v>265</v>
      </c>
      <c r="I2947" s="233" t="s">
        <v>260</v>
      </c>
    </row>
    <row r="2948">
      <c r="A2948" s="229" t="s">
        <v>7754</v>
      </c>
      <c r="B2948" s="229" t="s">
        <v>7755</v>
      </c>
      <c r="C2948" s="229" t="s">
        <v>7756</v>
      </c>
      <c r="D2948" s="230">
        <v>45501.52023148148</v>
      </c>
      <c r="E2948" s="230"/>
      <c r="F2948" s="231" t="s">
        <v>2920</v>
      </c>
      <c r="G2948" s="232" t="s">
        <v>2920</v>
      </c>
      <c r="H2948" s="229" t="s">
        <v>5339</v>
      </c>
      <c r="I2948" s="229" t="s">
        <v>1633</v>
      </c>
    </row>
    <row r="2949">
      <c r="A2949" s="233" t="s">
        <v>7757</v>
      </c>
      <c r="B2949" s="233" t="s">
        <v>7755</v>
      </c>
      <c r="C2949" s="233" t="s">
        <v>7756</v>
      </c>
      <c r="D2949" s="234">
        <v>45501.51939814815</v>
      </c>
      <c r="E2949" s="242"/>
      <c r="F2949" s="235" t="s">
        <v>391</v>
      </c>
      <c r="G2949" s="236" t="s">
        <v>391</v>
      </c>
      <c r="H2949" s="233" t="s">
        <v>5339</v>
      </c>
      <c r="I2949" s="233" t="s">
        <v>1633</v>
      </c>
    </row>
    <row r="2950">
      <c r="A2950" s="233" t="s">
        <v>7758</v>
      </c>
      <c r="B2950" s="233" t="s">
        <v>7755</v>
      </c>
      <c r="C2950" s="233" t="s">
        <v>7756</v>
      </c>
      <c r="D2950" s="234">
        <v>45711.47767361111</v>
      </c>
      <c r="E2950" s="234">
        <v>45712.663252314815</v>
      </c>
      <c r="F2950" s="235" t="s">
        <v>2920</v>
      </c>
      <c r="G2950" s="236" t="s">
        <v>2920</v>
      </c>
      <c r="H2950" s="233" t="s">
        <v>5339</v>
      </c>
      <c r="I2950" s="233" t="s">
        <v>1633</v>
      </c>
    </row>
    <row r="2951">
      <c r="A2951" s="233" t="s">
        <v>7759</v>
      </c>
      <c r="B2951" s="233" t="s">
        <v>7755</v>
      </c>
      <c r="C2951" s="233" t="s">
        <v>7756</v>
      </c>
      <c r="D2951" s="234">
        <v>45706.45091435185</v>
      </c>
      <c r="E2951" s="234">
        <v>45706.54866898148</v>
      </c>
      <c r="F2951" s="235" t="s">
        <v>538</v>
      </c>
      <c r="G2951" s="236" t="s">
        <v>538</v>
      </c>
      <c r="H2951" s="233" t="s">
        <v>5339</v>
      </c>
      <c r="I2951" s="233" t="s">
        <v>1633</v>
      </c>
    </row>
    <row r="2952">
      <c r="A2952" s="229" t="s">
        <v>7760</v>
      </c>
      <c r="B2952" s="229" t="s">
        <v>7755</v>
      </c>
      <c r="C2952" s="229" t="s">
        <v>7756</v>
      </c>
      <c r="D2952" s="230">
        <v>45746.5825</v>
      </c>
      <c r="E2952" s="230">
        <v>45748.57302083333</v>
      </c>
      <c r="F2952" s="231" t="s">
        <v>503</v>
      </c>
      <c r="G2952" s="232" t="s">
        <v>503</v>
      </c>
      <c r="H2952" s="229" t="s">
        <v>1632</v>
      </c>
      <c r="I2952" s="229" t="s">
        <v>1633</v>
      </c>
    </row>
    <row r="2953">
      <c r="A2953" s="229" t="s">
        <v>7761</v>
      </c>
      <c r="B2953" s="229" t="s">
        <v>7755</v>
      </c>
      <c r="C2953" s="229" t="s">
        <v>7756</v>
      </c>
      <c r="D2953" s="230">
        <v>45773.8908912037</v>
      </c>
      <c r="E2953" s="230">
        <v>45775.54520833334</v>
      </c>
      <c r="F2953" s="231" t="s">
        <v>1082</v>
      </c>
      <c r="G2953" s="232" t="s">
        <v>1082</v>
      </c>
      <c r="H2953" s="229" t="s">
        <v>1632</v>
      </c>
      <c r="I2953" s="229" t="s">
        <v>1633</v>
      </c>
    </row>
    <row r="2954">
      <c r="A2954" s="233" t="s">
        <v>7762</v>
      </c>
      <c r="B2954" s="233" t="s">
        <v>7755</v>
      </c>
      <c r="C2954" s="233" t="s">
        <v>7756</v>
      </c>
      <c r="D2954" s="234">
        <v>45773.81048611111</v>
      </c>
      <c r="E2954" s="234">
        <v>45775.54520833334</v>
      </c>
      <c r="F2954" s="235" t="s">
        <v>538</v>
      </c>
      <c r="G2954" s="236" t="s">
        <v>538</v>
      </c>
      <c r="H2954" s="233" t="s">
        <v>1632</v>
      </c>
      <c r="I2954" s="233" t="s">
        <v>1633</v>
      </c>
    </row>
    <row r="2955">
      <c r="A2955" s="233" t="s">
        <v>7763</v>
      </c>
      <c r="B2955" s="233" t="s">
        <v>7755</v>
      </c>
      <c r="C2955" s="233" t="s">
        <v>7756</v>
      </c>
      <c r="D2955" s="234">
        <v>45759.90746527778</v>
      </c>
      <c r="E2955" s="234">
        <v>45761.541863425926</v>
      </c>
      <c r="F2955" s="235" t="s">
        <v>250</v>
      </c>
      <c r="G2955" s="236" t="s">
        <v>250</v>
      </c>
      <c r="H2955" s="233" t="s">
        <v>1632</v>
      </c>
      <c r="I2955" s="233" t="s">
        <v>1633</v>
      </c>
    </row>
    <row r="2956">
      <c r="A2956" s="233" t="s">
        <v>7764</v>
      </c>
      <c r="B2956" s="233" t="s">
        <v>7765</v>
      </c>
      <c r="C2956" s="233" t="s">
        <v>4649</v>
      </c>
      <c r="D2956" s="234">
        <v>45543.72619212963</v>
      </c>
      <c r="E2956" s="234"/>
      <c r="F2956" s="235" t="s">
        <v>651</v>
      </c>
      <c r="G2956" s="236" t="s">
        <v>6794</v>
      </c>
      <c r="H2956" s="233" t="s">
        <v>259</v>
      </c>
      <c r="I2956" s="233" t="s">
        <v>260</v>
      </c>
    </row>
    <row r="2957">
      <c r="A2957" s="229" t="s">
        <v>7766</v>
      </c>
      <c r="B2957" s="229" t="s">
        <v>7767</v>
      </c>
      <c r="C2957" s="229" t="s">
        <v>7768</v>
      </c>
      <c r="D2957" s="230">
        <v>45515.78084490741</v>
      </c>
      <c r="E2957" s="230"/>
      <c r="F2957" s="231" t="s">
        <v>281</v>
      </c>
      <c r="G2957" s="232" t="s">
        <v>1012</v>
      </c>
      <c r="H2957" s="229" t="s">
        <v>319</v>
      </c>
      <c r="I2957" s="229" t="s">
        <v>6714</v>
      </c>
    </row>
    <row r="2958">
      <c r="A2958" s="229" t="s">
        <v>7769</v>
      </c>
      <c r="B2958" s="229" t="s">
        <v>7770</v>
      </c>
      <c r="C2958" s="229" t="s">
        <v>7771</v>
      </c>
      <c r="D2958" s="230">
        <v>45553.89140046296</v>
      </c>
      <c r="E2958" s="230"/>
      <c r="F2958" s="231" t="s">
        <v>7772</v>
      </c>
      <c r="G2958" s="232" t="s">
        <v>7773</v>
      </c>
      <c r="H2958" s="229" t="s">
        <v>259</v>
      </c>
      <c r="I2958" s="229" t="s">
        <v>640</v>
      </c>
    </row>
    <row r="2959">
      <c r="A2959" s="233" t="s">
        <v>7774</v>
      </c>
      <c r="B2959" s="233" t="s">
        <v>7770</v>
      </c>
      <c r="C2959" s="233" t="s">
        <v>7775</v>
      </c>
      <c r="D2959" s="234">
        <v>45535.77055555556</v>
      </c>
      <c r="E2959" s="234"/>
      <c r="F2959" s="235" t="s">
        <v>1199</v>
      </c>
      <c r="G2959" s="236" t="s">
        <v>7776</v>
      </c>
      <c r="H2959" s="233" t="s">
        <v>265</v>
      </c>
      <c r="I2959" s="233" t="s">
        <v>640</v>
      </c>
    </row>
    <row r="2960">
      <c r="A2960" s="229" t="s">
        <v>7777</v>
      </c>
      <c r="B2960" s="229" t="s">
        <v>7770</v>
      </c>
      <c r="C2960" s="229" t="s">
        <v>7775</v>
      </c>
      <c r="D2960" s="230">
        <v>45531.88974537037</v>
      </c>
      <c r="E2960" s="230"/>
      <c r="F2960" s="231" t="s">
        <v>2473</v>
      </c>
      <c r="G2960" s="232" t="s">
        <v>7778</v>
      </c>
      <c r="H2960" s="229" t="s">
        <v>265</v>
      </c>
      <c r="I2960" s="229" t="s">
        <v>640</v>
      </c>
    </row>
    <row r="2961">
      <c r="A2961" s="229" t="s">
        <v>7779</v>
      </c>
      <c r="B2961" s="229" t="s">
        <v>7780</v>
      </c>
      <c r="C2961" s="229" t="s">
        <v>7781</v>
      </c>
      <c r="D2961" s="230">
        <v>45535.852800925924</v>
      </c>
      <c r="E2961" s="230"/>
      <c r="F2961" s="231" t="s">
        <v>580</v>
      </c>
      <c r="G2961" s="232" t="s">
        <v>7782</v>
      </c>
      <c r="H2961" s="229" t="s">
        <v>811</v>
      </c>
      <c r="I2961" s="229" t="s">
        <v>2361</v>
      </c>
    </row>
    <row r="2962">
      <c r="A2962" s="233" t="s">
        <v>7783</v>
      </c>
      <c r="B2962" s="233" t="s">
        <v>7780</v>
      </c>
      <c r="C2962" s="233" t="s">
        <v>7781</v>
      </c>
      <c r="D2962" s="234">
        <v>45535.849710648145</v>
      </c>
      <c r="E2962" s="242"/>
      <c r="F2962" s="235" t="s">
        <v>391</v>
      </c>
      <c r="G2962" s="236" t="s">
        <v>392</v>
      </c>
      <c r="H2962" s="233" t="s">
        <v>811</v>
      </c>
      <c r="I2962" s="233" t="s">
        <v>2361</v>
      </c>
    </row>
    <row r="2963">
      <c r="A2963" s="229" t="s">
        <v>7784</v>
      </c>
      <c r="B2963" s="229" t="s">
        <v>7785</v>
      </c>
      <c r="C2963" s="229" t="s">
        <v>7786</v>
      </c>
      <c r="D2963" s="230">
        <v>45486.76806712963</v>
      </c>
      <c r="E2963" s="230"/>
      <c r="F2963" s="231" t="s">
        <v>503</v>
      </c>
      <c r="G2963" s="232" t="s">
        <v>6729</v>
      </c>
      <c r="H2963" s="229" t="s">
        <v>319</v>
      </c>
      <c r="I2963" s="229" t="s">
        <v>7787</v>
      </c>
    </row>
    <row r="2964">
      <c r="A2964" s="229" t="s">
        <v>7784</v>
      </c>
      <c r="B2964" s="229" t="s">
        <v>7785</v>
      </c>
      <c r="C2964" s="229" t="s">
        <v>7786</v>
      </c>
      <c r="D2964" s="230">
        <v>45486.76806712963</v>
      </c>
      <c r="E2964" s="230"/>
      <c r="F2964" s="231" t="s">
        <v>503</v>
      </c>
      <c r="G2964" s="232" t="s">
        <v>6729</v>
      </c>
      <c r="H2964" s="229" t="s">
        <v>319</v>
      </c>
      <c r="I2964" s="229" t="s">
        <v>7787</v>
      </c>
    </row>
    <row r="2965">
      <c r="A2965" s="229" t="s">
        <v>7788</v>
      </c>
      <c r="B2965" s="229" t="s">
        <v>7785</v>
      </c>
      <c r="C2965" s="229" t="s">
        <v>7789</v>
      </c>
      <c r="D2965" s="230">
        <v>45459.79951388889</v>
      </c>
      <c r="E2965" s="230">
        <v>45462.368125</v>
      </c>
      <c r="F2965" s="231" t="s">
        <v>503</v>
      </c>
      <c r="G2965" s="232" t="s">
        <v>7790</v>
      </c>
      <c r="H2965" s="229" t="s">
        <v>319</v>
      </c>
      <c r="I2965" s="229" t="s">
        <v>7787</v>
      </c>
    </row>
    <row r="2966">
      <c r="A2966" s="229" t="s">
        <v>7791</v>
      </c>
      <c r="B2966" s="229" t="s">
        <v>7785</v>
      </c>
      <c r="C2966" s="229" t="s">
        <v>7792</v>
      </c>
      <c r="D2966" s="230">
        <v>45440.82984953704</v>
      </c>
      <c r="E2966" s="230">
        <v>45443.281273148146</v>
      </c>
      <c r="F2966" s="231" t="s">
        <v>465</v>
      </c>
      <c r="G2966" s="232" t="s">
        <v>7793</v>
      </c>
      <c r="H2966" s="229" t="s">
        <v>319</v>
      </c>
      <c r="I2966" s="229" t="s">
        <v>7787</v>
      </c>
    </row>
    <row r="2967">
      <c r="A2967" s="233" t="s">
        <v>7794</v>
      </c>
      <c r="B2967" s="233" t="s">
        <v>7785</v>
      </c>
      <c r="C2967" s="233" t="s">
        <v>7789</v>
      </c>
      <c r="D2967" s="234">
        <v>45750.83841435185</v>
      </c>
      <c r="E2967" s="234">
        <v>45751.71193287037</v>
      </c>
      <c r="F2967" s="235" t="s">
        <v>715</v>
      </c>
      <c r="G2967" s="236" t="s">
        <v>7795</v>
      </c>
      <c r="H2967" s="233" t="s">
        <v>319</v>
      </c>
      <c r="I2967" s="233" t="s">
        <v>7787</v>
      </c>
    </row>
    <row r="2968">
      <c r="A2968" s="229" t="s">
        <v>7796</v>
      </c>
      <c r="B2968" s="229" t="s">
        <v>7797</v>
      </c>
      <c r="C2968" s="229" t="s">
        <v>1569</v>
      </c>
      <c r="D2968" s="230">
        <v>45711.53328703704</v>
      </c>
      <c r="E2968" s="230">
        <v>45712.48625</v>
      </c>
      <c r="F2968" s="231" t="s">
        <v>698</v>
      </c>
      <c r="G2968" s="232" t="s">
        <v>7798</v>
      </c>
      <c r="H2968" s="229" t="s">
        <v>356</v>
      </c>
      <c r="I2968" s="229" t="s">
        <v>1571</v>
      </c>
    </row>
    <row r="2969">
      <c r="A2969" s="229" t="s">
        <v>7799</v>
      </c>
      <c r="B2969" s="229" t="s">
        <v>7797</v>
      </c>
      <c r="C2969" s="229" t="s">
        <v>1569</v>
      </c>
      <c r="D2969" s="230">
        <v>45704.77149305555</v>
      </c>
      <c r="E2969" s="230">
        <v>45704.79518518518</v>
      </c>
      <c r="F2969" s="231" t="s">
        <v>250</v>
      </c>
      <c r="G2969" s="232" t="s">
        <v>7800</v>
      </c>
      <c r="H2969" s="229" t="s">
        <v>356</v>
      </c>
      <c r="I2969" s="229" t="s">
        <v>1571</v>
      </c>
    </row>
    <row r="2970">
      <c r="A2970" s="229" t="s">
        <v>7801</v>
      </c>
      <c r="B2970" s="229" t="s">
        <v>7802</v>
      </c>
      <c r="C2970" s="229" t="s">
        <v>7803</v>
      </c>
      <c r="D2970" s="230">
        <v>45777.488541666666</v>
      </c>
      <c r="E2970" s="230">
        <v>45777.753530092596</v>
      </c>
      <c r="F2970" s="231" t="s">
        <v>7123</v>
      </c>
      <c r="G2970" s="232" t="s">
        <v>7124</v>
      </c>
      <c r="H2970" s="229" t="s">
        <v>259</v>
      </c>
      <c r="I2970" s="229" t="s">
        <v>1775</v>
      </c>
    </row>
    <row r="2971">
      <c r="A2971" s="229" t="s">
        <v>7804</v>
      </c>
      <c r="B2971" s="229" t="s">
        <v>7805</v>
      </c>
      <c r="C2971" s="229" t="s">
        <v>5666</v>
      </c>
      <c r="D2971" s="230">
        <v>45738.5469212963</v>
      </c>
      <c r="E2971" s="230">
        <v>45738.55918981481</v>
      </c>
      <c r="F2971" s="231" t="s">
        <v>503</v>
      </c>
      <c r="G2971" s="232" t="s">
        <v>2883</v>
      </c>
      <c r="H2971" s="229" t="s">
        <v>561</v>
      </c>
      <c r="I2971" s="229" t="s">
        <v>549</v>
      </c>
    </row>
    <row r="2972">
      <c r="A2972" s="229" t="s">
        <v>7806</v>
      </c>
      <c r="B2972" s="229" t="s">
        <v>7807</v>
      </c>
      <c r="C2972" s="229" t="s">
        <v>7808</v>
      </c>
      <c r="D2972" s="230">
        <v>45506.57034722222</v>
      </c>
      <c r="E2972" s="230"/>
      <c r="F2972" s="231" t="s">
        <v>7809</v>
      </c>
      <c r="G2972" s="232" t="s">
        <v>7810</v>
      </c>
      <c r="H2972" s="229" t="s">
        <v>293</v>
      </c>
      <c r="I2972" s="229" t="s">
        <v>549</v>
      </c>
    </row>
    <row r="2973">
      <c r="A2973" s="229" t="s">
        <v>7811</v>
      </c>
      <c r="B2973" s="229" t="s">
        <v>7807</v>
      </c>
      <c r="C2973" s="229" t="s">
        <v>7808</v>
      </c>
      <c r="D2973" s="230">
        <v>45459.517592592594</v>
      </c>
      <c r="E2973" s="230">
        <v>45463.54866898148</v>
      </c>
      <c r="F2973" s="231" t="s">
        <v>7812</v>
      </c>
      <c r="G2973" s="232" t="s">
        <v>7813</v>
      </c>
      <c r="H2973" s="229" t="s">
        <v>293</v>
      </c>
      <c r="I2973" s="229" t="s">
        <v>549</v>
      </c>
    </row>
    <row r="2974">
      <c r="A2974" s="229" t="s">
        <v>7814</v>
      </c>
      <c r="B2974" s="229" t="s">
        <v>7807</v>
      </c>
      <c r="C2974" s="229" t="s">
        <v>7815</v>
      </c>
      <c r="D2974" s="230">
        <v>45709.66587962963</v>
      </c>
      <c r="E2974" s="230">
        <v>45710.63203703704</v>
      </c>
      <c r="F2974" s="231" t="s">
        <v>7816</v>
      </c>
      <c r="G2974" s="232" t="s">
        <v>7817</v>
      </c>
      <c r="H2974" s="229" t="s">
        <v>259</v>
      </c>
      <c r="I2974" s="229" t="s">
        <v>399</v>
      </c>
    </row>
    <row r="2975">
      <c r="A2975" s="229" t="s">
        <v>7818</v>
      </c>
      <c r="B2975" s="229" t="s">
        <v>7807</v>
      </c>
      <c r="C2975" s="229" t="s">
        <v>5666</v>
      </c>
      <c r="D2975" s="230">
        <v>45745.570081018515</v>
      </c>
      <c r="E2975" s="230">
        <v>45745.57996527778</v>
      </c>
      <c r="F2975" s="231" t="s">
        <v>503</v>
      </c>
      <c r="G2975" s="232" t="s">
        <v>7819</v>
      </c>
      <c r="H2975" s="229" t="s">
        <v>259</v>
      </c>
      <c r="I2975" s="229" t="s">
        <v>549</v>
      </c>
    </row>
    <row r="2976">
      <c r="A2976" s="233" t="s">
        <v>7820</v>
      </c>
      <c r="B2976" s="233" t="s">
        <v>7807</v>
      </c>
      <c r="C2976" s="233" t="s">
        <v>7808</v>
      </c>
      <c r="D2976" s="234">
        <v>45737.78734953704</v>
      </c>
      <c r="E2976" s="237"/>
      <c r="F2976" s="235" t="s">
        <v>317</v>
      </c>
      <c r="G2976" s="236" t="s">
        <v>7821</v>
      </c>
      <c r="H2976" s="233" t="s">
        <v>293</v>
      </c>
      <c r="I2976" s="233" t="s">
        <v>549</v>
      </c>
    </row>
    <row r="2977">
      <c r="A2977" s="233" t="s">
        <v>7822</v>
      </c>
      <c r="B2977" s="233" t="s">
        <v>7807</v>
      </c>
      <c r="C2977" s="233" t="s">
        <v>5666</v>
      </c>
      <c r="D2977" s="234">
        <v>45773.59003472222</v>
      </c>
      <c r="E2977" s="234">
        <v>45773.60083333333</v>
      </c>
      <c r="F2977" s="235" t="s">
        <v>538</v>
      </c>
      <c r="G2977" s="236" t="s">
        <v>7823</v>
      </c>
      <c r="H2977" s="233" t="s">
        <v>259</v>
      </c>
      <c r="I2977" s="233" t="s">
        <v>549</v>
      </c>
    </row>
    <row r="2978">
      <c r="A2978" s="229" t="s">
        <v>7824</v>
      </c>
      <c r="B2978" s="229" t="s">
        <v>7825</v>
      </c>
      <c r="C2978" s="229" t="s">
        <v>7826</v>
      </c>
      <c r="D2978" s="230">
        <v>45773.65008101852</v>
      </c>
      <c r="E2978" s="230">
        <v>45773.66328703704</v>
      </c>
      <c r="F2978" s="231" t="s">
        <v>988</v>
      </c>
      <c r="G2978" s="232" t="s">
        <v>7827</v>
      </c>
      <c r="H2978" s="229" t="s">
        <v>561</v>
      </c>
      <c r="I2978" s="229" t="s">
        <v>7828</v>
      </c>
    </row>
    <row r="2979">
      <c r="A2979" s="229" t="s">
        <v>7829</v>
      </c>
      <c r="B2979" s="229" t="s">
        <v>7830</v>
      </c>
      <c r="C2979" s="229" t="s">
        <v>7831</v>
      </c>
      <c r="D2979" s="230">
        <v>45542.8690162037</v>
      </c>
      <c r="E2979" s="230"/>
      <c r="F2979" s="231" t="s">
        <v>715</v>
      </c>
      <c r="G2979" s="232" t="s">
        <v>7832</v>
      </c>
      <c r="H2979" s="229" t="s">
        <v>265</v>
      </c>
      <c r="I2979" s="229" t="s">
        <v>461</v>
      </c>
    </row>
    <row r="2980">
      <c r="A2980" s="233" t="s">
        <v>7833</v>
      </c>
      <c r="B2980" s="233" t="s">
        <v>7830</v>
      </c>
      <c r="C2980" s="233" t="s">
        <v>7831</v>
      </c>
      <c r="D2980" s="234">
        <v>45528.855266203704</v>
      </c>
      <c r="E2980" s="234"/>
      <c r="F2980" s="235" t="s">
        <v>1092</v>
      </c>
      <c r="G2980" s="236" t="s">
        <v>7834</v>
      </c>
      <c r="H2980" s="233" t="s">
        <v>265</v>
      </c>
      <c r="I2980" s="233" t="s">
        <v>461</v>
      </c>
    </row>
    <row r="2981">
      <c r="A2981" s="233" t="s">
        <v>7835</v>
      </c>
      <c r="B2981" s="233" t="s">
        <v>7830</v>
      </c>
      <c r="C2981" s="233" t="s">
        <v>7831</v>
      </c>
      <c r="D2981" s="234">
        <v>45703.62616898148</v>
      </c>
      <c r="E2981" s="234">
        <v>45703.63553240741</v>
      </c>
      <c r="F2981" s="235" t="s">
        <v>470</v>
      </c>
      <c r="G2981" s="236" t="s">
        <v>790</v>
      </c>
      <c r="H2981" s="233" t="s">
        <v>265</v>
      </c>
      <c r="I2981" s="233" t="s">
        <v>461</v>
      </c>
    </row>
    <row r="2982">
      <c r="A2982" s="229" t="s">
        <v>7836</v>
      </c>
      <c r="B2982" s="229" t="s">
        <v>7830</v>
      </c>
      <c r="C2982" s="229" t="s">
        <v>7831</v>
      </c>
      <c r="D2982" s="230">
        <v>45759.69880787037</v>
      </c>
      <c r="E2982" s="230">
        <v>45759.70847222222</v>
      </c>
      <c r="F2982" s="231" t="s">
        <v>470</v>
      </c>
      <c r="G2982" s="232" t="s">
        <v>7837</v>
      </c>
      <c r="H2982" s="229" t="s">
        <v>265</v>
      </c>
      <c r="I2982" s="229" t="s">
        <v>461</v>
      </c>
    </row>
    <row r="2983">
      <c r="A2983" s="229" t="s">
        <v>7838</v>
      </c>
      <c r="B2983" s="229" t="s">
        <v>7839</v>
      </c>
      <c r="C2983" s="229" t="s">
        <v>7840</v>
      </c>
      <c r="D2983" s="230">
        <v>45708.482766203706</v>
      </c>
      <c r="E2983" s="230">
        <v>45708.70846064815</v>
      </c>
      <c r="F2983" s="231" t="s">
        <v>706</v>
      </c>
      <c r="G2983" s="232" t="s">
        <v>7841</v>
      </c>
      <c r="H2983" s="229" t="s">
        <v>259</v>
      </c>
      <c r="I2983" s="229" t="s">
        <v>3732</v>
      </c>
    </row>
    <row r="2984">
      <c r="A2984" s="233" t="s">
        <v>7842</v>
      </c>
      <c r="B2984" s="233" t="s">
        <v>7843</v>
      </c>
      <c r="C2984" s="233" t="s">
        <v>7844</v>
      </c>
      <c r="D2984" s="234">
        <v>45704.74685185185</v>
      </c>
      <c r="E2984" s="234">
        <v>45704.7674537037</v>
      </c>
      <c r="F2984" s="235" t="s">
        <v>291</v>
      </c>
      <c r="G2984" s="236" t="s">
        <v>577</v>
      </c>
      <c r="H2984" s="233" t="s">
        <v>265</v>
      </c>
      <c r="I2984" s="233" t="s">
        <v>7845</v>
      </c>
    </row>
    <row r="2985">
      <c r="A2985" s="233" t="s">
        <v>7846</v>
      </c>
      <c r="B2985" s="233" t="s">
        <v>7847</v>
      </c>
      <c r="C2985" s="233" t="s">
        <v>7848</v>
      </c>
      <c r="D2985" s="234">
        <v>45549.52488425926</v>
      </c>
      <c r="E2985" s="234"/>
      <c r="F2985" s="235" t="s">
        <v>1432</v>
      </c>
      <c r="G2985" s="236" t="s">
        <v>7849</v>
      </c>
      <c r="H2985" s="233" t="s">
        <v>265</v>
      </c>
      <c r="I2985" s="233" t="s">
        <v>2840</v>
      </c>
    </row>
    <row r="2986">
      <c r="A2986" s="233" t="s">
        <v>7850</v>
      </c>
      <c r="B2986" s="233" t="s">
        <v>7847</v>
      </c>
      <c r="C2986" s="233" t="s">
        <v>7848</v>
      </c>
      <c r="D2986" s="234">
        <v>45456.47641203704</v>
      </c>
      <c r="E2986" s="234">
        <v>45457.31607638889</v>
      </c>
      <c r="F2986" s="235" t="s">
        <v>1779</v>
      </c>
      <c r="G2986" s="236" t="s">
        <v>3912</v>
      </c>
      <c r="H2986" s="233" t="s">
        <v>265</v>
      </c>
      <c r="I2986" s="233" t="s">
        <v>2840</v>
      </c>
    </row>
    <row r="2987">
      <c r="A2987" s="229" t="s">
        <v>7851</v>
      </c>
      <c r="B2987" s="229" t="s">
        <v>7847</v>
      </c>
      <c r="C2987" s="229" t="s">
        <v>7848</v>
      </c>
      <c r="D2987" s="230">
        <v>45710.61712962963</v>
      </c>
      <c r="E2987" s="230">
        <v>45712.62855324074</v>
      </c>
      <c r="F2987" s="231" t="s">
        <v>439</v>
      </c>
      <c r="G2987" s="232" t="s">
        <v>440</v>
      </c>
      <c r="H2987" s="229" t="s">
        <v>265</v>
      </c>
      <c r="I2987" s="229" t="s">
        <v>2840</v>
      </c>
    </row>
    <row r="2988">
      <c r="A2988" s="233" t="s">
        <v>7852</v>
      </c>
      <c r="B2988" s="233" t="s">
        <v>7847</v>
      </c>
      <c r="C2988" s="233" t="s">
        <v>7848</v>
      </c>
      <c r="D2988" s="234">
        <v>45745.51493055555</v>
      </c>
      <c r="E2988" s="234">
        <v>45746.67716435185</v>
      </c>
      <c r="F2988" s="235" t="s">
        <v>380</v>
      </c>
      <c r="G2988" s="236" t="s">
        <v>7853</v>
      </c>
      <c r="H2988" s="233" t="s">
        <v>265</v>
      </c>
      <c r="I2988" s="233" t="s">
        <v>2840</v>
      </c>
    </row>
    <row r="2989">
      <c r="A2989" s="233" t="s">
        <v>7854</v>
      </c>
      <c r="B2989" s="233" t="s">
        <v>7855</v>
      </c>
      <c r="C2989" s="233" t="s">
        <v>7856</v>
      </c>
      <c r="D2989" s="234">
        <v>45554.55521990741</v>
      </c>
      <c r="E2989" s="234"/>
      <c r="F2989" s="235" t="s">
        <v>431</v>
      </c>
      <c r="G2989" s="236" t="s">
        <v>7857</v>
      </c>
      <c r="H2989" s="233" t="s">
        <v>561</v>
      </c>
      <c r="I2989" s="233" t="s">
        <v>567</v>
      </c>
    </row>
    <row r="2990">
      <c r="A2990" s="229" t="s">
        <v>7858</v>
      </c>
      <c r="B2990" s="229" t="s">
        <v>7855</v>
      </c>
      <c r="C2990" s="229" t="s">
        <v>2651</v>
      </c>
      <c r="D2990" s="230">
        <v>45509.61539351852</v>
      </c>
      <c r="E2990" s="230"/>
      <c r="F2990" s="231" t="s">
        <v>1320</v>
      </c>
      <c r="G2990" s="232" t="s">
        <v>7859</v>
      </c>
      <c r="H2990" s="229" t="s">
        <v>561</v>
      </c>
      <c r="I2990" s="229" t="s">
        <v>2647</v>
      </c>
    </row>
    <row r="2991">
      <c r="A2991" s="229" t="s">
        <v>7860</v>
      </c>
      <c r="B2991" s="229" t="s">
        <v>7855</v>
      </c>
      <c r="C2991" s="229" t="s">
        <v>7861</v>
      </c>
      <c r="D2991" s="230">
        <v>45505.48478009259</v>
      </c>
      <c r="E2991" s="230"/>
      <c r="F2991" s="231" t="s">
        <v>722</v>
      </c>
      <c r="G2991" s="232" t="s">
        <v>7862</v>
      </c>
      <c r="H2991" s="229" t="s">
        <v>259</v>
      </c>
      <c r="I2991" s="229" t="s">
        <v>1512</v>
      </c>
    </row>
    <row r="2992">
      <c r="A2992" s="229" t="s">
        <v>7863</v>
      </c>
      <c r="B2992" s="229" t="s">
        <v>7855</v>
      </c>
      <c r="C2992" s="229" t="s">
        <v>7864</v>
      </c>
      <c r="D2992" s="230">
        <v>45497.58775462963</v>
      </c>
      <c r="E2992" s="243"/>
      <c r="F2992" s="231" t="s">
        <v>722</v>
      </c>
      <c r="G2992" s="232" t="s">
        <v>7865</v>
      </c>
      <c r="H2992" s="229" t="s">
        <v>7866</v>
      </c>
      <c r="I2992" s="229" t="s">
        <v>7867</v>
      </c>
    </row>
    <row r="2993">
      <c r="A2993" s="233" t="s">
        <v>7868</v>
      </c>
      <c r="B2993" s="233" t="s">
        <v>7855</v>
      </c>
      <c r="C2993" s="233" t="s">
        <v>7861</v>
      </c>
      <c r="D2993" s="234">
        <v>45497.586550925924</v>
      </c>
      <c r="E2993" s="234"/>
      <c r="F2993" s="235" t="s">
        <v>1124</v>
      </c>
      <c r="G2993" s="236" t="s">
        <v>569</v>
      </c>
      <c r="H2993" s="233" t="s">
        <v>259</v>
      </c>
      <c r="I2993" s="233" t="s">
        <v>1512</v>
      </c>
    </row>
    <row r="2994">
      <c r="A2994" s="229" t="s">
        <v>7869</v>
      </c>
      <c r="B2994" s="229" t="s">
        <v>7855</v>
      </c>
      <c r="C2994" s="229" t="s">
        <v>7870</v>
      </c>
      <c r="D2994" s="230">
        <v>45497.585914351854</v>
      </c>
      <c r="E2994" s="230"/>
      <c r="F2994" s="231" t="s">
        <v>722</v>
      </c>
      <c r="G2994" s="232" t="s">
        <v>4925</v>
      </c>
      <c r="H2994" s="229" t="s">
        <v>319</v>
      </c>
      <c r="I2994" s="229" t="s">
        <v>7871</v>
      </c>
    </row>
    <row r="2995">
      <c r="A2995" s="233" t="s">
        <v>7872</v>
      </c>
      <c r="B2995" s="233" t="s">
        <v>7855</v>
      </c>
      <c r="C2995" s="233" t="s">
        <v>7861</v>
      </c>
      <c r="D2995" s="234">
        <v>45493.90857638889</v>
      </c>
      <c r="E2995" s="234"/>
      <c r="F2995" s="235" t="s">
        <v>765</v>
      </c>
      <c r="G2995" s="236" t="s">
        <v>7873</v>
      </c>
      <c r="H2995" s="233" t="s">
        <v>259</v>
      </c>
      <c r="I2995" s="233" t="s">
        <v>1512</v>
      </c>
    </row>
    <row r="2996">
      <c r="A2996" s="229" t="s">
        <v>7874</v>
      </c>
      <c r="B2996" s="229" t="s">
        <v>7855</v>
      </c>
      <c r="C2996" s="229" t="s">
        <v>7870</v>
      </c>
      <c r="D2996" s="230">
        <v>45491.662824074076</v>
      </c>
      <c r="E2996" s="230"/>
      <c r="F2996" s="231" t="s">
        <v>503</v>
      </c>
      <c r="G2996" s="232" t="s">
        <v>7875</v>
      </c>
      <c r="H2996" s="229" t="s">
        <v>319</v>
      </c>
      <c r="I2996" s="229" t="s">
        <v>7871</v>
      </c>
    </row>
    <row r="2997">
      <c r="A2997" s="229" t="s">
        <v>7874</v>
      </c>
      <c r="B2997" s="229" t="s">
        <v>7855</v>
      </c>
      <c r="C2997" s="229" t="s">
        <v>7870</v>
      </c>
      <c r="D2997" s="230">
        <v>45491.662824074076</v>
      </c>
      <c r="E2997" s="230"/>
      <c r="F2997" s="231" t="s">
        <v>503</v>
      </c>
      <c r="G2997" s="232" t="s">
        <v>7875</v>
      </c>
      <c r="H2997" s="229" t="s">
        <v>319</v>
      </c>
      <c r="I2997" s="229" t="s">
        <v>7871</v>
      </c>
    </row>
    <row r="2998">
      <c r="A2998" s="229" t="s">
        <v>7876</v>
      </c>
      <c r="B2998" s="229" t="s">
        <v>7855</v>
      </c>
      <c r="C2998" s="229" t="s">
        <v>7861</v>
      </c>
      <c r="D2998" s="230">
        <v>45482.60204861111</v>
      </c>
      <c r="E2998" s="230"/>
      <c r="F2998" s="231" t="s">
        <v>3415</v>
      </c>
      <c r="G2998" s="232" t="s">
        <v>7877</v>
      </c>
      <c r="H2998" s="229" t="s">
        <v>259</v>
      </c>
      <c r="I2998" s="229" t="s">
        <v>1512</v>
      </c>
    </row>
    <row r="2999">
      <c r="A2999" s="233" t="s">
        <v>7878</v>
      </c>
      <c r="B2999" s="233" t="s">
        <v>7855</v>
      </c>
      <c r="C2999" s="233" t="s">
        <v>7861</v>
      </c>
      <c r="D2999" s="234">
        <v>45464.4969212963</v>
      </c>
      <c r="E2999" s="234"/>
      <c r="F2999" s="235" t="s">
        <v>658</v>
      </c>
      <c r="G2999" s="236" t="s">
        <v>6222</v>
      </c>
      <c r="H2999" s="233" t="s">
        <v>259</v>
      </c>
      <c r="I2999" s="233" t="s">
        <v>1512</v>
      </c>
    </row>
    <row r="3000">
      <c r="A3000" s="229" t="s">
        <v>7879</v>
      </c>
      <c r="B3000" s="229" t="s">
        <v>7855</v>
      </c>
      <c r="C3000" s="229" t="s">
        <v>7861</v>
      </c>
      <c r="D3000" s="230">
        <v>45463.53071759259</v>
      </c>
      <c r="E3000" s="230"/>
      <c r="F3000" s="231" t="s">
        <v>250</v>
      </c>
      <c r="G3000" s="232" t="s">
        <v>3866</v>
      </c>
      <c r="H3000" s="229" t="s">
        <v>259</v>
      </c>
      <c r="I3000" s="229" t="s">
        <v>1512</v>
      </c>
    </row>
    <row r="3001">
      <c r="A3001" s="229" t="s">
        <v>7880</v>
      </c>
      <c r="B3001" s="229" t="s">
        <v>7855</v>
      </c>
      <c r="C3001" s="229" t="s">
        <v>7881</v>
      </c>
      <c r="D3001" s="230">
        <v>45462.57722222222</v>
      </c>
      <c r="E3001" s="230"/>
      <c r="F3001" s="231" t="s">
        <v>1652</v>
      </c>
      <c r="G3001" s="232" t="s">
        <v>2189</v>
      </c>
      <c r="H3001" s="229" t="s">
        <v>561</v>
      </c>
      <c r="I3001" s="229" t="s">
        <v>2647</v>
      </c>
    </row>
    <row r="3002">
      <c r="A3002" s="229" t="s">
        <v>7880</v>
      </c>
      <c r="B3002" s="229" t="s">
        <v>7855</v>
      </c>
      <c r="C3002" s="229" t="s">
        <v>7881</v>
      </c>
      <c r="D3002" s="230">
        <v>45462.57722222222</v>
      </c>
      <c r="E3002" s="230">
        <v>45462.40283564815</v>
      </c>
      <c r="F3002" s="231" t="s">
        <v>1652</v>
      </c>
      <c r="G3002" s="232" t="s">
        <v>2189</v>
      </c>
      <c r="H3002" s="229" t="s">
        <v>561</v>
      </c>
      <c r="I3002" s="229" t="s">
        <v>2647</v>
      </c>
    </row>
    <row r="3003">
      <c r="A3003" s="233" t="s">
        <v>7882</v>
      </c>
      <c r="B3003" s="233" t="s">
        <v>7855</v>
      </c>
      <c r="C3003" s="233" t="s">
        <v>2645</v>
      </c>
      <c r="D3003" s="234">
        <v>45455.59886574074</v>
      </c>
      <c r="E3003" s="234">
        <v>45455.40282407407</v>
      </c>
      <c r="F3003" s="235" t="s">
        <v>1343</v>
      </c>
      <c r="G3003" s="236" t="s">
        <v>7883</v>
      </c>
      <c r="H3003" s="233" t="s">
        <v>561</v>
      </c>
      <c r="I3003" s="233" t="s">
        <v>7884</v>
      </c>
    </row>
    <row r="3004">
      <c r="A3004" s="229" t="s">
        <v>7885</v>
      </c>
      <c r="B3004" s="229" t="s">
        <v>7855</v>
      </c>
      <c r="C3004" s="229" t="s">
        <v>7861</v>
      </c>
      <c r="D3004" s="230">
        <v>45455.59662037037</v>
      </c>
      <c r="E3004" s="230">
        <v>45455.399409722224</v>
      </c>
      <c r="F3004" s="231" t="s">
        <v>7886</v>
      </c>
      <c r="G3004" s="232" t="s">
        <v>7887</v>
      </c>
      <c r="H3004" s="229" t="s">
        <v>259</v>
      </c>
      <c r="I3004" s="229" t="s">
        <v>1512</v>
      </c>
    </row>
    <row r="3005">
      <c r="A3005" s="233" t="s">
        <v>7888</v>
      </c>
      <c r="B3005" s="233" t="s">
        <v>7855</v>
      </c>
      <c r="C3005" s="233" t="s">
        <v>7861</v>
      </c>
      <c r="D3005" s="234">
        <v>45711.861296296294</v>
      </c>
      <c r="E3005" s="234">
        <v>45711.87153935185</v>
      </c>
      <c r="F3005" s="235" t="s">
        <v>722</v>
      </c>
      <c r="G3005" s="236" t="s">
        <v>3287</v>
      </c>
      <c r="H3005" s="233" t="s">
        <v>265</v>
      </c>
      <c r="I3005" s="233" t="s">
        <v>1512</v>
      </c>
    </row>
    <row r="3006">
      <c r="A3006" s="233" t="s">
        <v>7889</v>
      </c>
      <c r="B3006" s="233" t="s">
        <v>7855</v>
      </c>
      <c r="C3006" s="233" t="s">
        <v>7890</v>
      </c>
      <c r="D3006" s="234">
        <v>45703.86832175926</v>
      </c>
      <c r="E3006" s="234">
        <v>45703.878483796296</v>
      </c>
      <c r="F3006" s="235" t="s">
        <v>7891</v>
      </c>
      <c r="G3006" s="236" t="s">
        <v>7892</v>
      </c>
      <c r="H3006" s="233" t="s">
        <v>259</v>
      </c>
      <c r="I3006" s="233" t="s">
        <v>1512</v>
      </c>
    </row>
    <row r="3007">
      <c r="A3007" s="229" t="s">
        <v>7893</v>
      </c>
      <c r="B3007" s="229" t="s">
        <v>7894</v>
      </c>
      <c r="C3007" s="229" t="s">
        <v>7895</v>
      </c>
      <c r="D3007" s="230">
        <v>45518.766851851855</v>
      </c>
      <c r="E3007" s="230"/>
      <c r="F3007" s="231" t="s">
        <v>498</v>
      </c>
      <c r="G3007" s="232" t="s">
        <v>2237</v>
      </c>
      <c r="H3007" s="229" t="s">
        <v>356</v>
      </c>
      <c r="I3007" s="229" t="s">
        <v>490</v>
      </c>
    </row>
    <row r="3008">
      <c r="A3008" s="229" t="s">
        <v>7896</v>
      </c>
      <c r="B3008" s="229" t="s">
        <v>7894</v>
      </c>
      <c r="C3008" s="229" t="s">
        <v>7897</v>
      </c>
      <c r="D3008" s="230">
        <v>45469.912303240744</v>
      </c>
      <c r="E3008" s="230"/>
      <c r="F3008" s="231" t="s">
        <v>706</v>
      </c>
      <c r="G3008" s="232" t="s">
        <v>7898</v>
      </c>
      <c r="H3008" s="229" t="s">
        <v>356</v>
      </c>
      <c r="I3008" s="229" t="s">
        <v>490</v>
      </c>
    </row>
    <row r="3009">
      <c r="A3009" s="233" t="s">
        <v>7899</v>
      </c>
      <c r="B3009" s="233" t="s">
        <v>7894</v>
      </c>
      <c r="C3009" s="233" t="s">
        <v>7900</v>
      </c>
      <c r="D3009" s="234">
        <v>45455.84107638889</v>
      </c>
      <c r="E3009" s="234">
        <v>45457.57650462963</v>
      </c>
      <c r="F3009" s="235" t="s">
        <v>4140</v>
      </c>
      <c r="G3009" s="236" t="s">
        <v>7901</v>
      </c>
      <c r="H3009" s="233" t="s">
        <v>356</v>
      </c>
      <c r="I3009" s="233" t="s">
        <v>490</v>
      </c>
    </row>
    <row r="3010">
      <c r="A3010" s="229" t="s">
        <v>7902</v>
      </c>
      <c r="B3010" s="229" t="s">
        <v>7894</v>
      </c>
      <c r="C3010" s="229" t="s">
        <v>7903</v>
      </c>
      <c r="D3010" s="230">
        <v>45455.83840277778</v>
      </c>
      <c r="E3010" s="230">
        <v>45456.19792824074</v>
      </c>
      <c r="F3010" s="231" t="s">
        <v>4140</v>
      </c>
      <c r="G3010" s="232" t="s">
        <v>7901</v>
      </c>
      <c r="H3010" s="229" t="s">
        <v>356</v>
      </c>
      <c r="I3010" s="229" t="s">
        <v>490</v>
      </c>
    </row>
    <row r="3011">
      <c r="A3011" s="233" t="s">
        <v>7904</v>
      </c>
      <c r="B3011" s="233" t="s">
        <v>7894</v>
      </c>
      <c r="C3011" s="233" t="s">
        <v>7897</v>
      </c>
      <c r="D3011" s="234">
        <v>45455.836909722224</v>
      </c>
      <c r="E3011" s="234">
        <v>45457.36814814815</v>
      </c>
      <c r="F3011" s="235" t="s">
        <v>498</v>
      </c>
      <c r="G3011" s="236" t="s">
        <v>2237</v>
      </c>
      <c r="H3011" s="233" t="s">
        <v>356</v>
      </c>
      <c r="I3011" s="233" t="s">
        <v>490</v>
      </c>
    </row>
    <row r="3012">
      <c r="A3012" s="229" t="s">
        <v>7905</v>
      </c>
      <c r="B3012" s="229" t="s">
        <v>7894</v>
      </c>
      <c r="C3012" s="229" t="s">
        <v>7897</v>
      </c>
      <c r="D3012" s="230">
        <v>45736.83322916667</v>
      </c>
      <c r="E3012" s="230">
        <v>45738.47576388889</v>
      </c>
      <c r="F3012" s="231" t="s">
        <v>706</v>
      </c>
      <c r="G3012" s="232" t="s">
        <v>7906</v>
      </c>
      <c r="H3012" s="229" t="s">
        <v>356</v>
      </c>
      <c r="I3012" s="229" t="s">
        <v>490</v>
      </c>
    </row>
    <row r="3013">
      <c r="A3013" s="233" t="s">
        <v>7907</v>
      </c>
      <c r="B3013" s="233" t="s">
        <v>7894</v>
      </c>
      <c r="C3013" s="233" t="s">
        <v>7897</v>
      </c>
      <c r="D3013" s="234">
        <v>45750.49018518518</v>
      </c>
      <c r="E3013" s="234">
        <v>45751.74668981481</v>
      </c>
      <c r="F3013" s="235" t="s">
        <v>503</v>
      </c>
      <c r="G3013" s="236" t="s">
        <v>7908</v>
      </c>
      <c r="H3013" s="233" t="s">
        <v>356</v>
      </c>
      <c r="I3013" s="233" t="s">
        <v>490</v>
      </c>
    </row>
    <row r="3014">
      <c r="A3014" s="229" t="s">
        <v>7909</v>
      </c>
      <c r="B3014" s="229" t="s">
        <v>7910</v>
      </c>
      <c r="C3014" s="229" t="s">
        <v>7911</v>
      </c>
      <c r="D3014" s="230">
        <v>45501.49863425926</v>
      </c>
      <c r="E3014" s="230"/>
      <c r="F3014" s="231" t="s">
        <v>350</v>
      </c>
      <c r="G3014" s="232" t="s">
        <v>7912</v>
      </c>
      <c r="H3014" s="229" t="s">
        <v>377</v>
      </c>
      <c r="I3014" s="229" t="s">
        <v>1714</v>
      </c>
    </row>
    <row r="3015">
      <c r="A3015" s="233" t="s">
        <v>7913</v>
      </c>
      <c r="B3015" s="233" t="s">
        <v>7910</v>
      </c>
      <c r="C3015" s="233" t="s">
        <v>4297</v>
      </c>
      <c r="D3015" s="234">
        <v>45501.49524305556</v>
      </c>
      <c r="E3015" s="234"/>
      <c r="F3015" s="235" t="s">
        <v>465</v>
      </c>
      <c r="G3015" s="236" t="s">
        <v>7914</v>
      </c>
      <c r="H3015" s="233" t="s">
        <v>377</v>
      </c>
      <c r="I3015" s="233" t="s">
        <v>284</v>
      </c>
    </row>
    <row r="3016">
      <c r="A3016" s="229" t="s">
        <v>7915</v>
      </c>
      <c r="B3016" s="229" t="s">
        <v>7910</v>
      </c>
      <c r="C3016" s="229" t="s">
        <v>4297</v>
      </c>
      <c r="D3016" s="230">
        <v>45738.68934027778</v>
      </c>
      <c r="E3016" s="230">
        <v>45738.767488425925</v>
      </c>
      <c r="F3016" s="231" t="s">
        <v>488</v>
      </c>
      <c r="G3016" s="232" t="s">
        <v>2913</v>
      </c>
      <c r="H3016" s="229" t="s">
        <v>377</v>
      </c>
      <c r="I3016" s="229" t="s">
        <v>284</v>
      </c>
    </row>
    <row r="3017">
      <c r="A3017" s="229" t="s">
        <v>7916</v>
      </c>
      <c r="B3017" s="229" t="s">
        <v>7910</v>
      </c>
      <c r="C3017" s="229" t="s">
        <v>4297</v>
      </c>
      <c r="D3017" s="230">
        <v>45775.50517361111</v>
      </c>
      <c r="E3017" s="230">
        <v>45775.54174768519</v>
      </c>
      <c r="F3017" s="231" t="s">
        <v>350</v>
      </c>
      <c r="G3017" s="232" t="s">
        <v>4028</v>
      </c>
      <c r="H3017" s="229" t="s">
        <v>377</v>
      </c>
      <c r="I3017" s="229" t="s">
        <v>284</v>
      </c>
    </row>
    <row r="3018">
      <c r="A3018" s="233" t="s">
        <v>7917</v>
      </c>
      <c r="B3018" s="233" t="s">
        <v>7918</v>
      </c>
      <c r="C3018" s="233" t="s">
        <v>2046</v>
      </c>
      <c r="D3018" s="234">
        <v>45502.718148148146</v>
      </c>
      <c r="E3018" s="234"/>
      <c r="F3018" s="235" t="s">
        <v>503</v>
      </c>
      <c r="G3018" s="236" t="s">
        <v>7919</v>
      </c>
      <c r="H3018" s="233" t="s">
        <v>259</v>
      </c>
      <c r="I3018" s="233" t="s">
        <v>786</v>
      </c>
    </row>
    <row r="3019">
      <c r="A3019" s="233" t="s">
        <v>7920</v>
      </c>
      <c r="B3019" s="233" t="s">
        <v>7921</v>
      </c>
      <c r="C3019" s="233" t="s">
        <v>3814</v>
      </c>
      <c r="D3019" s="234">
        <v>45523.818020833336</v>
      </c>
      <c r="E3019" s="234"/>
      <c r="F3019" s="235" t="s">
        <v>840</v>
      </c>
      <c r="G3019" s="236" t="s">
        <v>7922</v>
      </c>
      <c r="H3019" s="233" t="s">
        <v>632</v>
      </c>
      <c r="I3019" s="233" t="s">
        <v>1731</v>
      </c>
    </row>
    <row r="3020">
      <c r="A3020" s="233" t="s">
        <v>7920</v>
      </c>
      <c r="B3020" s="233" t="s">
        <v>7921</v>
      </c>
      <c r="C3020" s="233" t="s">
        <v>3814</v>
      </c>
      <c r="D3020" s="234">
        <v>45523.818020833336</v>
      </c>
      <c r="E3020" s="234"/>
      <c r="F3020" s="235" t="s">
        <v>840</v>
      </c>
      <c r="G3020" s="236" t="s">
        <v>7922</v>
      </c>
      <c r="H3020" s="233" t="s">
        <v>632</v>
      </c>
      <c r="I3020" s="233" t="s">
        <v>1731</v>
      </c>
    </row>
    <row r="3021">
      <c r="A3021" s="229" t="s">
        <v>7923</v>
      </c>
      <c r="B3021" s="229" t="s">
        <v>7921</v>
      </c>
      <c r="C3021" s="229" t="s">
        <v>3814</v>
      </c>
      <c r="D3021" s="230">
        <v>45473.61108796296</v>
      </c>
      <c r="E3021" s="230"/>
      <c r="F3021" s="231" t="s">
        <v>380</v>
      </c>
      <c r="G3021" s="232" t="s">
        <v>7924</v>
      </c>
      <c r="H3021" s="229" t="s">
        <v>632</v>
      </c>
      <c r="I3021" s="229" t="s">
        <v>1731</v>
      </c>
    </row>
    <row r="3022">
      <c r="A3022" s="233" t="s">
        <v>7925</v>
      </c>
      <c r="B3022" s="233" t="s">
        <v>7921</v>
      </c>
      <c r="C3022" s="233" t="s">
        <v>3814</v>
      </c>
      <c r="D3022" s="234">
        <v>45703.54246527778</v>
      </c>
      <c r="E3022" s="234">
        <v>45709.54524305555</v>
      </c>
      <c r="F3022" s="235" t="s">
        <v>706</v>
      </c>
      <c r="G3022" s="236" t="s">
        <v>1975</v>
      </c>
      <c r="H3022" s="233" t="s">
        <v>632</v>
      </c>
      <c r="I3022" s="233" t="s">
        <v>1731</v>
      </c>
    </row>
    <row r="3023">
      <c r="A3023" s="229" t="s">
        <v>7926</v>
      </c>
      <c r="B3023" s="229" t="s">
        <v>7927</v>
      </c>
      <c r="C3023" s="229" t="s">
        <v>7928</v>
      </c>
      <c r="D3023" s="230">
        <v>45447.876238425924</v>
      </c>
      <c r="E3023" s="230">
        <v>45447.677141203705</v>
      </c>
      <c r="F3023" s="231" t="s">
        <v>538</v>
      </c>
      <c r="G3023" s="232" t="s">
        <v>7929</v>
      </c>
      <c r="H3023" s="229" t="s">
        <v>561</v>
      </c>
      <c r="I3023" s="229" t="s">
        <v>2012</v>
      </c>
    </row>
    <row r="3024">
      <c r="A3024" s="233" t="s">
        <v>7930</v>
      </c>
      <c r="B3024" s="233" t="s">
        <v>7931</v>
      </c>
      <c r="C3024" s="233" t="s">
        <v>2000</v>
      </c>
      <c r="D3024" s="234">
        <v>45544.74298611111</v>
      </c>
      <c r="E3024" s="234"/>
      <c r="F3024" s="235" t="s">
        <v>269</v>
      </c>
      <c r="G3024" s="236" t="s">
        <v>269</v>
      </c>
      <c r="H3024" s="233" t="s">
        <v>2001</v>
      </c>
      <c r="I3024" s="233" t="s">
        <v>2723</v>
      </c>
    </row>
    <row r="3025">
      <c r="A3025" s="229" t="s">
        <v>7932</v>
      </c>
      <c r="B3025" s="229" t="s">
        <v>7933</v>
      </c>
      <c r="C3025" s="229" t="s">
        <v>7934</v>
      </c>
      <c r="D3025" s="230">
        <v>45549.61614583333</v>
      </c>
      <c r="E3025" s="230"/>
      <c r="F3025" s="231" t="s">
        <v>6351</v>
      </c>
      <c r="G3025" s="232" t="s">
        <v>7935</v>
      </c>
      <c r="H3025" s="229" t="s">
        <v>561</v>
      </c>
      <c r="I3025" s="229" t="s">
        <v>1080</v>
      </c>
    </row>
    <row r="3026">
      <c r="A3026" s="233" t="s">
        <v>7936</v>
      </c>
      <c r="B3026" s="233" t="s">
        <v>7933</v>
      </c>
      <c r="C3026" s="233" t="s">
        <v>7937</v>
      </c>
      <c r="D3026" s="234">
        <v>45523.86145833333</v>
      </c>
      <c r="E3026" s="234"/>
      <c r="F3026" s="235" t="s">
        <v>503</v>
      </c>
      <c r="G3026" s="236" t="s">
        <v>7938</v>
      </c>
      <c r="H3026" s="233" t="s">
        <v>319</v>
      </c>
      <c r="I3026" s="233" t="s">
        <v>7628</v>
      </c>
    </row>
    <row r="3027">
      <c r="A3027" s="233" t="s">
        <v>7936</v>
      </c>
      <c r="B3027" s="233" t="s">
        <v>7933</v>
      </c>
      <c r="C3027" s="233" t="s">
        <v>7937</v>
      </c>
      <c r="D3027" s="234">
        <v>45523.86145833333</v>
      </c>
      <c r="E3027" s="234"/>
      <c r="F3027" s="235" t="s">
        <v>503</v>
      </c>
      <c r="G3027" s="236" t="s">
        <v>7938</v>
      </c>
      <c r="H3027" s="233" t="s">
        <v>319</v>
      </c>
      <c r="I3027" s="233" t="s">
        <v>7628</v>
      </c>
    </row>
    <row r="3028">
      <c r="A3028" s="229" t="s">
        <v>7939</v>
      </c>
      <c r="B3028" s="229" t="s">
        <v>7940</v>
      </c>
      <c r="C3028" s="229" t="s">
        <v>5666</v>
      </c>
      <c r="D3028" s="230">
        <v>45550.59353009259</v>
      </c>
      <c r="E3028" s="243"/>
      <c r="F3028" s="231" t="s">
        <v>503</v>
      </c>
      <c r="G3028" s="232" t="s">
        <v>4670</v>
      </c>
      <c r="H3028" s="229" t="s">
        <v>293</v>
      </c>
      <c r="I3028" s="229" t="s">
        <v>549</v>
      </c>
    </row>
    <row r="3029">
      <c r="A3029" s="233" t="s">
        <v>7941</v>
      </c>
      <c r="B3029" s="233" t="s">
        <v>7940</v>
      </c>
      <c r="C3029" s="233" t="s">
        <v>5666</v>
      </c>
      <c r="D3029" s="234">
        <v>45550.59306712963</v>
      </c>
      <c r="E3029" s="242"/>
      <c r="F3029" s="235" t="s">
        <v>391</v>
      </c>
      <c r="G3029" s="236" t="s">
        <v>877</v>
      </c>
      <c r="H3029" s="233" t="s">
        <v>259</v>
      </c>
      <c r="I3029" s="233" t="s">
        <v>6340</v>
      </c>
    </row>
    <row r="3030">
      <c r="A3030" s="229" t="s">
        <v>7942</v>
      </c>
      <c r="B3030" s="229" t="s">
        <v>7940</v>
      </c>
      <c r="C3030" s="229" t="s">
        <v>5666</v>
      </c>
      <c r="D3030" s="230">
        <v>45550.591631944444</v>
      </c>
      <c r="E3030" s="243"/>
      <c r="F3030" s="231" t="s">
        <v>391</v>
      </c>
      <c r="G3030" s="232" t="s">
        <v>877</v>
      </c>
      <c r="H3030" s="229" t="s">
        <v>259</v>
      </c>
      <c r="I3030" s="229" t="s">
        <v>399</v>
      </c>
    </row>
    <row r="3031">
      <c r="A3031" s="233" t="s">
        <v>7943</v>
      </c>
      <c r="B3031" s="233" t="s">
        <v>7940</v>
      </c>
      <c r="C3031" s="233" t="s">
        <v>5666</v>
      </c>
      <c r="D3031" s="234">
        <v>45548.83898148148</v>
      </c>
      <c r="E3031" s="234"/>
      <c r="F3031" s="235" t="s">
        <v>538</v>
      </c>
      <c r="G3031" s="236" t="s">
        <v>5573</v>
      </c>
      <c r="H3031" s="233" t="s">
        <v>259</v>
      </c>
      <c r="I3031" s="233" t="s">
        <v>399</v>
      </c>
    </row>
    <row r="3032">
      <c r="A3032" s="233" t="s">
        <v>7944</v>
      </c>
      <c r="B3032" s="233" t="s">
        <v>7940</v>
      </c>
      <c r="C3032" s="233" t="s">
        <v>7945</v>
      </c>
      <c r="D3032" s="234">
        <v>45542.70582175926</v>
      </c>
      <c r="E3032" s="234"/>
      <c r="F3032" s="235" t="s">
        <v>503</v>
      </c>
      <c r="G3032" s="236" t="s">
        <v>619</v>
      </c>
      <c r="H3032" s="233" t="s">
        <v>259</v>
      </c>
      <c r="I3032" s="233" t="s">
        <v>3292</v>
      </c>
    </row>
    <row r="3033">
      <c r="A3033" s="229" t="s">
        <v>7946</v>
      </c>
      <c r="B3033" s="229" t="s">
        <v>7940</v>
      </c>
      <c r="C3033" s="229" t="s">
        <v>5666</v>
      </c>
      <c r="D3033" s="230">
        <v>45539.86891203704</v>
      </c>
      <c r="E3033" s="230"/>
      <c r="F3033" s="231" t="s">
        <v>380</v>
      </c>
      <c r="G3033" s="232" t="s">
        <v>7947</v>
      </c>
      <c r="H3033" s="229" t="s">
        <v>561</v>
      </c>
      <c r="I3033" s="229" t="s">
        <v>549</v>
      </c>
    </row>
    <row r="3034">
      <c r="A3034" s="229" t="s">
        <v>7948</v>
      </c>
      <c r="B3034" s="229" t="s">
        <v>7940</v>
      </c>
      <c r="C3034" s="229" t="s">
        <v>5666</v>
      </c>
      <c r="D3034" s="230">
        <v>45529.578668981485</v>
      </c>
      <c r="E3034" s="230"/>
      <c r="F3034" s="231" t="s">
        <v>1092</v>
      </c>
      <c r="G3034" s="232" t="s">
        <v>7834</v>
      </c>
      <c r="H3034" s="229" t="s">
        <v>561</v>
      </c>
      <c r="I3034" s="229" t="s">
        <v>549</v>
      </c>
    </row>
    <row r="3035">
      <c r="A3035" s="233" t="s">
        <v>7949</v>
      </c>
      <c r="B3035" s="233" t="s">
        <v>7940</v>
      </c>
      <c r="C3035" s="233" t="s">
        <v>7950</v>
      </c>
      <c r="D3035" s="234">
        <v>45529.57755787037</v>
      </c>
      <c r="E3035" s="234"/>
      <c r="F3035" s="235" t="s">
        <v>503</v>
      </c>
      <c r="G3035" s="236" t="s">
        <v>1975</v>
      </c>
      <c r="H3035" s="233" t="s">
        <v>293</v>
      </c>
      <c r="I3035" s="233" t="s">
        <v>549</v>
      </c>
    </row>
    <row r="3036">
      <c r="A3036" s="233" t="s">
        <v>7951</v>
      </c>
      <c r="B3036" s="233" t="s">
        <v>7940</v>
      </c>
      <c r="C3036" s="233" t="s">
        <v>7950</v>
      </c>
      <c r="D3036" s="234">
        <v>45526.79871527778</v>
      </c>
      <c r="E3036" s="234"/>
      <c r="F3036" s="235" t="s">
        <v>503</v>
      </c>
      <c r="G3036" s="236" t="s">
        <v>7952</v>
      </c>
      <c r="H3036" s="233" t="s">
        <v>293</v>
      </c>
      <c r="I3036" s="233" t="s">
        <v>549</v>
      </c>
    </row>
    <row r="3037">
      <c r="A3037" s="229" t="s">
        <v>7953</v>
      </c>
      <c r="B3037" s="229" t="s">
        <v>7940</v>
      </c>
      <c r="C3037" s="229" t="s">
        <v>7950</v>
      </c>
      <c r="D3037" s="230">
        <v>45526.797060185185</v>
      </c>
      <c r="E3037" s="243"/>
      <c r="F3037" s="231" t="s">
        <v>391</v>
      </c>
      <c r="G3037" s="232" t="s">
        <v>877</v>
      </c>
      <c r="H3037" s="229" t="s">
        <v>259</v>
      </c>
      <c r="I3037" s="229" t="s">
        <v>578</v>
      </c>
    </row>
    <row r="3038">
      <c r="A3038" s="233" t="s">
        <v>7954</v>
      </c>
      <c r="B3038" s="233" t="s">
        <v>7940</v>
      </c>
      <c r="C3038" s="233" t="s">
        <v>7950</v>
      </c>
      <c r="D3038" s="234">
        <v>45521.57775462963</v>
      </c>
      <c r="E3038" s="234"/>
      <c r="F3038" s="235" t="s">
        <v>470</v>
      </c>
      <c r="G3038" s="236" t="s">
        <v>555</v>
      </c>
      <c r="H3038" s="233" t="s">
        <v>293</v>
      </c>
      <c r="I3038" s="233" t="s">
        <v>549</v>
      </c>
    </row>
    <row r="3039">
      <c r="A3039" s="229" t="s">
        <v>7955</v>
      </c>
      <c r="B3039" s="229" t="s">
        <v>7940</v>
      </c>
      <c r="C3039" s="229" t="s">
        <v>5666</v>
      </c>
      <c r="D3039" s="230">
        <v>45521.57707175926</v>
      </c>
      <c r="E3039" s="230"/>
      <c r="F3039" s="231" t="s">
        <v>503</v>
      </c>
      <c r="G3039" s="232" t="s">
        <v>7956</v>
      </c>
      <c r="H3039" s="229" t="s">
        <v>561</v>
      </c>
      <c r="I3039" s="229" t="s">
        <v>578</v>
      </c>
    </row>
    <row r="3040">
      <c r="A3040" s="233" t="s">
        <v>7957</v>
      </c>
      <c r="B3040" s="233" t="s">
        <v>7940</v>
      </c>
      <c r="C3040" s="233" t="s">
        <v>7950</v>
      </c>
      <c r="D3040" s="234">
        <v>45508.5062962963</v>
      </c>
      <c r="E3040" s="234"/>
      <c r="F3040" s="235" t="s">
        <v>470</v>
      </c>
      <c r="G3040" s="236" t="s">
        <v>1594</v>
      </c>
      <c r="H3040" s="233" t="s">
        <v>293</v>
      </c>
      <c r="I3040" s="233" t="s">
        <v>549</v>
      </c>
    </row>
    <row r="3041">
      <c r="A3041" s="229" t="s">
        <v>7958</v>
      </c>
      <c r="B3041" s="229" t="s">
        <v>7940</v>
      </c>
      <c r="C3041" s="229" t="s">
        <v>5666</v>
      </c>
      <c r="D3041" s="230">
        <v>45508.50575231481</v>
      </c>
      <c r="E3041" s="230"/>
      <c r="F3041" s="231" t="s">
        <v>470</v>
      </c>
      <c r="G3041" s="232" t="s">
        <v>1594</v>
      </c>
      <c r="H3041" s="229" t="s">
        <v>293</v>
      </c>
      <c r="I3041" s="229" t="s">
        <v>549</v>
      </c>
    </row>
    <row r="3042">
      <c r="A3042" s="233" t="s">
        <v>7959</v>
      </c>
      <c r="B3042" s="233" t="s">
        <v>7940</v>
      </c>
      <c r="C3042" s="233" t="s">
        <v>5666</v>
      </c>
      <c r="D3042" s="234">
        <v>45503.75578703704</v>
      </c>
      <c r="E3042" s="234"/>
      <c r="F3042" s="235" t="s">
        <v>470</v>
      </c>
      <c r="G3042" s="236" t="s">
        <v>3964</v>
      </c>
      <c r="H3042" s="233" t="s">
        <v>293</v>
      </c>
      <c r="I3042" s="233" t="s">
        <v>549</v>
      </c>
    </row>
    <row r="3043">
      <c r="A3043" s="233" t="s">
        <v>7960</v>
      </c>
      <c r="B3043" s="233" t="s">
        <v>7940</v>
      </c>
      <c r="C3043" s="233" t="s">
        <v>7950</v>
      </c>
      <c r="D3043" s="234">
        <v>45503.47922453703</v>
      </c>
      <c r="E3043" s="234"/>
      <c r="F3043" s="235" t="s">
        <v>470</v>
      </c>
      <c r="G3043" s="236" t="s">
        <v>3964</v>
      </c>
      <c r="H3043" s="233" t="s">
        <v>293</v>
      </c>
      <c r="I3043" s="233" t="s">
        <v>549</v>
      </c>
    </row>
    <row r="3044">
      <c r="A3044" s="233" t="s">
        <v>7961</v>
      </c>
      <c r="B3044" s="233" t="s">
        <v>7940</v>
      </c>
      <c r="C3044" s="233" t="s">
        <v>5666</v>
      </c>
      <c r="D3044" s="234">
        <v>45501.590474537035</v>
      </c>
      <c r="E3044" s="242"/>
      <c r="F3044" s="235" t="s">
        <v>470</v>
      </c>
      <c r="G3044" s="236" t="s">
        <v>3964</v>
      </c>
      <c r="H3044" s="233" t="s">
        <v>293</v>
      </c>
      <c r="I3044" s="233" t="s">
        <v>549</v>
      </c>
    </row>
    <row r="3045">
      <c r="A3045" s="229" t="s">
        <v>7962</v>
      </c>
      <c r="B3045" s="229" t="s">
        <v>7940</v>
      </c>
      <c r="C3045" s="229" t="s">
        <v>5666</v>
      </c>
      <c r="D3045" s="230">
        <v>45501.47900462963</v>
      </c>
      <c r="E3045" s="243"/>
      <c r="F3045" s="231" t="s">
        <v>470</v>
      </c>
      <c r="G3045" s="232" t="s">
        <v>3964</v>
      </c>
      <c r="H3045" s="229" t="s">
        <v>561</v>
      </c>
      <c r="I3045" s="229" t="s">
        <v>549</v>
      </c>
    </row>
    <row r="3046">
      <c r="A3046" s="233" t="s">
        <v>7963</v>
      </c>
      <c r="B3046" s="233" t="s">
        <v>7940</v>
      </c>
      <c r="C3046" s="233" t="s">
        <v>7950</v>
      </c>
      <c r="D3046" s="234">
        <v>45501.47865740741</v>
      </c>
      <c r="E3046" s="242"/>
      <c r="F3046" s="235" t="s">
        <v>470</v>
      </c>
      <c r="G3046" s="236" t="s">
        <v>3964</v>
      </c>
      <c r="H3046" s="233" t="s">
        <v>293</v>
      </c>
      <c r="I3046" s="233" t="s">
        <v>549</v>
      </c>
    </row>
    <row r="3047">
      <c r="A3047" s="229" t="s">
        <v>7964</v>
      </c>
      <c r="B3047" s="229" t="s">
        <v>7940</v>
      </c>
      <c r="C3047" s="229" t="s">
        <v>5666</v>
      </c>
      <c r="D3047" s="230">
        <v>45496.549363425926</v>
      </c>
      <c r="E3047" s="230"/>
      <c r="F3047" s="231" t="s">
        <v>503</v>
      </c>
      <c r="G3047" s="232" t="s">
        <v>3100</v>
      </c>
      <c r="H3047" s="229" t="s">
        <v>561</v>
      </c>
      <c r="I3047" s="229" t="s">
        <v>578</v>
      </c>
    </row>
    <row r="3048">
      <c r="A3048" s="229" t="s">
        <v>7965</v>
      </c>
      <c r="B3048" s="229" t="s">
        <v>7940</v>
      </c>
      <c r="C3048" s="229" t="s">
        <v>5666</v>
      </c>
      <c r="D3048" s="230">
        <v>45474.567974537036</v>
      </c>
      <c r="E3048" s="230"/>
      <c r="F3048" s="231" t="s">
        <v>470</v>
      </c>
      <c r="G3048" s="232" t="s">
        <v>3638</v>
      </c>
      <c r="H3048" s="229" t="s">
        <v>293</v>
      </c>
      <c r="I3048" s="229" t="s">
        <v>549</v>
      </c>
    </row>
    <row r="3049">
      <c r="A3049" s="229" t="s">
        <v>7966</v>
      </c>
      <c r="B3049" s="229" t="s">
        <v>7940</v>
      </c>
      <c r="C3049" s="229" t="s">
        <v>571</v>
      </c>
      <c r="D3049" s="230">
        <v>45471.89094907408</v>
      </c>
      <c r="E3049" s="230"/>
      <c r="F3049" s="231" t="s">
        <v>339</v>
      </c>
      <c r="G3049" s="232" t="s">
        <v>7967</v>
      </c>
      <c r="H3049" s="229" t="s">
        <v>561</v>
      </c>
      <c r="I3049" s="229" t="s">
        <v>399</v>
      </c>
    </row>
    <row r="3050">
      <c r="A3050" s="233" t="s">
        <v>7968</v>
      </c>
      <c r="B3050" s="233" t="s">
        <v>7940</v>
      </c>
      <c r="C3050" s="233" t="s">
        <v>5666</v>
      </c>
      <c r="D3050" s="234">
        <v>45466.50282407407</v>
      </c>
      <c r="E3050" s="234"/>
      <c r="F3050" s="235" t="s">
        <v>470</v>
      </c>
      <c r="G3050" s="236" t="s">
        <v>2576</v>
      </c>
      <c r="H3050" s="233" t="s">
        <v>561</v>
      </c>
      <c r="I3050" s="233" t="s">
        <v>578</v>
      </c>
    </row>
    <row r="3051">
      <c r="A3051" s="238" t="s">
        <v>7969</v>
      </c>
      <c r="B3051" s="238" t="s">
        <v>7940</v>
      </c>
      <c r="C3051" s="238" t="s">
        <v>5666</v>
      </c>
      <c r="D3051" s="239">
        <v>45462.49835648148</v>
      </c>
      <c r="E3051" s="239"/>
      <c r="F3051" s="240" t="s">
        <v>470</v>
      </c>
      <c r="G3051" s="241" t="s">
        <v>7970</v>
      </c>
      <c r="H3051" s="238" t="s">
        <v>561</v>
      </c>
      <c r="I3051" s="238" t="s">
        <v>578</v>
      </c>
    </row>
    <row r="3052">
      <c r="A3052" s="229" t="s">
        <v>7969</v>
      </c>
      <c r="B3052" s="229" t="s">
        <v>7940</v>
      </c>
      <c r="C3052" s="229" t="s">
        <v>5666</v>
      </c>
      <c r="D3052" s="230">
        <v>45462.49835648148</v>
      </c>
      <c r="E3052" s="230"/>
      <c r="F3052" s="231" t="s">
        <v>470</v>
      </c>
      <c r="G3052" s="232" t="s">
        <v>7970</v>
      </c>
      <c r="H3052" s="229" t="s">
        <v>561</v>
      </c>
      <c r="I3052" s="229" t="s">
        <v>578</v>
      </c>
    </row>
    <row r="3053">
      <c r="A3053" s="233" t="s">
        <v>7971</v>
      </c>
      <c r="B3053" s="233" t="s">
        <v>7940</v>
      </c>
      <c r="C3053" s="233" t="s">
        <v>5666</v>
      </c>
      <c r="D3053" s="234">
        <v>45452.58342592593</v>
      </c>
      <c r="E3053" s="234"/>
      <c r="F3053" s="235" t="s">
        <v>470</v>
      </c>
      <c r="G3053" s="236" t="s">
        <v>6347</v>
      </c>
      <c r="H3053" s="233" t="s">
        <v>561</v>
      </c>
      <c r="I3053" s="233" t="s">
        <v>549</v>
      </c>
    </row>
    <row r="3054">
      <c r="A3054" s="233" t="s">
        <v>7972</v>
      </c>
      <c r="B3054" s="233" t="s">
        <v>7940</v>
      </c>
      <c r="C3054" s="233" t="s">
        <v>5666</v>
      </c>
      <c r="D3054" s="234">
        <v>45452.569918981484</v>
      </c>
      <c r="E3054" s="237"/>
      <c r="F3054" s="235" t="s">
        <v>470</v>
      </c>
      <c r="G3054" s="236" t="s">
        <v>6347</v>
      </c>
      <c r="H3054" s="233" t="s">
        <v>259</v>
      </c>
      <c r="I3054" s="233" t="s">
        <v>549</v>
      </c>
    </row>
    <row r="3055">
      <c r="A3055" s="233" t="s">
        <v>7973</v>
      </c>
      <c r="B3055" s="233" t="s">
        <v>7940</v>
      </c>
      <c r="C3055" s="233" t="s">
        <v>5666</v>
      </c>
      <c r="D3055" s="234">
        <v>45450.62428240741</v>
      </c>
      <c r="E3055" s="234"/>
      <c r="F3055" s="235" t="s">
        <v>503</v>
      </c>
      <c r="G3055" s="236" t="s">
        <v>2528</v>
      </c>
      <c r="H3055" s="233" t="s">
        <v>561</v>
      </c>
      <c r="I3055" s="233" t="s">
        <v>578</v>
      </c>
    </row>
    <row r="3056">
      <c r="A3056" s="233" t="s">
        <v>7974</v>
      </c>
      <c r="B3056" s="233" t="s">
        <v>7940</v>
      </c>
      <c r="C3056" s="233" t="s">
        <v>5666</v>
      </c>
      <c r="D3056" s="234">
        <v>45438.46613425926</v>
      </c>
      <c r="E3056" s="234"/>
      <c r="F3056" s="235" t="s">
        <v>470</v>
      </c>
      <c r="G3056" s="236" t="s">
        <v>7296</v>
      </c>
      <c r="H3056" s="233" t="s">
        <v>293</v>
      </c>
      <c r="I3056" s="233" t="s">
        <v>549</v>
      </c>
    </row>
    <row r="3057">
      <c r="A3057" s="229" t="s">
        <v>7975</v>
      </c>
      <c r="B3057" s="229" t="s">
        <v>7940</v>
      </c>
      <c r="C3057" s="229" t="s">
        <v>5666</v>
      </c>
      <c r="D3057" s="230">
        <v>45437.60606481481</v>
      </c>
      <c r="E3057" s="244"/>
      <c r="F3057" s="231" t="s">
        <v>470</v>
      </c>
      <c r="G3057" s="232" t="s">
        <v>7976</v>
      </c>
      <c r="H3057" s="229" t="s">
        <v>561</v>
      </c>
      <c r="I3057" s="229" t="s">
        <v>549</v>
      </c>
    </row>
    <row r="3058">
      <c r="A3058" s="233" t="s">
        <v>7977</v>
      </c>
      <c r="B3058" s="233" t="s">
        <v>7940</v>
      </c>
      <c r="C3058" s="233" t="s">
        <v>7950</v>
      </c>
      <c r="D3058" s="234">
        <v>45437.601805555554</v>
      </c>
      <c r="E3058" s="234"/>
      <c r="F3058" s="235" t="s">
        <v>250</v>
      </c>
      <c r="G3058" s="236" t="s">
        <v>3644</v>
      </c>
      <c r="H3058" s="233" t="s">
        <v>293</v>
      </c>
      <c r="I3058" s="233" t="s">
        <v>549</v>
      </c>
    </row>
    <row r="3059">
      <c r="A3059" s="233" t="s">
        <v>7978</v>
      </c>
      <c r="B3059" s="233" t="s">
        <v>7940</v>
      </c>
      <c r="C3059" s="233" t="s">
        <v>7950</v>
      </c>
      <c r="D3059" s="234">
        <v>45711.64429398148</v>
      </c>
      <c r="E3059" s="234">
        <v>45713.4341087963</v>
      </c>
      <c r="F3059" s="235" t="s">
        <v>291</v>
      </c>
      <c r="G3059" s="236" t="s">
        <v>7979</v>
      </c>
      <c r="H3059" s="233" t="s">
        <v>293</v>
      </c>
      <c r="I3059" s="233" t="s">
        <v>549</v>
      </c>
    </row>
    <row r="3060">
      <c r="A3060" s="233" t="s">
        <v>7980</v>
      </c>
      <c r="B3060" s="233" t="s">
        <v>7940</v>
      </c>
      <c r="C3060" s="233" t="s">
        <v>5666</v>
      </c>
      <c r="D3060" s="234">
        <v>45710.4483912037</v>
      </c>
      <c r="E3060" s="234">
        <v>45710.507002314815</v>
      </c>
      <c r="F3060" s="235" t="s">
        <v>291</v>
      </c>
      <c r="G3060" s="236" t="s">
        <v>577</v>
      </c>
      <c r="H3060" s="233" t="s">
        <v>259</v>
      </c>
      <c r="I3060" s="233" t="s">
        <v>399</v>
      </c>
    </row>
    <row r="3061">
      <c r="A3061" s="233" t="s">
        <v>7981</v>
      </c>
      <c r="B3061" s="233" t="s">
        <v>7940</v>
      </c>
      <c r="C3061" s="233" t="s">
        <v>5666</v>
      </c>
      <c r="D3061" s="234">
        <v>45746.59547453704</v>
      </c>
      <c r="E3061" s="234">
        <v>45746.60784722222</v>
      </c>
      <c r="F3061" s="235" t="s">
        <v>503</v>
      </c>
      <c r="G3061" s="236" t="s">
        <v>2406</v>
      </c>
      <c r="H3061" s="233" t="s">
        <v>561</v>
      </c>
      <c r="I3061" s="233" t="s">
        <v>549</v>
      </c>
    </row>
    <row r="3062">
      <c r="A3062" s="233" t="s">
        <v>7982</v>
      </c>
      <c r="B3062" s="233" t="s">
        <v>7940</v>
      </c>
      <c r="C3062" s="233" t="s">
        <v>7983</v>
      </c>
      <c r="D3062" s="234">
        <v>45738.544490740744</v>
      </c>
      <c r="E3062" s="234">
        <v>45738.60082175926</v>
      </c>
      <c r="F3062" s="235" t="s">
        <v>503</v>
      </c>
      <c r="G3062" s="236" t="s">
        <v>5977</v>
      </c>
      <c r="H3062" s="233" t="s">
        <v>259</v>
      </c>
      <c r="I3062" s="233" t="s">
        <v>399</v>
      </c>
    </row>
    <row r="3063">
      <c r="A3063" s="233" t="s">
        <v>7984</v>
      </c>
      <c r="B3063" s="233" t="s">
        <v>7940</v>
      </c>
      <c r="C3063" s="233" t="s">
        <v>5666</v>
      </c>
      <c r="D3063" s="234">
        <v>45773.68699074074</v>
      </c>
      <c r="E3063" s="234">
        <v>45773.69461805555</v>
      </c>
      <c r="F3063" s="235" t="s">
        <v>470</v>
      </c>
      <c r="G3063" s="236" t="s">
        <v>2752</v>
      </c>
      <c r="H3063" s="233" t="s">
        <v>259</v>
      </c>
      <c r="I3063" s="233" t="s">
        <v>549</v>
      </c>
    </row>
    <row r="3064">
      <c r="A3064" s="229" t="s">
        <v>7985</v>
      </c>
      <c r="B3064" s="229" t="s">
        <v>7940</v>
      </c>
      <c r="C3064" s="229" t="s">
        <v>7950</v>
      </c>
      <c r="D3064" s="230">
        <v>45761.428402777776</v>
      </c>
      <c r="E3064" s="230">
        <v>45762.63894675926</v>
      </c>
      <c r="F3064" s="231" t="s">
        <v>291</v>
      </c>
      <c r="G3064" s="232" t="s">
        <v>3817</v>
      </c>
      <c r="H3064" s="229" t="s">
        <v>293</v>
      </c>
      <c r="I3064" s="229" t="s">
        <v>549</v>
      </c>
    </row>
    <row r="3065">
      <c r="A3065" s="233" t="s">
        <v>7986</v>
      </c>
      <c r="B3065" s="233" t="s">
        <v>7940</v>
      </c>
      <c r="C3065" s="233" t="s">
        <v>7950</v>
      </c>
      <c r="D3065" s="234">
        <v>45750.46412037037</v>
      </c>
      <c r="E3065" s="234">
        <v>45750.597349537034</v>
      </c>
      <c r="F3065" s="235" t="s">
        <v>291</v>
      </c>
      <c r="G3065" s="236" t="s">
        <v>7987</v>
      </c>
      <c r="H3065" s="233" t="s">
        <v>293</v>
      </c>
      <c r="I3065" s="233" t="s">
        <v>549</v>
      </c>
    </row>
    <row r="3066">
      <c r="A3066" s="233" t="s">
        <v>7988</v>
      </c>
      <c r="B3066" s="233" t="s">
        <v>7989</v>
      </c>
      <c r="C3066" s="233" t="s">
        <v>7990</v>
      </c>
      <c r="D3066" s="234">
        <v>45516.74506944444</v>
      </c>
      <c r="E3066" s="234"/>
      <c r="F3066" s="235" t="s">
        <v>580</v>
      </c>
      <c r="G3066" s="236" t="s">
        <v>7991</v>
      </c>
      <c r="H3066" s="233" t="s">
        <v>259</v>
      </c>
      <c r="I3066" s="233" t="s">
        <v>7992</v>
      </c>
    </row>
    <row r="3067">
      <c r="A3067" s="233" t="s">
        <v>7993</v>
      </c>
      <c r="B3067" s="233" t="s">
        <v>7989</v>
      </c>
      <c r="C3067" s="233" t="s">
        <v>7994</v>
      </c>
      <c r="D3067" s="234">
        <v>45479.847349537034</v>
      </c>
      <c r="E3067" s="234"/>
      <c r="F3067" s="235" t="s">
        <v>470</v>
      </c>
      <c r="G3067" s="236" t="s">
        <v>3009</v>
      </c>
      <c r="H3067" s="233" t="s">
        <v>293</v>
      </c>
      <c r="I3067" s="233" t="s">
        <v>1166</v>
      </c>
    </row>
    <row r="3068">
      <c r="A3068" s="233" t="s">
        <v>7995</v>
      </c>
      <c r="B3068" s="233" t="s">
        <v>7989</v>
      </c>
      <c r="C3068" s="233" t="s">
        <v>7996</v>
      </c>
      <c r="D3068" s="234">
        <v>45714.51974537037</v>
      </c>
      <c r="E3068" s="234">
        <v>45718.48972222222</v>
      </c>
      <c r="F3068" s="235" t="s">
        <v>3833</v>
      </c>
      <c r="G3068" s="236" t="s">
        <v>3834</v>
      </c>
      <c r="H3068" s="233" t="s">
        <v>293</v>
      </c>
      <c r="I3068" s="233" t="s">
        <v>294</v>
      </c>
    </row>
    <row r="3069">
      <c r="A3069" s="233" t="s">
        <v>7997</v>
      </c>
      <c r="B3069" s="233" t="s">
        <v>7998</v>
      </c>
      <c r="C3069" s="233" t="s">
        <v>7999</v>
      </c>
      <c r="D3069" s="234">
        <v>45736.851377314815</v>
      </c>
      <c r="E3069" s="234">
        <v>45741.586851851855</v>
      </c>
      <c r="F3069" s="235" t="s">
        <v>722</v>
      </c>
      <c r="G3069" s="236" t="s">
        <v>8000</v>
      </c>
      <c r="H3069" s="233" t="s">
        <v>259</v>
      </c>
      <c r="I3069" s="233" t="s">
        <v>8001</v>
      </c>
    </row>
    <row r="3070">
      <c r="A3070" s="233" t="s">
        <v>8002</v>
      </c>
      <c r="B3070" s="233" t="s">
        <v>7998</v>
      </c>
      <c r="C3070" s="233" t="s">
        <v>7999</v>
      </c>
      <c r="D3070" s="234">
        <v>45750.84605324074</v>
      </c>
      <c r="E3070" s="234">
        <v>45751.59032407407</v>
      </c>
      <c r="F3070" s="235" t="s">
        <v>1124</v>
      </c>
      <c r="G3070" s="236" t="s">
        <v>1125</v>
      </c>
      <c r="H3070" s="233" t="s">
        <v>259</v>
      </c>
      <c r="I3070" s="233" t="s">
        <v>8001</v>
      </c>
    </row>
    <row r="3071">
      <c r="A3071" s="233" t="s">
        <v>8003</v>
      </c>
      <c r="B3071" s="233" t="s">
        <v>8004</v>
      </c>
      <c r="C3071" s="233" t="s">
        <v>8005</v>
      </c>
      <c r="D3071" s="234">
        <v>45451.81993055555</v>
      </c>
      <c r="E3071" s="234">
        <v>45451.65283564815</v>
      </c>
      <c r="F3071" s="235" t="s">
        <v>431</v>
      </c>
      <c r="G3071" s="236" t="s">
        <v>720</v>
      </c>
      <c r="H3071" s="233" t="s">
        <v>259</v>
      </c>
      <c r="I3071" s="233" t="s">
        <v>2314</v>
      </c>
    </row>
    <row r="3072">
      <c r="A3072" s="233" t="s">
        <v>8006</v>
      </c>
      <c r="B3072" s="233" t="s">
        <v>8007</v>
      </c>
      <c r="C3072" s="233" t="s">
        <v>8008</v>
      </c>
      <c r="D3072" s="234">
        <v>45513.4359837963</v>
      </c>
      <c r="E3072" s="234"/>
      <c r="F3072" s="235" t="s">
        <v>8009</v>
      </c>
      <c r="G3072" s="236" t="s">
        <v>8010</v>
      </c>
      <c r="H3072" s="233" t="s">
        <v>259</v>
      </c>
      <c r="I3072" s="233" t="s">
        <v>5765</v>
      </c>
    </row>
    <row r="3073">
      <c r="A3073" s="233" t="s">
        <v>8011</v>
      </c>
      <c r="B3073" s="233" t="s">
        <v>8007</v>
      </c>
      <c r="C3073" s="233" t="s">
        <v>8008</v>
      </c>
      <c r="D3073" s="234">
        <v>45502.80887731481</v>
      </c>
      <c r="E3073" s="234"/>
      <c r="F3073" s="235" t="s">
        <v>651</v>
      </c>
      <c r="G3073" s="236" t="s">
        <v>8012</v>
      </c>
      <c r="H3073" s="233" t="s">
        <v>259</v>
      </c>
      <c r="I3073" s="233" t="s">
        <v>5765</v>
      </c>
    </row>
    <row r="3074">
      <c r="A3074" s="229" t="s">
        <v>8013</v>
      </c>
      <c r="B3074" s="229" t="s">
        <v>8007</v>
      </c>
      <c r="C3074" s="229" t="s">
        <v>8014</v>
      </c>
      <c r="D3074" s="230">
        <v>45747.86104166666</v>
      </c>
      <c r="E3074" s="230">
        <v>45747.8715625</v>
      </c>
      <c r="F3074" s="231" t="s">
        <v>538</v>
      </c>
      <c r="G3074" s="232" t="s">
        <v>3294</v>
      </c>
      <c r="H3074" s="229" t="s">
        <v>259</v>
      </c>
      <c r="I3074" s="229" t="s">
        <v>8015</v>
      </c>
    </row>
    <row r="3075">
      <c r="A3075" s="233" t="s">
        <v>8016</v>
      </c>
      <c r="B3075" s="233" t="s">
        <v>8007</v>
      </c>
      <c r="C3075" s="233" t="s">
        <v>8014</v>
      </c>
      <c r="D3075" s="234">
        <v>45738.68664351852</v>
      </c>
      <c r="E3075" s="234">
        <v>45738.69459490741</v>
      </c>
      <c r="F3075" s="235" t="s">
        <v>509</v>
      </c>
      <c r="G3075" s="236" t="s">
        <v>8017</v>
      </c>
      <c r="H3075" s="233" t="s">
        <v>259</v>
      </c>
      <c r="I3075" s="233" t="s">
        <v>8015</v>
      </c>
    </row>
    <row r="3076">
      <c r="A3076" s="233" t="s">
        <v>8018</v>
      </c>
      <c r="B3076" s="233" t="s">
        <v>8007</v>
      </c>
      <c r="C3076" s="233" t="s">
        <v>8008</v>
      </c>
      <c r="D3076" s="234">
        <v>45774.86592592593</v>
      </c>
      <c r="E3076" s="234">
        <v>45775.65976851852</v>
      </c>
      <c r="F3076" s="235" t="s">
        <v>563</v>
      </c>
      <c r="G3076" s="236" t="s">
        <v>8019</v>
      </c>
      <c r="H3076" s="233" t="s">
        <v>259</v>
      </c>
      <c r="I3076" s="233" t="s">
        <v>5765</v>
      </c>
    </row>
    <row r="3077">
      <c r="A3077" s="229" t="s">
        <v>8020</v>
      </c>
      <c r="B3077" s="229" t="s">
        <v>8007</v>
      </c>
      <c r="C3077" s="229" t="s">
        <v>8014</v>
      </c>
      <c r="D3077" s="230">
        <v>45774.86554398148</v>
      </c>
      <c r="E3077" s="230">
        <v>45774.87505787037</v>
      </c>
      <c r="F3077" s="231" t="s">
        <v>431</v>
      </c>
      <c r="G3077" s="232" t="s">
        <v>3667</v>
      </c>
      <c r="H3077" s="229" t="s">
        <v>259</v>
      </c>
      <c r="I3077" s="229" t="s">
        <v>8015</v>
      </c>
    </row>
    <row r="3078">
      <c r="A3078" s="233" t="s">
        <v>8021</v>
      </c>
      <c r="B3078" s="233" t="s">
        <v>8022</v>
      </c>
      <c r="C3078" s="233" t="s">
        <v>8023</v>
      </c>
      <c r="D3078" s="234">
        <v>45496.771689814814</v>
      </c>
      <c r="E3078" s="234"/>
      <c r="F3078" s="235" t="s">
        <v>291</v>
      </c>
      <c r="G3078" s="236" t="s">
        <v>1113</v>
      </c>
      <c r="H3078" s="233" t="s">
        <v>265</v>
      </c>
      <c r="I3078" s="233" t="s">
        <v>399</v>
      </c>
    </row>
    <row r="3079">
      <c r="A3079" s="233" t="s">
        <v>8024</v>
      </c>
      <c r="B3079" s="233" t="s">
        <v>8022</v>
      </c>
      <c r="C3079" s="233" t="s">
        <v>8023</v>
      </c>
      <c r="D3079" s="234">
        <v>45479.59384259259</v>
      </c>
      <c r="E3079" s="234"/>
      <c r="F3079" s="235" t="s">
        <v>317</v>
      </c>
      <c r="G3079" s="236" t="s">
        <v>4256</v>
      </c>
      <c r="H3079" s="233" t="s">
        <v>265</v>
      </c>
      <c r="I3079" s="233" t="s">
        <v>399</v>
      </c>
    </row>
    <row r="3080">
      <c r="A3080" s="233" t="s">
        <v>8025</v>
      </c>
      <c r="B3080" s="233" t="s">
        <v>8022</v>
      </c>
      <c r="C3080" s="233" t="s">
        <v>8026</v>
      </c>
      <c r="D3080" s="234">
        <v>45473.58762731482</v>
      </c>
      <c r="E3080" s="234"/>
      <c r="F3080" s="235" t="s">
        <v>503</v>
      </c>
      <c r="G3080" s="236" t="s">
        <v>5777</v>
      </c>
      <c r="H3080" s="233" t="s">
        <v>265</v>
      </c>
      <c r="I3080" s="233" t="s">
        <v>399</v>
      </c>
    </row>
    <row r="3081">
      <c r="A3081" s="229" t="s">
        <v>8027</v>
      </c>
      <c r="B3081" s="229" t="s">
        <v>8022</v>
      </c>
      <c r="C3081" s="229" t="s">
        <v>8023</v>
      </c>
      <c r="D3081" s="230">
        <v>45473.58734953704</v>
      </c>
      <c r="E3081" s="230"/>
      <c r="F3081" s="231" t="s">
        <v>470</v>
      </c>
      <c r="G3081" s="232" t="s">
        <v>8028</v>
      </c>
      <c r="H3081" s="229" t="s">
        <v>265</v>
      </c>
      <c r="I3081" s="229" t="s">
        <v>399</v>
      </c>
    </row>
    <row r="3082">
      <c r="A3082" s="233" t="s">
        <v>8029</v>
      </c>
      <c r="B3082" s="233" t="s">
        <v>8022</v>
      </c>
      <c r="C3082" s="233" t="s">
        <v>8023</v>
      </c>
      <c r="D3082" s="234">
        <v>45465.57313657407</v>
      </c>
      <c r="E3082" s="234"/>
      <c r="F3082" s="235" t="s">
        <v>250</v>
      </c>
      <c r="G3082" s="236" t="s">
        <v>8030</v>
      </c>
      <c r="H3082" s="233" t="s">
        <v>265</v>
      </c>
      <c r="I3082" s="233" t="s">
        <v>399</v>
      </c>
    </row>
    <row r="3083">
      <c r="A3083" s="229" t="s">
        <v>8031</v>
      </c>
      <c r="B3083" s="229" t="s">
        <v>8022</v>
      </c>
      <c r="C3083" s="229" t="s">
        <v>8023</v>
      </c>
      <c r="D3083" s="230">
        <v>45451.86005787037</v>
      </c>
      <c r="E3083" s="230">
        <v>45451.65986111111</v>
      </c>
      <c r="F3083" s="231" t="s">
        <v>2183</v>
      </c>
      <c r="G3083" s="232" t="s">
        <v>8032</v>
      </c>
      <c r="H3083" s="229" t="s">
        <v>265</v>
      </c>
      <c r="I3083" s="229" t="s">
        <v>399</v>
      </c>
    </row>
    <row r="3084">
      <c r="A3084" s="233" t="s">
        <v>8033</v>
      </c>
      <c r="B3084" s="233" t="s">
        <v>8022</v>
      </c>
      <c r="C3084" s="233" t="s">
        <v>8026</v>
      </c>
      <c r="D3084" s="234">
        <v>45434.82233796296</v>
      </c>
      <c r="E3084" s="234">
        <v>45434.67365740741</v>
      </c>
      <c r="F3084" s="235" t="s">
        <v>1359</v>
      </c>
      <c r="G3084" s="236" t="s">
        <v>8034</v>
      </c>
      <c r="H3084" s="233" t="s">
        <v>265</v>
      </c>
      <c r="I3084" s="233" t="s">
        <v>399</v>
      </c>
    </row>
    <row r="3085">
      <c r="A3085" s="229" t="s">
        <v>8035</v>
      </c>
      <c r="B3085" s="229" t="s">
        <v>8022</v>
      </c>
      <c r="C3085" s="229" t="s">
        <v>8023</v>
      </c>
      <c r="D3085" s="230">
        <v>45431.68513888889</v>
      </c>
      <c r="E3085" s="230">
        <v>45431.48619212963</v>
      </c>
      <c r="F3085" s="231" t="s">
        <v>291</v>
      </c>
      <c r="G3085" s="232" t="s">
        <v>3646</v>
      </c>
      <c r="H3085" s="229" t="s">
        <v>265</v>
      </c>
      <c r="I3085" s="229" t="s">
        <v>399</v>
      </c>
    </row>
    <row r="3086">
      <c r="A3086" s="229" t="s">
        <v>8036</v>
      </c>
      <c r="B3086" s="229" t="s">
        <v>8022</v>
      </c>
      <c r="C3086" s="229" t="s">
        <v>8023</v>
      </c>
      <c r="D3086" s="230">
        <v>45715.856354166666</v>
      </c>
      <c r="E3086" s="230">
        <v>45715.864652777775</v>
      </c>
      <c r="F3086" s="231" t="s">
        <v>459</v>
      </c>
      <c r="G3086" s="232" t="s">
        <v>8037</v>
      </c>
      <c r="H3086" s="229" t="s">
        <v>265</v>
      </c>
      <c r="I3086" s="229" t="s">
        <v>399</v>
      </c>
    </row>
    <row r="3087">
      <c r="A3087" s="233" t="s">
        <v>8038</v>
      </c>
      <c r="B3087" s="233" t="s">
        <v>8022</v>
      </c>
      <c r="C3087" s="233" t="s">
        <v>8023</v>
      </c>
      <c r="D3087" s="234">
        <v>45704.619050925925</v>
      </c>
      <c r="E3087" s="234">
        <v>45704.62856481481</v>
      </c>
      <c r="F3087" s="235" t="s">
        <v>765</v>
      </c>
      <c r="G3087" s="236" t="s">
        <v>8039</v>
      </c>
      <c r="H3087" s="233" t="s">
        <v>265</v>
      </c>
      <c r="I3087" s="233" t="s">
        <v>399</v>
      </c>
    </row>
    <row r="3088">
      <c r="A3088" s="233" t="s">
        <v>8040</v>
      </c>
      <c r="B3088" s="233" t="s">
        <v>8022</v>
      </c>
      <c r="C3088" s="233" t="s">
        <v>8023</v>
      </c>
      <c r="D3088" s="234">
        <v>45777.781377314815</v>
      </c>
      <c r="E3088" s="234">
        <v>45777.79175925926</v>
      </c>
      <c r="F3088" s="235" t="s">
        <v>8041</v>
      </c>
      <c r="G3088" s="236" t="s">
        <v>8042</v>
      </c>
      <c r="H3088" s="233" t="s">
        <v>265</v>
      </c>
      <c r="I3088" s="233" t="s">
        <v>399</v>
      </c>
    </row>
    <row r="3089">
      <c r="A3089" s="229" t="s">
        <v>8043</v>
      </c>
      <c r="B3089" s="229" t="s">
        <v>8022</v>
      </c>
      <c r="C3089" s="229" t="s">
        <v>8023</v>
      </c>
      <c r="D3089" s="230">
        <v>45774.878333333334</v>
      </c>
      <c r="E3089" s="230">
        <v>45774.88890046296</v>
      </c>
      <c r="F3089" s="231" t="s">
        <v>8044</v>
      </c>
      <c r="G3089" s="232" t="s">
        <v>8045</v>
      </c>
      <c r="H3089" s="229" t="s">
        <v>265</v>
      </c>
      <c r="I3089" s="229" t="s">
        <v>399</v>
      </c>
    </row>
    <row r="3090">
      <c r="A3090" s="233" t="s">
        <v>8046</v>
      </c>
      <c r="B3090" s="233" t="s">
        <v>8047</v>
      </c>
      <c r="C3090" s="233" t="s">
        <v>8048</v>
      </c>
      <c r="D3090" s="234">
        <v>45759.84097222222</v>
      </c>
      <c r="E3090" s="234">
        <v>45760.79180555556</v>
      </c>
      <c r="F3090" s="235" t="s">
        <v>281</v>
      </c>
      <c r="G3090" s="236" t="s">
        <v>1285</v>
      </c>
      <c r="H3090" s="233" t="s">
        <v>265</v>
      </c>
      <c r="I3090" s="233" t="s">
        <v>3013</v>
      </c>
    </row>
    <row r="3091">
      <c r="A3091" s="233" t="s">
        <v>8049</v>
      </c>
      <c r="B3091" s="233" t="s">
        <v>8050</v>
      </c>
      <c r="C3091" s="233" t="s">
        <v>8051</v>
      </c>
      <c r="D3091" s="234">
        <v>45773.827465277776</v>
      </c>
      <c r="E3091" s="234">
        <v>45774.63550925926</v>
      </c>
      <c r="F3091" s="235" t="s">
        <v>250</v>
      </c>
      <c r="G3091" s="236" t="s">
        <v>8052</v>
      </c>
      <c r="H3091" s="233" t="s">
        <v>259</v>
      </c>
      <c r="I3091" s="233" t="s">
        <v>1483</v>
      </c>
    </row>
    <row r="3092">
      <c r="A3092" s="233" t="s">
        <v>8053</v>
      </c>
      <c r="B3092" s="233" t="s">
        <v>8054</v>
      </c>
      <c r="C3092" s="233" t="s">
        <v>8055</v>
      </c>
      <c r="D3092" s="234">
        <v>45706.56118055555</v>
      </c>
      <c r="E3092" s="234">
        <v>45706.680625</v>
      </c>
      <c r="F3092" s="235" t="s">
        <v>1259</v>
      </c>
      <c r="G3092" s="236" t="s">
        <v>8056</v>
      </c>
      <c r="H3092" s="233" t="s">
        <v>356</v>
      </c>
      <c r="I3092" s="233" t="s">
        <v>8057</v>
      </c>
    </row>
    <row r="3093">
      <c r="A3093" s="229" t="s">
        <v>8058</v>
      </c>
      <c r="B3093" s="229" t="s">
        <v>8059</v>
      </c>
      <c r="C3093" s="229" t="s">
        <v>8060</v>
      </c>
      <c r="D3093" s="230">
        <v>45458.66540509259</v>
      </c>
      <c r="E3093" s="230">
        <v>45458.46542824074</v>
      </c>
      <c r="F3093" s="231" t="s">
        <v>538</v>
      </c>
      <c r="G3093" s="232" t="s">
        <v>3780</v>
      </c>
      <c r="H3093" s="229" t="s">
        <v>265</v>
      </c>
      <c r="I3093" s="229" t="s">
        <v>640</v>
      </c>
    </row>
    <row r="3094">
      <c r="A3094" s="233" t="s">
        <v>8061</v>
      </c>
      <c r="B3094" s="233" t="s">
        <v>8062</v>
      </c>
      <c r="C3094" s="233" t="s">
        <v>4702</v>
      </c>
      <c r="D3094" s="234">
        <v>45737.90771990741</v>
      </c>
      <c r="E3094" s="234">
        <v>45738.864641203705</v>
      </c>
      <c r="F3094" s="235" t="s">
        <v>2351</v>
      </c>
      <c r="G3094" s="236" t="s">
        <v>8063</v>
      </c>
      <c r="H3094" s="233" t="s">
        <v>259</v>
      </c>
      <c r="I3094" s="233" t="s">
        <v>467</v>
      </c>
    </row>
    <row r="3095">
      <c r="A3095" s="229" t="s">
        <v>8064</v>
      </c>
      <c r="B3095" s="229" t="s">
        <v>8065</v>
      </c>
      <c r="C3095" s="229" t="s">
        <v>1530</v>
      </c>
      <c r="D3095" s="230">
        <v>45542.53025462963</v>
      </c>
      <c r="E3095" s="230"/>
      <c r="F3095" s="231" t="s">
        <v>2030</v>
      </c>
      <c r="G3095" s="232" t="s">
        <v>8066</v>
      </c>
      <c r="H3095" s="229" t="s">
        <v>377</v>
      </c>
      <c r="I3095" s="229" t="s">
        <v>1533</v>
      </c>
    </row>
    <row r="3096">
      <c r="A3096" s="229" t="s">
        <v>8067</v>
      </c>
      <c r="B3096" s="229" t="s">
        <v>8065</v>
      </c>
      <c r="C3096" s="229" t="s">
        <v>8068</v>
      </c>
      <c r="D3096" s="230">
        <v>45533.430451388886</v>
      </c>
      <c r="E3096" s="230"/>
      <c r="F3096" s="231" t="s">
        <v>465</v>
      </c>
      <c r="G3096" s="232" t="s">
        <v>2896</v>
      </c>
      <c r="H3096" s="229" t="s">
        <v>377</v>
      </c>
      <c r="I3096" s="229" t="s">
        <v>8069</v>
      </c>
    </row>
    <row r="3097">
      <c r="A3097" s="229" t="s">
        <v>8070</v>
      </c>
      <c r="B3097" s="229" t="s">
        <v>8065</v>
      </c>
      <c r="C3097" s="229" t="s">
        <v>8071</v>
      </c>
      <c r="D3097" s="230">
        <v>45531.90056712963</v>
      </c>
      <c r="E3097" s="230"/>
      <c r="F3097" s="231" t="s">
        <v>488</v>
      </c>
      <c r="G3097" s="232" t="s">
        <v>8072</v>
      </c>
      <c r="H3097" s="229" t="s">
        <v>346</v>
      </c>
      <c r="I3097" s="229" t="s">
        <v>6671</v>
      </c>
    </row>
    <row r="3098">
      <c r="A3098" s="233" t="s">
        <v>8073</v>
      </c>
      <c r="B3098" s="233" t="s">
        <v>8065</v>
      </c>
      <c r="C3098" s="233" t="s">
        <v>1530</v>
      </c>
      <c r="D3098" s="234">
        <v>45531.898877314816</v>
      </c>
      <c r="E3098" s="234"/>
      <c r="F3098" s="235" t="s">
        <v>2030</v>
      </c>
      <c r="G3098" s="236" t="s">
        <v>8066</v>
      </c>
      <c r="H3098" s="233" t="s">
        <v>377</v>
      </c>
      <c r="I3098" s="233" t="s">
        <v>8069</v>
      </c>
    </row>
    <row r="3099">
      <c r="A3099" s="233" t="s">
        <v>8074</v>
      </c>
      <c r="B3099" s="233" t="s">
        <v>8065</v>
      </c>
      <c r="C3099" s="233" t="s">
        <v>1530</v>
      </c>
      <c r="D3099" s="234">
        <v>45496.47626157408</v>
      </c>
      <c r="E3099" s="234"/>
      <c r="F3099" s="235" t="s">
        <v>3057</v>
      </c>
      <c r="G3099" s="236" t="s">
        <v>8075</v>
      </c>
      <c r="H3099" s="233" t="s">
        <v>377</v>
      </c>
      <c r="I3099" s="233" t="s">
        <v>8069</v>
      </c>
    </row>
    <row r="3100">
      <c r="A3100" s="229" t="s">
        <v>8076</v>
      </c>
      <c r="B3100" s="229" t="s">
        <v>8065</v>
      </c>
      <c r="C3100" s="229" t="s">
        <v>8077</v>
      </c>
      <c r="D3100" s="230">
        <v>45471.80391203704</v>
      </c>
      <c r="E3100" s="244"/>
      <c r="F3100" s="231" t="s">
        <v>391</v>
      </c>
      <c r="G3100" s="232" t="s">
        <v>877</v>
      </c>
      <c r="H3100" s="229" t="s">
        <v>561</v>
      </c>
      <c r="I3100" s="229" t="s">
        <v>6444</v>
      </c>
    </row>
    <row r="3101">
      <c r="A3101" s="229" t="s">
        <v>8078</v>
      </c>
      <c r="B3101" s="229" t="s">
        <v>8065</v>
      </c>
      <c r="C3101" s="229" t="s">
        <v>1530</v>
      </c>
      <c r="D3101" s="230">
        <v>45471.541655092595</v>
      </c>
      <c r="E3101" s="230"/>
      <c r="F3101" s="231" t="s">
        <v>257</v>
      </c>
      <c r="G3101" s="232" t="s">
        <v>8079</v>
      </c>
      <c r="H3101" s="229" t="s">
        <v>377</v>
      </c>
      <c r="I3101" s="229" t="s">
        <v>8069</v>
      </c>
    </row>
    <row r="3102">
      <c r="A3102" s="233" t="s">
        <v>8080</v>
      </c>
      <c r="B3102" s="233" t="s">
        <v>8081</v>
      </c>
      <c r="C3102" s="233" t="s">
        <v>8082</v>
      </c>
      <c r="D3102" s="234">
        <v>45521.70247685185</v>
      </c>
      <c r="E3102" s="234"/>
      <c r="F3102" s="235" t="s">
        <v>2473</v>
      </c>
      <c r="G3102" s="236" t="s">
        <v>8083</v>
      </c>
      <c r="H3102" s="233" t="s">
        <v>259</v>
      </c>
      <c r="I3102" s="233" t="s">
        <v>531</v>
      </c>
    </row>
    <row r="3103">
      <c r="A3103" s="229" t="s">
        <v>8084</v>
      </c>
      <c r="B3103" s="229" t="s">
        <v>8081</v>
      </c>
      <c r="C3103" s="229" t="s">
        <v>8085</v>
      </c>
      <c r="D3103" s="230">
        <v>45519.805081018516</v>
      </c>
      <c r="E3103" s="230"/>
      <c r="F3103" s="231" t="s">
        <v>8086</v>
      </c>
      <c r="G3103" s="232" t="s">
        <v>8087</v>
      </c>
      <c r="H3103" s="229" t="s">
        <v>259</v>
      </c>
      <c r="I3103" s="229" t="s">
        <v>531</v>
      </c>
    </row>
    <row r="3104">
      <c r="A3104" s="233" t="s">
        <v>8088</v>
      </c>
      <c r="B3104" s="233" t="s">
        <v>8081</v>
      </c>
      <c r="C3104" s="233" t="s">
        <v>8085</v>
      </c>
      <c r="D3104" s="234">
        <v>45519.80430555555</v>
      </c>
      <c r="E3104" s="242"/>
      <c r="F3104" s="235" t="s">
        <v>391</v>
      </c>
      <c r="G3104" s="236" t="s">
        <v>877</v>
      </c>
      <c r="H3104" s="233" t="s">
        <v>259</v>
      </c>
      <c r="I3104" s="233" t="s">
        <v>531</v>
      </c>
    </row>
    <row r="3105">
      <c r="A3105" s="233" t="s">
        <v>8089</v>
      </c>
      <c r="B3105" s="233" t="s">
        <v>8081</v>
      </c>
      <c r="C3105" s="233" t="s">
        <v>8085</v>
      </c>
      <c r="D3105" s="234">
        <v>45506.74695601852</v>
      </c>
      <c r="E3105" s="234"/>
      <c r="F3105" s="235" t="s">
        <v>281</v>
      </c>
      <c r="G3105" s="236" t="s">
        <v>8090</v>
      </c>
      <c r="H3105" s="233" t="s">
        <v>259</v>
      </c>
      <c r="I3105" s="233" t="s">
        <v>531</v>
      </c>
    </row>
    <row r="3106">
      <c r="A3106" s="229" t="s">
        <v>8091</v>
      </c>
      <c r="B3106" s="229" t="s">
        <v>8081</v>
      </c>
      <c r="C3106" s="229" t="s">
        <v>8085</v>
      </c>
      <c r="D3106" s="230">
        <v>45487.88222222222</v>
      </c>
      <c r="E3106" s="230"/>
      <c r="F3106" s="231" t="s">
        <v>1124</v>
      </c>
      <c r="G3106" s="232" t="s">
        <v>1730</v>
      </c>
      <c r="H3106" s="229" t="s">
        <v>259</v>
      </c>
      <c r="I3106" s="229" t="s">
        <v>531</v>
      </c>
    </row>
    <row r="3107">
      <c r="A3107" s="229" t="s">
        <v>8091</v>
      </c>
      <c r="B3107" s="229" t="s">
        <v>8081</v>
      </c>
      <c r="C3107" s="229" t="s">
        <v>8085</v>
      </c>
      <c r="D3107" s="230">
        <v>45487.88222222222</v>
      </c>
      <c r="E3107" s="230"/>
      <c r="F3107" s="231" t="s">
        <v>1124</v>
      </c>
      <c r="G3107" s="232" t="s">
        <v>1730</v>
      </c>
      <c r="H3107" s="229" t="s">
        <v>259</v>
      </c>
      <c r="I3107" s="229" t="s">
        <v>531</v>
      </c>
    </row>
    <row r="3108">
      <c r="A3108" s="233" t="s">
        <v>8092</v>
      </c>
      <c r="B3108" s="233" t="s">
        <v>8081</v>
      </c>
      <c r="C3108" s="233" t="s">
        <v>8085</v>
      </c>
      <c r="D3108" s="234">
        <v>45450.87541666667</v>
      </c>
      <c r="E3108" s="234">
        <v>45452.38903935185</v>
      </c>
      <c r="F3108" s="235" t="s">
        <v>317</v>
      </c>
      <c r="G3108" s="236" t="s">
        <v>3332</v>
      </c>
      <c r="H3108" s="233" t="s">
        <v>259</v>
      </c>
      <c r="I3108" s="233" t="s">
        <v>531</v>
      </c>
    </row>
    <row r="3109">
      <c r="A3109" s="233" t="s">
        <v>8093</v>
      </c>
      <c r="B3109" s="233" t="s">
        <v>8094</v>
      </c>
      <c r="C3109" s="233" t="s">
        <v>7517</v>
      </c>
      <c r="D3109" s="234">
        <v>45542.861180555556</v>
      </c>
      <c r="E3109" s="234"/>
      <c r="F3109" s="235" t="s">
        <v>3436</v>
      </c>
      <c r="G3109" s="236" t="s">
        <v>8095</v>
      </c>
      <c r="H3109" s="233" t="s">
        <v>265</v>
      </c>
      <c r="I3109" s="233" t="s">
        <v>755</v>
      </c>
    </row>
    <row r="3110">
      <c r="A3110" s="233" t="s">
        <v>8096</v>
      </c>
      <c r="B3110" s="233" t="s">
        <v>8094</v>
      </c>
      <c r="C3110" s="233" t="s">
        <v>7517</v>
      </c>
      <c r="D3110" s="234">
        <v>45536.43787037037</v>
      </c>
      <c r="E3110" s="234"/>
      <c r="F3110" s="235" t="s">
        <v>3436</v>
      </c>
      <c r="G3110" s="236" t="s">
        <v>8097</v>
      </c>
      <c r="H3110" s="233" t="s">
        <v>265</v>
      </c>
      <c r="I3110" s="233" t="s">
        <v>755</v>
      </c>
    </row>
    <row r="3111">
      <c r="A3111" s="229" t="s">
        <v>8098</v>
      </c>
      <c r="B3111" s="229" t="s">
        <v>8094</v>
      </c>
      <c r="C3111" s="229" t="s">
        <v>7517</v>
      </c>
      <c r="D3111" s="230">
        <v>45522.46113425926</v>
      </c>
      <c r="E3111" s="230"/>
      <c r="F3111" s="231" t="s">
        <v>8099</v>
      </c>
      <c r="G3111" s="232" t="s">
        <v>8100</v>
      </c>
      <c r="H3111" s="229" t="s">
        <v>265</v>
      </c>
      <c r="I3111" s="229" t="s">
        <v>755</v>
      </c>
    </row>
    <row r="3112">
      <c r="A3112" s="233" t="s">
        <v>8101</v>
      </c>
      <c r="B3112" s="233" t="s">
        <v>8094</v>
      </c>
      <c r="C3112" s="233" t="s">
        <v>7517</v>
      </c>
      <c r="D3112" s="234">
        <v>45522.46055555555</v>
      </c>
      <c r="E3112" s="242"/>
      <c r="F3112" s="235" t="s">
        <v>391</v>
      </c>
      <c r="G3112" s="236" t="s">
        <v>877</v>
      </c>
      <c r="H3112" s="233" t="s">
        <v>259</v>
      </c>
      <c r="I3112" s="233" t="s">
        <v>755</v>
      </c>
    </row>
    <row r="3113">
      <c r="A3113" s="233" t="s">
        <v>8102</v>
      </c>
      <c r="B3113" s="233" t="s">
        <v>8094</v>
      </c>
      <c r="C3113" s="233" t="s">
        <v>7517</v>
      </c>
      <c r="D3113" s="234">
        <v>45501.731620370374</v>
      </c>
      <c r="E3113" s="234"/>
      <c r="F3113" s="235" t="s">
        <v>730</v>
      </c>
      <c r="G3113" s="236" t="s">
        <v>8103</v>
      </c>
      <c r="H3113" s="233" t="s">
        <v>259</v>
      </c>
      <c r="I3113" s="233" t="s">
        <v>755</v>
      </c>
    </row>
    <row r="3114">
      <c r="A3114" s="233" t="s">
        <v>8104</v>
      </c>
      <c r="B3114" s="233" t="s">
        <v>8094</v>
      </c>
      <c r="C3114" s="233" t="s">
        <v>8105</v>
      </c>
      <c r="D3114" s="234">
        <v>45501.682800925926</v>
      </c>
      <c r="E3114" s="234"/>
      <c r="F3114" s="235" t="s">
        <v>431</v>
      </c>
      <c r="G3114" s="236" t="s">
        <v>8106</v>
      </c>
      <c r="H3114" s="233" t="s">
        <v>754</v>
      </c>
      <c r="I3114" s="233" t="s">
        <v>755</v>
      </c>
    </row>
    <row r="3115">
      <c r="A3115" s="229" t="s">
        <v>8107</v>
      </c>
      <c r="B3115" s="229" t="s">
        <v>8094</v>
      </c>
      <c r="C3115" s="229" t="s">
        <v>7517</v>
      </c>
      <c r="D3115" s="230">
        <v>45501.68163194445</v>
      </c>
      <c r="E3115" s="243"/>
      <c r="F3115" s="231" t="s">
        <v>730</v>
      </c>
      <c r="G3115" s="232" t="s">
        <v>8108</v>
      </c>
      <c r="H3115" s="229" t="s">
        <v>265</v>
      </c>
      <c r="I3115" s="229" t="s">
        <v>755</v>
      </c>
    </row>
    <row r="3116">
      <c r="A3116" s="229" t="s">
        <v>8109</v>
      </c>
      <c r="B3116" s="229" t="s">
        <v>8094</v>
      </c>
      <c r="C3116" s="229" t="s">
        <v>7517</v>
      </c>
      <c r="D3116" s="230">
        <v>45479.619942129626</v>
      </c>
      <c r="E3116" s="230"/>
      <c r="F3116" s="231" t="s">
        <v>317</v>
      </c>
      <c r="G3116" s="232" t="s">
        <v>8110</v>
      </c>
      <c r="H3116" s="229" t="s">
        <v>265</v>
      </c>
      <c r="I3116" s="229" t="s">
        <v>755</v>
      </c>
    </row>
    <row r="3117">
      <c r="A3117" s="233" t="s">
        <v>8111</v>
      </c>
      <c r="B3117" s="233" t="s">
        <v>8094</v>
      </c>
      <c r="C3117" s="233" t="s">
        <v>6252</v>
      </c>
      <c r="D3117" s="234">
        <v>45473.60666666667</v>
      </c>
      <c r="E3117" s="234"/>
      <c r="F3117" s="235" t="s">
        <v>538</v>
      </c>
      <c r="G3117" s="236" t="s">
        <v>8112</v>
      </c>
      <c r="H3117" s="233" t="s">
        <v>754</v>
      </c>
      <c r="I3117" s="233" t="s">
        <v>755</v>
      </c>
    </row>
    <row r="3118">
      <c r="A3118" s="229" t="s">
        <v>8113</v>
      </c>
      <c r="B3118" s="229" t="s">
        <v>8094</v>
      </c>
      <c r="C3118" s="229" t="s">
        <v>7517</v>
      </c>
      <c r="D3118" s="230">
        <v>45473.59994212963</v>
      </c>
      <c r="E3118" s="230"/>
      <c r="F3118" s="231" t="s">
        <v>317</v>
      </c>
      <c r="G3118" s="232" t="s">
        <v>5662</v>
      </c>
      <c r="H3118" s="229" t="s">
        <v>265</v>
      </c>
      <c r="I3118" s="229" t="s">
        <v>755</v>
      </c>
    </row>
    <row r="3119">
      <c r="A3119" s="233" t="s">
        <v>8114</v>
      </c>
      <c r="B3119" s="233" t="s">
        <v>8094</v>
      </c>
      <c r="C3119" s="233" t="s">
        <v>7517</v>
      </c>
      <c r="D3119" s="234">
        <v>45466.86461805556</v>
      </c>
      <c r="E3119" s="234"/>
      <c r="F3119" s="235" t="s">
        <v>317</v>
      </c>
      <c r="G3119" s="236" t="s">
        <v>4256</v>
      </c>
      <c r="H3119" s="233" t="s">
        <v>265</v>
      </c>
      <c r="I3119" s="233" t="s">
        <v>755</v>
      </c>
    </row>
    <row r="3120">
      <c r="A3120" s="229" t="s">
        <v>8115</v>
      </c>
      <c r="B3120" s="229" t="s">
        <v>8094</v>
      </c>
      <c r="C3120" s="229" t="s">
        <v>7517</v>
      </c>
      <c r="D3120" s="230">
        <v>45457.81511574074</v>
      </c>
      <c r="E3120" s="230">
        <v>45457.63895833334</v>
      </c>
      <c r="F3120" s="231" t="s">
        <v>317</v>
      </c>
      <c r="G3120" s="232" t="s">
        <v>1024</v>
      </c>
      <c r="H3120" s="229" t="s">
        <v>265</v>
      </c>
      <c r="I3120" s="229" t="s">
        <v>755</v>
      </c>
    </row>
    <row r="3121">
      <c r="A3121" s="233" t="s">
        <v>8116</v>
      </c>
      <c r="B3121" s="233" t="s">
        <v>8094</v>
      </c>
      <c r="C3121" s="233" t="s">
        <v>7517</v>
      </c>
      <c r="D3121" s="234">
        <v>45445.69878472222</v>
      </c>
      <c r="E3121" s="234">
        <v>45445.53827546296</v>
      </c>
      <c r="F3121" s="235" t="s">
        <v>431</v>
      </c>
      <c r="G3121" s="236" t="s">
        <v>3588</v>
      </c>
      <c r="H3121" s="233" t="s">
        <v>265</v>
      </c>
      <c r="I3121" s="233" t="s">
        <v>755</v>
      </c>
    </row>
    <row r="3122">
      <c r="A3122" s="233" t="s">
        <v>8117</v>
      </c>
      <c r="B3122" s="233" t="s">
        <v>8094</v>
      </c>
      <c r="C3122" s="233" t="s">
        <v>8118</v>
      </c>
      <c r="D3122" s="234">
        <v>45733.8584375</v>
      </c>
      <c r="E3122" s="234">
        <v>45733.8993287037</v>
      </c>
      <c r="F3122" s="235" t="s">
        <v>250</v>
      </c>
      <c r="G3122" s="236" t="s">
        <v>8119</v>
      </c>
      <c r="H3122" s="233" t="s">
        <v>259</v>
      </c>
      <c r="I3122" s="233" t="s">
        <v>755</v>
      </c>
    </row>
    <row r="3123">
      <c r="A3123" s="233" t="s">
        <v>8120</v>
      </c>
      <c r="B3123" s="233" t="s">
        <v>8121</v>
      </c>
      <c r="C3123" s="233" t="s">
        <v>8122</v>
      </c>
      <c r="D3123" s="234">
        <v>45499.81835648148</v>
      </c>
      <c r="E3123" s="234"/>
      <c r="F3123" s="235" t="s">
        <v>250</v>
      </c>
      <c r="G3123" s="236" t="s">
        <v>3090</v>
      </c>
      <c r="H3123" s="233" t="s">
        <v>293</v>
      </c>
      <c r="I3123" s="233" t="s">
        <v>8123</v>
      </c>
    </row>
    <row r="3124">
      <c r="A3124" s="233" t="s">
        <v>8124</v>
      </c>
      <c r="B3124" s="233" t="s">
        <v>8125</v>
      </c>
      <c r="C3124" s="233" t="s">
        <v>8126</v>
      </c>
      <c r="D3124" s="234">
        <v>45746.89597222222</v>
      </c>
      <c r="E3124" s="234">
        <v>45747.77788194444</v>
      </c>
      <c r="F3124" s="235" t="s">
        <v>5824</v>
      </c>
      <c r="G3124" s="236" t="s">
        <v>8127</v>
      </c>
      <c r="H3124" s="233" t="s">
        <v>8128</v>
      </c>
      <c r="I3124" s="233" t="s">
        <v>294</v>
      </c>
    </row>
    <row r="3125">
      <c r="A3125" s="229" t="s">
        <v>8129</v>
      </c>
      <c r="B3125" s="229" t="s">
        <v>8125</v>
      </c>
      <c r="C3125" s="229" t="s">
        <v>8130</v>
      </c>
      <c r="D3125" s="230">
        <v>45745.90054398148</v>
      </c>
      <c r="E3125" s="230">
        <v>45745.91320601852</v>
      </c>
      <c r="F3125" s="231" t="s">
        <v>580</v>
      </c>
      <c r="G3125" s="232" t="s">
        <v>8131</v>
      </c>
      <c r="H3125" s="229" t="s">
        <v>561</v>
      </c>
      <c r="I3125" s="229" t="s">
        <v>8132</v>
      </c>
    </row>
    <row r="3126">
      <c r="A3126" s="233" t="s">
        <v>8133</v>
      </c>
      <c r="B3126" s="233" t="s">
        <v>8125</v>
      </c>
      <c r="C3126" s="233" t="s">
        <v>8134</v>
      </c>
      <c r="D3126" s="234">
        <v>45733.89947916667</v>
      </c>
      <c r="E3126" s="234">
        <v>45733.91320601852</v>
      </c>
      <c r="F3126" s="235" t="s">
        <v>2966</v>
      </c>
      <c r="G3126" s="236" t="s">
        <v>2967</v>
      </c>
      <c r="H3126" s="233" t="s">
        <v>632</v>
      </c>
      <c r="I3126" s="233" t="s">
        <v>294</v>
      </c>
    </row>
    <row r="3127">
      <c r="A3127" s="229" t="s">
        <v>8135</v>
      </c>
      <c r="B3127" s="229" t="s">
        <v>8125</v>
      </c>
      <c r="C3127" s="229" t="s">
        <v>8126</v>
      </c>
      <c r="D3127" s="230">
        <v>45733.89747685185</v>
      </c>
      <c r="E3127" s="230">
        <v>45734.507002314815</v>
      </c>
      <c r="F3127" s="231" t="s">
        <v>281</v>
      </c>
      <c r="G3127" s="232" t="s">
        <v>3454</v>
      </c>
      <c r="H3127" s="229" t="s">
        <v>8128</v>
      </c>
      <c r="I3127" s="229" t="s">
        <v>294</v>
      </c>
    </row>
    <row r="3128">
      <c r="A3128" s="229" t="s">
        <v>8136</v>
      </c>
      <c r="B3128" s="229" t="s">
        <v>8125</v>
      </c>
      <c r="C3128" s="229" t="s">
        <v>8137</v>
      </c>
      <c r="D3128" s="230">
        <v>45750.842199074075</v>
      </c>
      <c r="E3128" s="230">
        <v>45751.45837962963</v>
      </c>
      <c r="F3128" s="231" t="s">
        <v>435</v>
      </c>
      <c r="G3128" s="232" t="s">
        <v>8138</v>
      </c>
      <c r="H3128" s="229" t="s">
        <v>8128</v>
      </c>
      <c r="I3128" s="229" t="s">
        <v>294</v>
      </c>
    </row>
    <row r="3129">
      <c r="A3129" s="229" t="s">
        <v>8139</v>
      </c>
      <c r="B3129" s="229" t="s">
        <v>8140</v>
      </c>
      <c r="C3129" s="229" t="s">
        <v>8141</v>
      </c>
      <c r="D3129" s="230">
        <v>45541.786770833336</v>
      </c>
      <c r="E3129" s="230"/>
      <c r="F3129" s="231" t="s">
        <v>8142</v>
      </c>
      <c r="G3129" s="232" t="s">
        <v>8143</v>
      </c>
      <c r="H3129" s="229" t="s">
        <v>377</v>
      </c>
      <c r="I3129" s="229" t="s">
        <v>357</v>
      </c>
    </row>
    <row r="3130">
      <c r="A3130" s="229" t="s">
        <v>8144</v>
      </c>
      <c r="B3130" s="229" t="s">
        <v>8140</v>
      </c>
      <c r="C3130" s="229" t="s">
        <v>8141</v>
      </c>
      <c r="D3130" s="230">
        <v>45538.527025462965</v>
      </c>
      <c r="E3130" s="230"/>
      <c r="F3130" s="231" t="s">
        <v>1313</v>
      </c>
      <c r="G3130" s="232" t="s">
        <v>6300</v>
      </c>
      <c r="H3130" s="229" t="s">
        <v>377</v>
      </c>
      <c r="I3130" s="229" t="s">
        <v>357</v>
      </c>
    </row>
    <row r="3131">
      <c r="A3131" s="229" t="s">
        <v>8145</v>
      </c>
      <c r="B3131" s="229" t="s">
        <v>8140</v>
      </c>
      <c r="C3131" s="229" t="s">
        <v>8141</v>
      </c>
      <c r="D3131" s="230">
        <v>45520.817824074074</v>
      </c>
      <c r="E3131" s="230"/>
      <c r="F3131" s="231" t="s">
        <v>465</v>
      </c>
      <c r="G3131" s="232" t="s">
        <v>7914</v>
      </c>
      <c r="H3131" s="229" t="s">
        <v>377</v>
      </c>
      <c r="I3131" s="229" t="s">
        <v>357</v>
      </c>
    </row>
    <row r="3132">
      <c r="A3132" s="233" t="s">
        <v>8146</v>
      </c>
      <c r="B3132" s="233" t="s">
        <v>8140</v>
      </c>
      <c r="C3132" s="233" t="s">
        <v>8141</v>
      </c>
      <c r="D3132" s="234">
        <v>45513.81246527778</v>
      </c>
      <c r="E3132" s="234"/>
      <c r="F3132" s="235" t="s">
        <v>465</v>
      </c>
      <c r="G3132" s="236" t="s">
        <v>8147</v>
      </c>
      <c r="H3132" s="233" t="s">
        <v>377</v>
      </c>
      <c r="I3132" s="233" t="s">
        <v>357</v>
      </c>
    </row>
    <row r="3133">
      <c r="A3133" s="229" t="s">
        <v>8148</v>
      </c>
      <c r="B3133" s="229" t="s">
        <v>8140</v>
      </c>
      <c r="C3133" s="229" t="s">
        <v>8141</v>
      </c>
      <c r="D3133" s="230">
        <v>45506.76841435185</v>
      </c>
      <c r="E3133" s="230"/>
      <c r="F3133" s="231" t="s">
        <v>3477</v>
      </c>
      <c r="G3133" s="232" t="s">
        <v>3478</v>
      </c>
      <c r="H3133" s="229" t="s">
        <v>377</v>
      </c>
      <c r="I3133" s="229" t="s">
        <v>357</v>
      </c>
    </row>
    <row r="3134">
      <c r="A3134" s="233" t="s">
        <v>8149</v>
      </c>
      <c r="B3134" s="233" t="s">
        <v>8140</v>
      </c>
      <c r="C3134" s="233" t="s">
        <v>8141</v>
      </c>
      <c r="D3134" s="234">
        <v>45488.8855787037</v>
      </c>
      <c r="E3134" s="234"/>
      <c r="F3134" s="235" t="s">
        <v>8150</v>
      </c>
      <c r="G3134" s="236" t="s">
        <v>8151</v>
      </c>
      <c r="H3134" s="233" t="s">
        <v>377</v>
      </c>
      <c r="I3134" s="233" t="s">
        <v>357</v>
      </c>
    </row>
    <row r="3135">
      <c r="A3135" s="229" t="s">
        <v>8152</v>
      </c>
      <c r="B3135" s="229" t="s">
        <v>8140</v>
      </c>
      <c r="C3135" s="229" t="s">
        <v>8141</v>
      </c>
      <c r="D3135" s="230">
        <v>45486.51770833333</v>
      </c>
      <c r="E3135" s="230"/>
      <c r="F3135" s="231" t="s">
        <v>286</v>
      </c>
      <c r="G3135" s="232" t="s">
        <v>5029</v>
      </c>
      <c r="H3135" s="229" t="s">
        <v>377</v>
      </c>
      <c r="I3135" s="229" t="s">
        <v>357</v>
      </c>
    </row>
    <row r="3136">
      <c r="A3136" s="233" t="s">
        <v>8149</v>
      </c>
      <c r="B3136" s="233" t="s">
        <v>8140</v>
      </c>
      <c r="C3136" s="233" t="s">
        <v>8141</v>
      </c>
      <c r="D3136" s="234">
        <v>45488.8855787037</v>
      </c>
      <c r="E3136" s="234"/>
      <c r="F3136" s="235" t="s">
        <v>8150</v>
      </c>
      <c r="G3136" s="236" t="s">
        <v>8151</v>
      </c>
      <c r="H3136" s="233" t="s">
        <v>377</v>
      </c>
      <c r="I3136" s="233" t="s">
        <v>357</v>
      </c>
    </row>
    <row r="3137">
      <c r="A3137" s="229" t="s">
        <v>8152</v>
      </c>
      <c r="B3137" s="229" t="s">
        <v>8140</v>
      </c>
      <c r="C3137" s="229" t="s">
        <v>8141</v>
      </c>
      <c r="D3137" s="230">
        <v>45486.51770833333</v>
      </c>
      <c r="E3137" s="230"/>
      <c r="F3137" s="231" t="s">
        <v>286</v>
      </c>
      <c r="G3137" s="232" t="s">
        <v>5029</v>
      </c>
      <c r="H3137" s="229" t="s">
        <v>377</v>
      </c>
      <c r="I3137" s="229" t="s">
        <v>357</v>
      </c>
    </row>
    <row r="3138">
      <c r="A3138" s="233" t="s">
        <v>8153</v>
      </c>
      <c r="B3138" s="233" t="s">
        <v>8140</v>
      </c>
      <c r="C3138" s="233" t="s">
        <v>8141</v>
      </c>
      <c r="D3138" s="234">
        <v>45476.8921875</v>
      </c>
      <c r="E3138" s="234"/>
      <c r="F3138" s="235" t="s">
        <v>8154</v>
      </c>
      <c r="G3138" s="236" t="s">
        <v>8155</v>
      </c>
      <c r="H3138" s="233" t="s">
        <v>377</v>
      </c>
      <c r="I3138" s="233" t="s">
        <v>357</v>
      </c>
    </row>
    <row r="3139">
      <c r="A3139" s="233" t="s">
        <v>8156</v>
      </c>
      <c r="B3139" s="233" t="s">
        <v>8140</v>
      </c>
      <c r="C3139" s="233" t="s">
        <v>8141</v>
      </c>
      <c r="D3139" s="234">
        <v>45464.7794212963</v>
      </c>
      <c r="E3139" s="234"/>
      <c r="F3139" s="235" t="s">
        <v>8157</v>
      </c>
      <c r="G3139" s="236" t="s">
        <v>8158</v>
      </c>
      <c r="H3139" s="233" t="s">
        <v>377</v>
      </c>
      <c r="I3139" s="233" t="s">
        <v>357</v>
      </c>
    </row>
    <row r="3140">
      <c r="A3140" s="229" t="s">
        <v>8159</v>
      </c>
      <c r="B3140" s="229" t="s">
        <v>8140</v>
      </c>
      <c r="C3140" s="229" t="s">
        <v>8141</v>
      </c>
      <c r="D3140" s="230">
        <v>45437.4965625</v>
      </c>
      <c r="E3140" s="230">
        <v>45437.30917824074</v>
      </c>
      <c r="F3140" s="231" t="s">
        <v>4023</v>
      </c>
      <c r="G3140" s="232" t="s">
        <v>4024</v>
      </c>
      <c r="H3140" s="229" t="s">
        <v>377</v>
      </c>
      <c r="I3140" s="229" t="s">
        <v>357</v>
      </c>
    </row>
    <row r="3141">
      <c r="A3141" s="229" t="s">
        <v>8160</v>
      </c>
      <c r="B3141" s="229" t="s">
        <v>8140</v>
      </c>
      <c r="C3141" s="229" t="s">
        <v>8141</v>
      </c>
      <c r="D3141" s="230">
        <v>45703.63460648148</v>
      </c>
      <c r="E3141" s="230">
        <v>45703.65634259259</v>
      </c>
      <c r="F3141" s="231" t="s">
        <v>8161</v>
      </c>
      <c r="G3141" s="232" t="s">
        <v>8162</v>
      </c>
      <c r="H3141" s="229" t="s">
        <v>377</v>
      </c>
      <c r="I3141" s="229" t="s">
        <v>357</v>
      </c>
    </row>
    <row r="3142">
      <c r="A3142" s="229" t="s">
        <v>8163</v>
      </c>
      <c r="B3142" s="229" t="s">
        <v>8140</v>
      </c>
      <c r="C3142" s="229" t="s">
        <v>8141</v>
      </c>
      <c r="D3142" s="230">
        <v>45745.762349537035</v>
      </c>
      <c r="E3142" s="230">
        <v>45745.781377314815</v>
      </c>
      <c r="F3142" s="231" t="s">
        <v>8164</v>
      </c>
      <c r="G3142" s="232" t="s">
        <v>8165</v>
      </c>
      <c r="H3142" s="229" t="s">
        <v>377</v>
      </c>
      <c r="I3142" s="229" t="s">
        <v>357</v>
      </c>
    </row>
    <row r="3143">
      <c r="A3143" s="229" t="s">
        <v>8166</v>
      </c>
      <c r="B3143" s="229" t="s">
        <v>8167</v>
      </c>
      <c r="C3143" s="229" t="s">
        <v>8168</v>
      </c>
      <c r="D3143" s="230">
        <v>45444.79420138889</v>
      </c>
      <c r="E3143" s="230">
        <v>45444.63199074074</v>
      </c>
      <c r="F3143" s="231" t="s">
        <v>291</v>
      </c>
      <c r="G3143" s="232" t="s">
        <v>6891</v>
      </c>
      <c r="H3143" s="229" t="s">
        <v>356</v>
      </c>
      <c r="I3143" s="229" t="s">
        <v>946</v>
      </c>
    </row>
    <row r="3144">
      <c r="A3144" s="233" t="s">
        <v>8169</v>
      </c>
      <c r="B3144" s="233" t="s">
        <v>8170</v>
      </c>
      <c r="C3144" s="233" t="s">
        <v>8171</v>
      </c>
      <c r="D3144" s="234">
        <v>45706.59155092593</v>
      </c>
      <c r="E3144" s="234">
        <v>45706.71886574074</v>
      </c>
      <c r="F3144" s="235" t="s">
        <v>651</v>
      </c>
      <c r="G3144" s="236" t="s">
        <v>6092</v>
      </c>
      <c r="H3144" s="233" t="s">
        <v>356</v>
      </c>
      <c r="I3144" s="233" t="s">
        <v>1302</v>
      </c>
    </row>
    <row r="3145">
      <c r="A3145" s="229" t="s">
        <v>8172</v>
      </c>
      <c r="B3145" s="229" t="s">
        <v>8173</v>
      </c>
      <c r="C3145" s="229" t="s">
        <v>8174</v>
      </c>
      <c r="D3145" s="230">
        <v>45541.64398148148</v>
      </c>
      <c r="E3145" s="230"/>
      <c r="F3145" s="231" t="s">
        <v>2920</v>
      </c>
      <c r="G3145" s="232" t="s">
        <v>6879</v>
      </c>
      <c r="H3145" s="229" t="s">
        <v>346</v>
      </c>
      <c r="I3145" s="229" t="s">
        <v>8175</v>
      </c>
    </row>
    <row r="3146">
      <c r="A3146" s="229" t="s">
        <v>8176</v>
      </c>
      <c r="B3146" s="229" t="s">
        <v>8177</v>
      </c>
      <c r="C3146" s="229" t="s">
        <v>8178</v>
      </c>
      <c r="D3146" s="230">
        <v>45738.62295138889</v>
      </c>
      <c r="E3146" s="230">
        <v>45738.69457175926</v>
      </c>
      <c r="F3146" s="231" t="s">
        <v>2030</v>
      </c>
      <c r="G3146" s="232" t="s">
        <v>8179</v>
      </c>
      <c r="H3146" s="229" t="s">
        <v>377</v>
      </c>
      <c r="I3146" s="229" t="s">
        <v>8180</v>
      </c>
    </row>
    <row r="3147">
      <c r="A3147" s="233" t="s">
        <v>8181</v>
      </c>
      <c r="B3147" s="233" t="s">
        <v>8182</v>
      </c>
      <c r="C3147" s="233" t="s">
        <v>8183</v>
      </c>
      <c r="D3147" s="234">
        <v>45539.843622685185</v>
      </c>
      <c r="E3147" s="234"/>
      <c r="F3147" s="235" t="s">
        <v>572</v>
      </c>
      <c r="G3147" s="236" t="s">
        <v>8184</v>
      </c>
      <c r="H3147" s="233" t="s">
        <v>356</v>
      </c>
      <c r="I3147" s="233" t="s">
        <v>8185</v>
      </c>
    </row>
    <row r="3148">
      <c r="A3148" s="229" t="s">
        <v>8186</v>
      </c>
      <c r="B3148" s="229" t="s">
        <v>8187</v>
      </c>
      <c r="C3148" s="229" t="s">
        <v>8188</v>
      </c>
      <c r="D3148" s="230">
        <v>45774.60512731481</v>
      </c>
      <c r="E3148" s="230">
        <v>45775.61472222222</v>
      </c>
      <c r="F3148" s="231" t="s">
        <v>291</v>
      </c>
      <c r="G3148" s="232" t="s">
        <v>8189</v>
      </c>
      <c r="H3148" s="229" t="s">
        <v>978</v>
      </c>
      <c r="I3148" s="229" t="s">
        <v>796</v>
      </c>
    </row>
    <row r="3149">
      <c r="A3149" s="233" t="s">
        <v>8190</v>
      </c>
      <c r="B3149" s="233" t="s">
        <v>8187</v>
      </c>
      <c r="C3149" s="233" t="s">
        <v>8188</v>
      </c>
      <c r="D3149" s="234">
        <v>45761.8659375</v>
      </c>
      <c r="E3149" s="234">
        <v>45762.514016203706</v>
      </c>
      <c r="F3149" s="235" t="s">
        <v>317</v>
      </c>
      <c r="G3149" s="236" t="s">
        <v>8191</v>
      </c>
      <c r="H3149" s="233" t="s">
        <v>978</v>
      </c>
      <c r="I3149" s="233" t="s">
        <v>796</v>
      </c>
    </row>
    <row r="3150">
      <c r="A3150" s="229" t="s">
        <v>8192</v>
      </c>
      <c r="B3150" s="229" t="s">
        <v>8193</v>
      </c>
      <c r="C3150" s="229" t="s">
        <v>8194</v>
      </c>
      <c r="D3150" s="230">
        <v>45759.80291666667</v>
      </c>
      <c r="E3150" s="230">
        <v>45760.47236111111</v>
      </c>
      <c r="F3150" s="231" t="s">
        <v>1300</v>
      </c>
      <c r="G3150" s="232" t="s">
        <v>1300</v>
      </c>
      <c r="H3150" s="229" t="s">
        <v>1632</v>
      </c>
      <c r="I3150" s="229" t="s">
        <v>8195</v>
      </c>
    </row>
    <row r="3151">
      <c r="A3151" s="229" t="s">
        <v>8196</v>
      </c>
      <c r="B3151" s="229" t="s">
        <v>371</v>
      </c>
      <c r="C3151" s="229" t="s">
        <v>8197</v>
      </c>
      <c r="D3151" s="230">
        <v>45761.539675925924</v>
      </c>
      <c r="E3151" s="230">
        <v>45761.55569444445</v>
      </c>
      <c r="F3151" s="231" t="s">
        <v>8198</v>
      </c>
      <c r="G3151" s="232" t="s">
        <v>8199</v>
      </c>
      <c r="H3151" s="229" t="s">
        <v>377</v>
      </c>
      <c r="I3151" s="229" t="s">
        <v>8200</v>
      </c>
    </row>
    <row r="3152">
      <c r="A3152" s="233" t="s">
        <v>8201</v>
      </c>
      <c r="B3152" s="233" t="s">
        <v>8202</v>
      </c>
      <c r="C3152" s="233" t="s">
        <v>8203</v>
      </c>
      <c r="D3152" s="234">
        <v>45524.844872685186</v>
      </c>
      <c r="E3152" s="234"/>
      <c r="F3152" s="235" t="s">
        <v>4357</v>
      </c>
      <c r="G3152" s="236" t="s">
        <v>4357</v>
      </c>
      <c r="H3152" s="233" t="s">
        <v>1632</v>
      </c>
      <c r="I3152" s="233" t="s">
        <v>1633</v>
      </c>
    </row>
    <row r="3153">
      <c r="A3153" s="229" t="s">
        <v>8204</v>
      </c>
      <c r="B3153" s="229" t="s">
        <v>8202</v>
      </c>
      <c r="C3153" s="229" t="s">
        <v>8205</v>
      </c>
      <c r="D3153" s="230">
        <v>45508.72893518519</v>
      </c>
      <c r="E3153" s="230"/>
      <c r="F3153" s="231" t="s">
        <v>2786</v>
      </c>
      <c r="G3153" s="232" t="s">
        <v>2786</v>
      </c>
      <c r="H3153" s="229" t="s">
        <v>1632</v>
      </c>
      <c r="I3153" s="229" t="s">
        <v>1633</v>
      </c>
    </row>
    <row r="3154">
      <c r="A3154" s="233" t="s">
        <v>8206</v>
      </c>
      <c r="B3154" s="233" t="s">
        <v>8202</v>
      </c>
      <c r="C3154" s="233" t="s">
        <v>8207</v>
      </c>
      <c r="D3154" s="234">
        <v>45508.72645833333</v>
      </c>
      <c r="E3154" s="234"/>
      <c r="F3154" s="235" t="s">
        <v>431</v>
      </c>
      <c r="G3154" s="236" t="s">
        <v>431</v>
      </c>
      <c r="H3154" s="233" t="s">
        <v>1632</v>
      </c>
      <c r="I3154" s="233" t="s">
        <v>1633</v>
      </c>
    </row>
    <row r="3155">
      <c r="A3155" s="229" t="s">
        <v>8208</v>
      </c>
      <c r="B3155" s="229" t="s">
        <v>8202</v>
      </c>
      <c r="C3155" s="229" t="s">
        <v>8209</v>
      </c>
      <c r="D3155" s="230">
        <v>45486.70824074074</v>
      </c>
      <c r="E3155" s="230"/>
      <c r="F3155" s="231" t="s">
        <v>269</v>
      </c>
      <c r="G3155" s="232" t="s">
        <v>8210</v>
      </c>
      <c r="H3155" s="229" t="s">
        <v>265</v>
      </c>
      <c r="I3155" s="229" t="s">
        <v>3455</v>
      </c>
    </row>
    <row r="3156">
      <c r="A3156" s="229" t="s">
        <v>8208</v>
      </c>
      <c r="B3156" s="229" t="s">
        <v>8202</v>
      </c>
      <c r="C3156" s="229" t="s">
        <v>8209</v>
      </c>
      <c r="D3156" s="230">
        <v>45486.70824074074</v>
      </c>
      <c r="E3156" s="230"/>
      <c r="F3156" s="231" t="s">
        <v>269</v>
      </c>
      <c r="G3156" s="232" t="s">
        <v>8210</v>
      </c>
      <c r="H3156" s="229" t="s">
        <v>265</v>
      </c>
      <c r="I3156" s="229" t="s">
        <v>3455</v>
      </c>
    </row>
    <row r="3157">
      <c r="A3157" s="233" t="s">
        <v>8211</v>
      </c>
      <c r="B3157" s="233" t="s">
        <v>8212</v>
      </c>
      <c r="C3157" s="233" t="s">
        <v>8213</v>
      </c>
      <c r="D3157" s="234">
        <v>45711.734444444446</v>
      </c>
      <c r="E3157" s="234">
        <v>45714.43765046296</v>
      </c>
      <c r="F3157" s="235" t="s">
        <v>658</v>
      </c>
      <c r="G3157" s="236" t="s">
        <v>8214</v>
      </c>
      <c r="H3157" s="233" t="s">
        <v>811</v>
      </c>
      <c r="I3157" s="233" t="s">
        <v>357</v>
      </c>
    </row>
    <row r="3158">
      <c r="A3158" s="233" t="s">
        <v>8215</v>
      </c>
      <c r="B3158" s="233" t="s">
        <v>8212</v>
      </c>
      <c r="C3158" s="233" t="s">
        <v>8213</v>
      </c>
      <c r="D3158" s="234">
        <v>45746.540914351855</v>
      </c>
      <c r="E3158" s="234">
        <v>45748.48619212963</v>
      </c>
      <c r="F3158" s="235" t="s">
        <v>435</v>
      </c>
      <c r="G3158" s="236" t="s">
        <v>8216</v>
      </c>
      <c r="H3158" s="233" t="s">
        <v>811</v>
      </c>
      <c r="I3158" s="233" t="s">
        <v>357</v>
      </c>
    </row>
    <row r="3159">
      <c r="A3159" s="233" t="s">
        <v>8217</v>
      </c>
      <c r="B3159" s="233" t="s">
        <v>8212</v>
      </c>
      <c r="C3159" s="233" t="s">
        <v>8213</v>
      </c>
      <c r="D3159" s="234">
        <v>45732.8140625</v>
      </c>
      <c r="E3159" s="234">
        <v>45733.50707175926</v>
      </c>
      <c r="F3159" s="235" t="s">
        <v>730</v>
      </c>
      <c r="G3159" s="236" t="s">
        <v>8218</v>
      </c>
      <c r="H3159" s="233" t="s">
        <v>811</v>
      </c>
      <c r="I3159" s="233" t="s">
        <v>357</v>
      </c>
    </row>
    <row r="3160">
      <c r="A3160" s="233" t="s">
        <v>8219</v>
      </c>
      <c r="B3160" s="233" t="s">
        <v>8212</v>
      </c>
      <c r="C3160" s="233" t="s">
        <v>8213</v>
      </c>
      <c r="D3160" s="234">
        <v>45774.72951388889</v>
      </c>
      <c r="E3160" s="234">
        <v>45777.513969907406</v>
      </c>
      <c r="F3160" s="235" t="s">
        <v>317</v>
      </c>
      <c r="G3160" s="236" t="s">
        <v>8220</v>
      </c>
      <c r="H3160" s="233" t="s">
        <v>811</v>
      </c>
      <c r="I3160" s="233" t="s">
        <v>357</v>
      </c>
    </row>
    <row r="3161">
      <c r="A3161" s="233" t="s">
        <v>8221</v>
      </c>
      <c r="B3161" s="233" t="s">
        <v>8212</v>
      </c>
      <c r="C3161" s="233" t="s">
        <v>8213</v>
      </c>
      <c r="D3161" s="234">
        <v>45760.67273148148</v>
      </c>
      <c r="E3161" s="234">
        <v>45762.5141087963</v>
      </c>
      <c r="F3161" s="235" t="s">
        <v>3436</v>
      </c>
      <c r="G3161" s="236" t="s">
        <v>8222</v>
      </c>
      <c r="H3161" s="233" t="s">
        <v>811</v>
      </c>
      <c r="I3161" s="233" t="s">
        <v>357</v>
      </c>
    </row>
    <row r="3162">
      <c r="A3162" s="229" t="s">
        <v>8223</v>
      </c>
      <c r="B3162" s="229" t="s">
        <v>8224</v>
      </c>
      <c r="C3162" s="229" t="s">
        <v>8225</v>
      </c>
      <c r="D3162" s="230">
        <v>45477.45538194444</v>
      </c>
      <c r="E3162" s="230"/>
      <c r="F3162" s="231" t="s">
        <v>503</v>
      </c>
      <c r="G3162" s="232" t="s">
        <v>8226</v>
      </c>
      <c r="H3162" s="229" t="s">
        <v>283</v>
      </c>
      <c r="I3162" s="229" t="s">
        <v>1067</v>
      </c>
    </row>
    <row r="3163">
      <c r="A3163" s="238" t="s">
        <v>8227</v>
      </c>
      <c r="B3163" s="238" t="s">
        <v>8228</v>
      </c>
      <c r="C3163" s="238" t="s">
        <v>8229</v>
      </c>
      <c r="D3163" s="239">
        <v>45492.55771990741</v>
      </c>
      <c r="E3163" s="239"/>
      <c r="F3163" s="240" t="s">
        <v>431</v>
      </c>
      <c r="G3163" s="241" t="s">
        <v>5031</v>
      </c>
      <c r="H3163" s="238" t="s">
        <v>346</v>
      </c>
      <c r="I3163" s="238" t="s">
        <v>1242</v>
      </c>
    </row>
    <row r="3164">
      <c r="A3164" s="233" t="s">
        <v>8227</v>
      </c>
      <c r="B3164" s="233" t="s">
        <v>8228</v>
      </c>
      <c r="C3164" s="233" t="s">
        <v>8229</v>
      </c>
      <c r="D3164" s="234">
        <v>45492.55771990741</v>
      </c>
      <c r="E3164" s="234"/>
      <c r="F3164" s="235" t="s">
        <v>431</v>
      </c>
      <c r="G3164" s="236" t="s">
        <v>5031</v>
      </c>
      <c r="H3164" s="233" t="s">
        <v>346</v>
      </c>
      <c r="I3164" s="233" t="s">
        <v>1242</v>
      </c>
    </row>
    <row r="3165">
      <c r="A3165" s="233" t="s">
        <v>8227</v>
      </c>
      <c r="B3165" s="233" t="s">
        <v>8228</v>
      </c>
      <c r="C3165" s="233" t="s">
        <v>8229</v>
      </c>
      <c r="D3165" s="234">
        <v>45492.55771990741</v>
      </c>
      <c r="E3165" s="234"/>
      <c r="F3165" s="235" t="s">
        <v>431</v>
      </c>
      <c r="G3165" s="236" t="s">
        <v>5031</v>
      </c>
      <c r="H3165" s="233" t="s">
        <v>346</v>
      </c>
      <c r="I3165" s="233" t="s">
        <v>1242</v>
      </c>
    </row>
    <row r="3166">
      <c r="A3166" s="233" t="s">
        <v>8230</v>
      </c>
      <c r="B3166" s="233" t="s">
        <v>8228</v>
      </c>
      <c r="C3166" s="233" t="s">
        <v>8231</v>
      </c>
      <c r="D3166" s="234">
        <v>45466.870625</v>
      </c>
      <c r="E3166" s="234"/>
      <c r="F3166" s="235" t="s">
        <v>431</v>
      </c>
      <c r="G3166" s="236" t="s">
        <v>1399</v>
      </c>
      <c r="H3166" s="233" t="s">
        <v>346</v>
      </c>
      <c r="I3166" s="233" t="s">
        <v>8175</v>
      </c>
    </row>
    <row r="3167">
      <c r="A3167" s="229" t="s">
        <v>8232</v>
      </c>
      <c r="B3167" s="229" t="s">
        <v>8228</v>
      </c>
      <c r="C3167" s="229" t="s">
        <v>8231</v>
      </c>
      <c r="D3167" s="230">
        <v>45444.72856481482</v>
      </c>
      <c r="E3167" s="230">
        <v>45444.56951388889</v>
      </c>
      <c r="F3167" s="231" t="s">
        <v>658</v>
      </c>
      <c r="G3167" s="232" t="s">
        <v>8233</v>
      </c>
      <c r="H3167" s="229" t="s">
        <v>346</v>
      </c>
      <c r="I3167" s="229" t="s">
        <v>8175</v>
      </c>
    </row>
    <row r="3168">
      <c r="A3168" s="233" t="s">
        <v>8234</v>
      </c>
      <c r="B3168" s="233" t="s">
        <v>8228</v>
      </c>
      <c r="C3168" s="233" t="s">
        <v>8231</v>
      </c>
      <c r="D3168" s="234">
        <v>45759.87761574074</v>
      </c>
      <c r="E3168" s="234">
        <v>45760.51054398148</v>
      </c>
      <c r="F3168" s="235" t="s">
        <v>645</v>
      </c>
      <c r="G3168" s="236" t="s">
        <v>8235</v>
      </c>
      <c r="H3168" s="233" t="s">
        <v>346</v>
      </c>
      <c r="I3168" s="233" t="s">
        <v>8175</v>
      </c>
    </row>
    <row r="3169">
      <c r="A3169" s="238" t="s">
        <v>8236</v>
      </c>
      <c r="B3169" s="238" t="s">
        <v>8237</v>
      </c>
      <c r="C3169" s="238" t="s">
        <v>8238</v>
      </c>
      <c r="D3169" s="239">
        <v>45709.547326388885</v>
      </c>
      <c r="E3169" s="239">
        <v>45709.65287037037</v>
      </c>
      <c r="F3169" s="240" t="s">
        <v>396</v>
      </c>
      <c r="G3169" s="241" t="s">
        <v>396</v>
      </c>
      <c r="H3169" s="238" t="s">
        <v>962</v>
      </c>
      <c r="I3169" s="238" t="s">
        <v>8239</v>
      </c>
    </row>
    <row r="3170">
      <c r="A3170" s="233" t="s">
        <v>8240</v>
      </c>
      <c r="B3170" s="233" t="s">
        <v>8237</v>
      </c>
      <c r="C3170" s="233" t="s">
        <v>8238</v>
      </c>
      <c r="D3170" s="234">
        <v>45708.67633101852</v>
      </c>
      <c r="E3170" s="234">
        <v>45708.70144675926</v>
      </c>
      <c r="F3170" s="235" t="s">
        <v>498</v>
      </c>
      <c r="G3170" s="236" t="s">
        <v>498</v>
      </c>
      <c r="H3170" s="233" t="s">
        <v>962</v>
      </c>
      <c r="I3170" s="233" t="s">
        <v>8239</v>
      </c>
    </row>
    <row r="3171">
      <c r="A3171" s="229" t="s">
        <v>8241</v>
      </c>
      <c r="B3171" s="229" t="s">
        <v>8237</v>
      </c>
      <c r="C3171" s="229" t="s">
        <v>8238</v>
      </c>
      <c r="D3171" s="230">
        <v>45760.83315972222</v>
      </c>
      <c r="E3171" s="230">
        <v>45761.4793287037</v>
      </c>
      <c r="F3171" s="231" t="s">
        <v>538</v>
      </c>
      <c r="G3171" s="232" t="s">
        <v>538</v>
      </c>
      <c r="H3171" s="229" t="s">
        <v>962</v>
      </c>
      <c r="I3171" s="229" t="s">
        <v>8239</v>
      </c>
    </row>
    <row r="3172">
      <c r="A3172" s="233" t="s">
        <v>8242</v>
      </c>
      <c r="B3172" s="233" t="s">
        <v>8243</v>
      </c>
      <c r="C3172" s="233" t="s">
        <v>8244</v>
      </c>
      <c r="D3172" s="234">
        <v>45460.4462037037</v>
      </c>
      <c r="E3172" s="234">
        <v>45460.34384259259</v>
      </c>
      <c r="F3172" s="235" t="s">
        <v>281</v>
      </c>
      <c r="G3172" s="236" t="s">
        <v>282</v>
      </c>
      <c r="H3172" s="233" t="s">
        <v>377</v>
      </c>
      <c r="I3172" s="233" t="s">
        <v>284</v>
      </c>
    </row>
    <row r="3173">
      <c r="A3173" s="233" t="s">
        <v>8245</v>
      </c>
      <c r="B3173" s="233" t="s">
        <v>8243</v>
      </c>
      <c r="C3173" s="233" t="s">
        <v>8244</v>
      </c>
      <c r="D3173" s="234">
        <v>45747.4790625</v>
      </c>
      <c r="E3173" s="234">
        <v>45747.600856481484</v>
      </c>
      <c r="F3173" s="235" t="s">
        <v>698</v>
      </c>
      <c r="G3173" s="236" t="s">
        <v>8246</v>
      </c>
      <c r="H3173" s="233" t="s">
        <v>377</v>
      </c>
      <c r="I3173" s="233" t="s">
        <v>284</v>
      </c>
    </row>
    <row r="3174">
      <c r="A3174" s="229" t="s">
        <v>8247</v>
      </c>
      <c r="B3174" s="229" t="s">
        <v>8243</v>
      </c>
      <c r="C3174" s="229" t="s">
        <v>8248</v>
      </c>
      <c r="D3174" s="230">
        <v>45737.45824074074</v>
      </c>
      <c r="E3174" s="230">
        <v>45737.538252314815</v>
      </c>
      <c r="F3174" s="231" t="s">
        <v>431</v>
      </c>
      <c r="G3174" s="232" t="s">
        <v>525</v>
      </c>
      <c r="H3174" s="229" t="s">
        <v>377</v>
      </c>
      <c r="I3174" s="229" t="s">
        <v>284</v>
      </c>
    </row>
    <row r="3175">
      <c r="A3175" s="233" t="s">
        <v>8249</v>
      </c>
      <c r="B3175" s="233" t="s">
        <v>8243</v>
      </c>
      <c r="C3175" s="233" t="s">
        <v>8244</v>
      </c>
      <c r="D3175" s="234">
        <v>45737.45648148148</v>
      </c>
      <c r="E3175" s="234">
        <v>45737.5278587963</v>
      </c>
      <c r="F3175" s="235" t="s">
        <v>250</v>
      </c>
      <c r="G3175" s="236" t="s">
        <v>8250</v>
      </c>
      <c r="H3175" s="233" t="s">
        <v>377</v>
      </c>
      <c r="I3175" s="233" t="s">
        <v>284</v>
      </c>
    </row>
    <row r="3176">
      <c r="A3176" s="229" t="s">
        <v>8251</v>
      </c>
      <c r="B3176" s="229" t="s">
        <v>8243</v>
      </c>
      <c r="C3176" s="229" t="s">
        <v>8244</v>
      </c>
      <c r="D3176" s="230">
        <v>45733.451886574076</v>
      </c>
      <c r="E3176" s="230">
        <v>45733.63553240741</v>
      </c>
      <c r="F3176" s="231" t="s">
        <v>291</v>
      </c>
      <c r="G3176" s="232" t="s">
        <v>2617</v>
      </c>
      <c r="H3176" s="229" t="s">
        <v>377</v>
      </c>
      <c r="I3176" s="229" t="s">
        <v>284</v>
      </c>
    </row>
    <row r="3177">
      <c r="A3177" s="233" t="s">
        <v>8252</v>
      </c>
      <c r="B3177" s="233" t="s">
        <v>8243</v>
      </c>
      <c r="C3177" s="233" t="s">
        <v>8244</v>
      </c>
      <c r="D3177" s="234">
        <v>45775.52207175926</v>
      </c>
      <c r="E3177" s="234">
        <v>45775.62168981481</v>
      </c>
      <c r="F3177" s="235" t="s">
        <v>386</v>
      </c>
      <c r="G3177" s="236" t="s">
        <v>8253</v>
      </c>
      <c r="H3177" s="233" t="s">
        <v>377</v>
      </c>
      <c r="I3177" s="233" t="s">
        <v>284</v>
      </c>
    </row>
    <row r="3178">
      <c r="A3178" s="233" t="s">
        <v>8254</v>
      </c>
      <c r="B3178" s="233" t="s">
        <v>8243</v>
      </c>
      <c r="C3178" s="233" t="s">
        <v>8244</v>
      </c>
      <c r="D3178" s="234">
        <v>45761.42637731481</v>
      </c>
      <c r="E3178" s="234">
        <v>45761.52452546296</v>
      </c>
      <c r="F3178" s="235" t="s">
        <v>380</v>
      </c>
      <c r="G3178" s="236" t="s">
        <v>8255</v>
      </c>
      <c r="H3178" s="233" t="s">
        <v>377</v>
      </c>
      <c r="I3178" s="233" t="s">
        <v>284</v>
      </c>
    </row>
    <row r="3179">
      <c r="A3179" s="233" t="s">
        <v>8256</v>
      </c>
      <c r="B3179" s="233" t="s">
        <v>8257</v>
      </c>
      <c r="C3179" s="233" t="s">
        <v>8258</v>
      </c>
      <c r="D3179" s="234">
        <v>45478.89184027778</v>
      </c>
      <c r="E3179" s="234"/>
      <c r="F3179" s="235" t="s">
        <v>1259</v>
      </c>
      <c r="G3179" s="236" t="s">
        <v>8259</v>
      </c>
      <c r="H3179" s="233" t="s">
        <v>811</v>
      </c>
      <c r="I3179" s="233" t="s">
        <v>812</v>
      </c>
    </row>
    <row r="3180">
      <c r="A3180" s="229" t="s">
        <v>8260</v>
      </c>
      <c r="B3180" s="229" t="s">
        <v>8261</v>
      </c>
      <c r="C3180" s="229" t="s">
        <v>8262</v>
      </c>
      <c r="D3180" s="230">
        <v>45548.750289351854</v>
      </c>
      <c r="E3180" s="230"/>
      <c r="F3180" s="231" t="s">
        <v>6438</v>
      </c>
      <c r="G3180" s="232" t="s">
        <v>8263</v>
      </c>
      <c r="H3180" s="229" t="s">
        <v>377</v>
      </c>
      <c r="I3180" s="229" t="s">
        <v>812</v>
      </c>
    </row>
    <row r="3181">
      <c r="A3181" s="229" t="s">
        <v>8264</v>
      </c>
      <c r="B3181" s="229" t="s">
        <v>8261</v>
      </c>
      <c r="C3181" s="229" t="s">
        <v>8262</v>
      </c>
      <c r="D3181" s="230">
        <v>45533.74097222222</v>
      </c>
      <c r="E3181" s="230"/>
      <c r="F3181" s="231" t="s">
        <v>281</v>
      </c>
      <c r="G3181" s="232" t="s">
        <v>2605</v>
      </c>
      <c r="H3181" s="229" t="s">
        <v>377</v>
      </c>
      <c r="I3181" s="229" t="s">
        <v>812</v>
      </c>
    </row>
    <row r="3182">
      <c r="A3182" s="229" t="s">
        <v>8265</v>
      </c>
      <c r="B3182" s="229" t="s">
        <v>8261</v>
      </c>
      <c r="C3182" s="229" t="s">
        <v>8266</v>
      </c>
      <c r="D3182" s="230">
        <v>45523.827673611115</v>
      </c>
      <c r="E3182" s="230"/>
      <c r="F3182" s="231" t="s">
        <v>1124</v>
      </c>
      <c r="G3182" s="232" t="s">
        <v>8267</v>
      </c>
      <c r="H3182" s="229" t="s">
        <v>6571</v>
      </c>
      <c r="I3182" s="229" t="s">
        <v>812</v>
      </c>
    </row>
    <row r="3183">
      <c r="A3183" s="229" t="s">
        <v>8265</v>
      </c>
      <c r="B3183" s="229" t="s">
        <v>8261</v>
      </c>
      <c r="C3183" s="229" t="s">
        <v>8266</v>
      </c>
      <c r="D3183" s="230">
        <v>45523.827673611115</v>
      </c>
      <c r="E3183" s="230"/>
      <c r="F3183" s="231" t="s">
        <v>1124</v>
      </c>
      <c r="G3183" s="232" t="s">
        <v>8267</v>
      </c>
      <c r="H3183" s="229" t="s">
        <v>6571</v>
      </c>
      <c r="I3183" s="229" t="s">
        <v>812</v>
      </c>
    </row>
    <row r="3184">
      <c r="A3184" s="233" t="s">
        <v>8268</v>
      </c>
      <c r="B3184" s="233" t="s">
        <v>8261</v>
      </c>
      <c r="C3184" s="233" t="s">
        <v>8269</v>
      </c>
      <c r="D3184" s="234">
        <v>45521.63421296296</v>
      </c>
      <c r="E3184" s="234"/>
      <c r="F3184" s="235" t="s">
        <v>580</v>
      </c>
      <c r="G3184" s="236" t="s">
        <v>7782</v>
      </c>
      <c r="H3184" s="233" t="s">
        <v>388</v>
      </c>
      <c r="I3184" s="233" t="s">
        <v>8270</v>
      </c>
    </row>
    <row r="3185">
      <c r="A3185" s="229" t="s">
        <v>8271</v>
      </c>
      <c r="B3185" s="229" t="s">
        <v>8261</v>
      </c>
      <c r="C3185" s="229" t="s">
        <v>8269</v>
      </c>
      <c r="D3185" s="230">
        <v>45521.633252314816</v>
      </c>
      <c r="E3185" s="243"/>
      <c r="F3185" s="231" t="s">
        <v>391</v>
      </c>
      <c r="G3185" s="232" t="s">
        <v>392</v>
      </c>
      <c r="H3185" s="229" t="s">
        <v>388</v>
      </c>
      <c r="I3185" s="229" t="s">
        <v>8270</v>
      </c>
    </row>
    <row r="3186">
      <c r="A3186" s="229" t="s">
        <v>8272</v>
      </c>
      <c r="B3186" s="229" t="s">
        <v>8261</v>
      </c>
      <c r="C3186" s="229" t="s">
        <v>6588</v>
      </c>
      <c r="D3186" s="230">
        <v>45493.55929398148</v>
      </c>
      <c r="E3186" s="230"/>
      <c r="F3186" s="231" t="s">
        <v>5653</v>
      </c>
      <c r="G3186" s="232" t="s">
        <v>8273</v>
      </c>
      <c r="H3186" s="229" t="s">
        <v>346</v>
      </c>
      <c r="I3186" s="229" t="s">
        <v>812</v>
      </c>
    </row>
    <row r="3187">
      <c r="A3187" s="233" t="s">
        <v>8274</v>
      </c>
      <c r="B3187" s="233" t="s">
        <v>8261</v>
      </c>
      <c r="C3187" s="233" t="s">
        <v>8275</v>
      </c>
      <c r="D3187" s="234">
        <v>45451.76604166667</v>
      </c>
      <c r="E3187" s="234">
        <v>45453.60077546296</v>
      </c>
      <c r="F3187" s="235" t="s">
        <v>3057</v>
      </c>
      <c r="G3187" s="236" t="s">
        <v>8276</v>
      </c>
      <c r="H3187" s="233" t="s">
        <v>283</v>
      </c>
      <c r="I3187" s="233" t="s">
        <v>812</v>
      </c>
    </row>
    <row r="3188">
      <c r="A3188" s="229" t="s">
        <v>8277</v>
      </c>
      <c r="B3188" s="229" t="s">
        <v>8278</v>
      </c>
      <c r="C3188" s="229" t="s">
        <v>8279</v>
      </c>
      <c r="D3188" s="230">
        <v>45466.88959490741</v>
      </c>
      <c r="E3188" s="230"/>
      <c r="F3188" s="231" t="s">
        <v>488</v>
      </c>
      <c r="G3188" s="232" t="s">
        <v>8280</v>
      </c>
      <c r="H3188" s="229" t="s">
        <v>377</v>
      </c>
      <c r="I3188" s="229" t="s">
        <v>284</v>
      </c>
    </row>
    <row r="3189">
      <c r="A3189" s="229" t="s">
        <v>8281</v>
      </c>
      <c r="B3189" s="229" t="s">
        <v>8278</v>
      </c>
      <c r="C3189" s="229" t="s">
        <v>8279</v>
      </c>
      <c r="D3189" s="230">
        <v>45453.925474537034</v>
      </c>
      <c r="E3189" s="230">
        <v>45453.73265046296</v>
      </c>
      <c r="F3189" s="231" t="s">
        <v>488</v>
      </c>
      <c r="G3189" s="232" t="s">
        <v>8282</v>
      </c>
      <c r="H3189" s="229" t="s">
        <v>377</v>
      </c>
      <c r="I3189" s="229" t="s">
        <v>284</v>
      </c>
    </row>
    <row r="3190">
      <c r="A3190" s="233" t="s">
        <v>8283</v>
      </c>
      <c r="B3190" s="233" t="s">
        <v>8278</v>
      </c>
      <c r="C3190" s="233" t="s">
        <v>8279</v>
      </c>
      <c r="D3190" s="234">
        <v>45448.74979166667</v>
      </c>
      <c r="E3190" s="234">
        <v>45448.5591087963</v>
      </c>
      <c r="F3190" s="235" t="s">
        <v>488</v>
      </c>
      <c r="G3190" s="236" t="s">
        <v>8282</v>
      </c>
      <c r="H3190" s="233" t="s">
        <v>377</v>
      </c>
      <c r="I3190" s="233" t="s">
        <v>284</v>
      </c>
    </row>
    <row r="3191">
      <c r="A3191" s="229" t="s">
        <v>8284</v>
      </c>
      <c r="B3191" s="229" t="s">
        <v>8285</v>
      </c>
      <c r="C3191" s="229" t="s">
        <v>8286</v>
      </c>
      <c r="D3191" s="230">
        <v>45507.86357638889</v>
      </c>
      <c r="E3191" s="230"/>
      <c r="F3191" s="231" t="s">
        <v>730</v>
      </c>
      <c r="G3191" s="232" t="s">
        <v>8287</v>
      </c>
      <c r="H3191" s="229" t="s">
        <v>265</v>
      </c>
      <c r="I3191" s="229" t="s">
        <v>260</v>
      </c>
    </row>
    <row r="3192">
      <c r="A3192" s="229" t="s">
        <v>8288</v>
      </c>
      <c r="B3192" s="229" t="s">
        <v>8285</v>
      </c>
      <c r="C3192" s="229" t="s">
        <v>8286</v>
      </c>
      <c r="D3192" s="230">
        <v>45507.65540509259</v>
      </c>
      <c r="E3192" s="243"/>
      <c r="F3192" s="231" t="s">
        <v>281</v>
      </c>
      <c r="G3192" s="232" t="s">
        <v>2806</v>
      </c>
      <c r="H3192" s="229" t="s">
        <v>561</v>
      </c>
      <c r="I3192" s="229" t="s">
        <v>260</v>
      </c>
    </row>
    <row r="3193">
      <c r="A3193" s="233" t="s">
        <v>8289</v>
      </c>
      <c r="B3193" s="233" t="s">
        <v>8290</v>
      </c>
      <c r="C3193" s="233" t="s">
        <v>8291</v>
      </c>
      <c r="D3193" s="234">
        <v>45544.56197916667</v>
      </c>
      <c r="E3193" s="234"/>
      <c r="F3193" s="235" t="s">
        <v>470</v>
      </c>
      <c r="G3193" s="236" t="s">
        <v>2935</v>
      </c>
      <c r="H3193" s="233" t="s">
        <v>811</v>
      </c>
      <c r="I3193" s="233" t="s">
        <v>1533</v>
      </c>
    </row>
    <row r="3194">
      <c r="A3194" s="233" t="s">
        <v>8292</v>
      </c>
      <c r="B3194" s="233" t="s">
        <v>8293</v>
      </c>
      <c r="C3194" s="233" t="s">
        <v>8294</v>
      </c>
      <c r="D3194" s="234">
        <v>45709.531875</v>
      </c>
      <c r="E3194" s="234">
        <v>45709.71538194444</v>
      </c>
      <c r="F3194" s="235" t="s">
        <v>831</v>
      </c>
      <c r="G3194" s="236" t="s">
        <v>831</v>
      </c>
      <c r="H3194" s="233" t="s">
        <v>2001</v>
      </c>
      <c r="I3194" s="233" t="s">
        <v>2723</v>
      </c>
    </row>
    <row r="3195">
      <c r="A3195" s="229" t="s">
        <v>8295</v>
      </c>
      <c r="B3195" s="229" t="s">
        <v>8296</v>
      </c>
      <c r="C3195" s="229" t="s">
        <v>8297</v>
      </c>
      <c r="D3195" s="230">
        <v>45552.73774305556</v>
      </c>
      <c r="E3195" s="230"/>
      <c r="F3195" s="231" t="s">
        <v>698</v>
      </c>
      <c r="G3195" s="232" t="s">
        <v>8298</v>
      </c>
      <c r="H3195" s="229" t="s">
        <v>252</v>
      </c>
      <c r="I3195" s="229" t="s">
        <v>2647</v>
      </c>
    </row>
    <row r="3196">
      <c r="A3196" s="229" t="s">
        <v>8299</v>
      </c>
      <c r="B3196" s="229" t="s">
        <v>8296</v>
      </c>
      <c r="C3196" s="229" t="s">
        <v>4368</v>
      </c>
      <c r="D3196" s="230">
        <v>45487.738587962966</v>
      </c>
      <c r="E3196" s="230"/>
      <c r="F3196" s="231" t="s">
        <v>706</v>
      </c>
      <c r="G3196" s="232" t="s">
        <v>8300</v>
      </c>
      <c r="H3196" s="229" t="s">
        <v>259</v>
      </c>
      <c r="I3196" s="229" t="s">
        <v>304</v>
      </c>
    </row>
    <row r="3197">
      <c r="A3197" s="229" t="s">
        <v>8299</v>
      </c>
      <c r="B3197" s="229" t="s">
        <v>8296</v>
      </c>
      <c r="C3197" s="229" t="s">
        <v>4368</v>
      </c>
      <c r="D3197" s="230">
        <v>45487.738587962966</v>
      </c>
      <c r="E3197" s="230"/>
      <c r="F3197" s="231" t="s">
        <v>706</v>
      </c>
      <c r="G3197" s="232" t="s">
        <v>8300</v>
      </c>
      <c r="H3197" s="229" t="s">
        <v>259</v>
      </c>
      <c r="I3197" s="229" t="s">
        <v>304</v>
      </c>
    </row>
    <row r="3198">
      <c r="A3198" s="233" t="s">
        <v>8301</v>
      </c>
      <c r="B3198" s="233" t="s">
        <v>8296</v>
      </c>
      <c r="C3198" s="233" t="s">
        <v>8302</v>
      </c>
      <c r="D3198" s="234">
        <v>45748.68054398148</v>
      </c>
      <c r="E3198" s="234">
        <v>45748.82298611111</v>
      </c>
      <c r="F3198" s="235" t="s">
        <v>722</v>
      </c>
      <c r="G3198" s="236" t="s">
        <v>8303</v>
      </c>
      <c r="H3198" s="233" t="s">
        <v>265</v>
      </c>
      <c r="I3198" s="233" t="s">
        <v>2647</v>
      </c>
    </row>
    <row r="3199">
      <c r="A3199" s="233" t="s">
        <v>8304</v>
      </c>
      <c r="B3199" s="233" t="s">
        <v>8305</v>
      </c>
      <c r="C3199" s="233" t="s">
        <v>8306</v>
      </c>
      <c r="D3199" s="234">
        <v>45537.50969907407</v>
      </c>
      <c r="E3199" s="234"/>
      <c r="F3199" s="235" t="s">
        <v>470</v>
      </c>
      <c r="G3199" s="236" t="s">
        <v>3287</v>
      </c>
      <c r="H3199" s="233" t="s">
        <v>293</v>
      </c>
      <c r="I3199" s="233" t="s">
        <v>8307</v>
      </c>
    </row>
    <row r="3200">
      <c r="A3200" s="233" t="s">
        <v>8308</v>
      </c>
      <c r="B3200" s="233" t="s">
        <v>8309</v>
      </c>
      <c r="C3200" s="233" t="s">
        <v>8310</v>
      </c>
      <c r="D3200" s="234">
        <v>45733.52861111111</v>
      </c>
      <c r="E3200" s="234">
        <v>45734.53134259259</v>
      </c>
      <c r="F3200" s="235" t="s">
        <v>291</v>
      </c>
      <c r="G3200" s="236" t="s">
        <v>2763</v>
      </c>
      <c r="H3200" s="233" t="s">
        <v>293</v>
      </c>
      <c r="I3200" s="233" t="s">
        <v>8311</v>
      </c>
    </row>
    <row r="3201">
      <c r="A3201" s="233" t="s">
        <v>8312</v>
      </c>
      <c r="B3201" s="233" t="s">
        <v>8309</v>
      </c>
      <c r="C3201" s="233" t="s">
        <v>8310</v>
      </c>
      <c r="D3201" s="234">
        <v>45749.55207175926</v>
      </c>
      <c r="E3201" s="234">
        <v>45749.61462962963</v>
      </c>
      <c r="F3201" s="235" t="s">
        <v>281</v>
      </c>
      <c r="G3201" s="236" t="s">
        <v>1285</v>
      </c>
      <c r="H3201" s="233" t="s">
        <v>293</v>
      </c>
      <c r="I3201" s="233" t="s">
        <v>8311</v>
      </c>
    </row>
    <row r="3202">
      <c r="A3202" s="233" t="s">
        <v>8313</v>
      </c>
      <c r="B3202" s="233" t="s">
        <v>8309</v>
      </c>
      <c r="C3202" s="233" t="s">
        <v>8314</v>
      </c>
      <c r="D3202" s="234">
        <v>45748.78244212963</v>
      </c>
      <c r="E3202" s="234">
        <v>45750.64585648148</v>
      </c>
      <c r="F3202" s="235" t="s">
        <v>269</v>
      </c>
      <c r="G3202" s="236" t="s">
        <v>8315</v>
      </c>
      <c r="H3202" s="233" t="s">
        <v>293</v>
      </c>
      <c r="I3202" s="233" t="s">
        <v>8311</v>
      </c>
    </row>
    <row r="3203">
      <c r="A3203" s="229" t="s">
        <v>8316</v>
      </c>
      <c r="B3203" s="229" t="s">
        <v>8317</v>
      </c>
      <c r="C3203" s="229" t="s">
        <v>3707</v>
      </c>
      <c r="D3203" s="230">
        <v>45549.79861111111</v>
      </c>
      <c r="E3203" s="230"/>
      <c r="F3203" s="231" t="s">
        <v>8318</v>
      </c>
      <c r="G3203" s="232" t="s">
        <v>8319</v>
      </c>
      <c r="H3203" s="229" t="s">
        <v>259</v>
      </c>
      <c r="I3203" s="229" t="s">
        <v>313</v>
      </c>
    </row>
    <row r="3204">
      <c r="A3204" s="233" t="s">
        <v>8320</v>
      </c>
      <c r="B3204" s="233" t="s">
        <v>8317</v>
      </c>
      <c r="C3204" s="233" t="s">
        <v>3707</v>
      </c>
      <c r="D3204" s="234">
        <v>45542.90138888889</v>
      </c>
      <c r="E3204" s="234"/>
      <c r="F3204" s="235" t="s">
        <v>291</v>
      </c>
      <c r="G3204" s="236" t="s">
        <v>672</v>
      </c>
      <c r="H3204" s="233" t="s">
        <v>259</v>
      </c>
      <c r="I3204" s="233" t="s">
        <v>313</v>
      </c>
    </row>
    <row r="3205">
      <c r="A3205" s="233" t="s">
        <v>8321</v>
      </c>
      <c r="B3205" s="233" t="s">
        <v>8317</v>
      </c>
      <c r="C3205" s="233" t="s">
        <v>3707</v>
      </c>
      <c r="D3205" s="234">
        <v>45536.879166666666</v>
      </c>
      <c r="E3205" s="234"/>
      <c r="F3205" s="235" t="s">
        <v>1300</v>
      </c>
      <c r="G3205" s="236" t="s">
        <v>3255</v>
      </c>
      <c r="H3205" s="233" t="s">
        <v>259</v>
      </c>
      <c r="I3205" s="233" t="s">
        <v>313</v>
      </c>
    </row>
    <row r="3206">
      <c r="A3206" s="229" t="s">
        <v>8322</v>
      </c>
      <c r="B3206" s="229" t="s">
        <v>8323</v>
      </c>
      <c r="C3206" s="229" t="s">
        <v>8324</v>
      </c>
      <c r="D3206" s="230">
        <v>45773.65494212963</v>
      </c>
      <c r="E3206" s="230">
        <v>45774.56612268519</v>
      </c>
      <c r="F3206" s="231" t="s">
        <v>4464</v>
      </c>
      <c r="G3206" s="232" t="s">
        <v>8325</v>
      </c>
      <c r="H3206" s="229" t="s">
        <v>259</v>
      </c>
      <c r="I3206" s="229" t="s">
        <v>8326</v>
      </c>
    </row>
    <row r="3207">
      <c r="A3207" s="233" t="s">
        <v>8327</v>
      </c>
      <c r="B3207" s="233" t="s">
        <v>8323</v>
      </c>
      <c r="C3207" s="233" t="s">
        <v>8328</v>
      </c>
      <c r="D3207" s="234">
        <v>45773.65341435185</v>
      </c>
      <c r="E3207" s="234">
        <v>45774.538298611114</v>
      </c>
      <c r="F3207" s="235" t="s">
        <v>442</v>
      </c>
      <c r="G3207" s="236" t="s">
        <v>2528</v>
      </c>
      <c r="H3207" s="233" t="s">
        <v>259</v>
      </c>
      <c r="I3207" s="233" t="s">
        <v>8326</v>
      </c>
    </row>
    <row r="3208">
      <c r="A3208" s="229" t="s">
        <v>8329</v>
      </c>
      <c r="B3208" s="229" t="s">
        <v>8330</v>
      </c>
      <c r="C3208" s="229" t="s">
        <v>8331</v>
      </c>
      <c r="D3208" s="230">
        <v>45714.44568287037</v>
      </c>
      <c r="E3208" s="230">
        <v>45714.45842592593</v>
      </c>
      <c r="F3208" s="231" t="s">
        <v>2638</v>
      </c>
      <c r="G3208" s="232" t="s">
        <v>8332</v>
      </c>
      <c r="H3208" s="229" t="s">
        <v>561</v>
      </c>
      <c r="I3208" s="229" t="s">
        <v>578</v>
      </c>
    </row>
    <row r="3209">
      <c r="A3209" s="229" t="s">
        <v>8333</v>
      </c>
      <c r="B3209" s="229" t="s">
        <v>8330</v>
      </c>
      <c r="C3209" s="229" t="s">
        <v>8334</v>
      </c>
      <c r="D3209" s="230">
        <v>45748.654814814814</v>
      </c>
      <c r="E3209" s="230">
        <v>45748.66675925926</v>
      </c>
      <c r="F3209" s="231" t="s">
        <v>431</v>
      </c>
      <c r="G3209" s="232" t="s">
        <v>432</v>
      </c>
      <c r="H3209" s="229" t="s">
        <v>8335</v>
      </c>
      <c r="I3209" s="229" t="s">
        <v>578</v>
      </c>
    </row>
    <row r="3210">
      <c r="A3210" s="229" t="s">
        <v>8336</v>
      </c>
      <c r="B3210" s="229" t="s">
        <v>8337</v>
      </c>
      <c r="C3210" s="229" t="s">
        <v>6968</v>
      </c>
      <c r="D3210" s="230">
        <v>45541.794386574074</v>
      </c>
      <c r="E3210" s="230"/>
      <c r="F3210" s="231" t="s">
        <v>1866</v>
      </c>
      <c r="G3210" s="232" t="s">
        <v>8338</v>
      </c>
      <c r="H3210" s="229" t="s">
        <v>377</v>
      </c>
      <c r="I3210" s="229" t="s">
        <v>357</v>
      </c>
    </row>
    <row r="3211">
      <c r="A3211" s="233" t="s">
        <v>8339</v>
      </c>
      <c r="B3211" s="233" t="s">
        <v>8337</v>
      </c>
      <c r="C3211" s="233" t="s">
        <v>6968</v>
      </c>
      <c r="D3211" s="234">
        <v>45541.79398148148</v>
      </c>
      <c r="E3211" s="242"/>
      <c r="F3211" s="235" t="s">
        <v>391</v>
      </c>
      <c r="G3211" s="236" t="s">
        <v>392</v>
      </c>
      <c r="H3211" s="233" t="s">
        <v>377</v>
      </c>
      <c r="I3211" s="233" t="s">
        <v>357</v>
      </c>
    </row>
    <row r="3212">
      <c r="A3212" s="233" t="s">
        <v>8340</v>
      </c>
      <c r="B3212" s="233" t="s">
        <v>8337</v>
      </c>
      <c r="C3212" s="233" t="s">
        <v>8341</v>
      </c>
      <c r="D3212" s="234">
        <v>45527.82881944445</v>
      </c>
      <c r="E3212" s="234"/>
      <c r="F3212" s="235" t="s">
        <v>493</v>
      </c>
      <c r="G3212" s="236" t="s">
        <v>3492</v>
      </c>
      <c r="H3212" s="233" t="s">
        <v>377</v>
      </c>
      <c r="I3212" s="233" t="s">
        <v>357</v>
      </c>
    </row>
    <row r="3213">
      <c r="A3213" s="229" t="s">
        <v>8342</v>
      </c>
      <c r="B3213" s="229" t="s">
        <v>8337</v>
      </c>
      <c r="C3213" s="229" t="s">
        <v>6968</v>
      </c>
      <c r="D3213" s="230">
        <v>45506.83184027778</v>
      </c>
      <c r="E3213" s="230"/>
      <c r="F3213" s="231" t="s">
        <v>2030</v>
      </c>
      <c r="G3213" s="232" t="s">
        <v>2031</v>
      </c>
      <c r="H3213" s="229" t="s">
        <v>377</v>
      </c>
      <c r="I3213" s="229" t="s">
        <v>357</v>
      </c>
    </row>
    <row r="3214">
      <c r="A3214" s="233" t="s">
        <v>8343</v>
      </c>
      <c r="B3214" s="233" t="s">
        <v>8337</v>
      </c>
      <c r="C3214" s="233" t="s">
        <v>6968</v>
      </c>
      <c r="D3214" s="234">
        <v>45495.8341087963</v>
      </c>
      <c r="E3214" s="234"/>
      <c r="F3214" s="235" t="s">
        <v>281</v>
      </c>
      <c r="G3214" s="236" t="s">
        <v>8344</v>
      </c>
      <c r="H3214" s="233" t="s">
        <v>377</v>
      </c>
      <c r="I3214" s="233" t="s">
        <v>357</v>
      </c>
    </row>
    <row r="3215">
      <c r="A3215" s="229" t="s">
        <v>8345</v>
      </c>
      <c r="B3215" s="229" t="s">
        <v>8337</v>
      </c>
      <c r="C3215" s="229" t="s">
        <v>6968</v>
      </c>
      <c r="D3215" s="230">
        <v>45487.719988425924</v>
      </c>
      <c r="E3215" s="230"/>
      <c r="F3215" s="231" t="s">
        <v>2351</v>
      </c>
      <c r="G3215" s="232" t="s">
        <v>6970</v>
      </c>
      <c r="H3215" s="229" t="s">
        <v>377</v>
      </c>
      <c r="I3215" s="229" t="s">
        <v>357</v>
      </c>
    </row>
    <row r="3216">
      <c r="A3216" s="229" t="s">
        <v>8345</v>
      </c>
      <c r="B3216" s="229" t="s">
        <v>8337</v>
      </c>
      <c r="C3216" s="229" t="s">
        <v>6968</v>
      </c>
      <c r="D3216" s="230">
        <v>45487.719988425924</v>
      </c>
      <c r="E3216" s="230"/>
      <c r="F3216" s="231" t="s">
        <v>2351</v>
      </c>
      <c r="G3216" s="232" t="s">
        <v>6970</v>
      </c>
      <c r="H3216" s="229" t="s">
        <v>377</v>
      </c>
      <c r="I3216" s="229" t="s">
        <v>357</v>
      </c>
    </row>
    <row r="3217">
      <c r="A3217" s="233" t="s">
        <v>8346</v>
      </c>
      <c r="B3217" s="233" t="s">
        <v>8337</v>
      </c>
      <c r="C3217" s="233" t="s">
        <v>8347</v>
      </c>
      <c r="D3217" s="234">
        <v>45473.78113425926</v>
      </c>
      <c r="E3217" s="234"/>
      <c r="F3217" s="235" t="s">
        <v>2294</v>
      </c>
      <c r="G3217" s="236" t="s">
        <v>8348</v>
      </c>
      <c r="H3217" s="233" t="s">
        <v>377</v>
      </c>
      <c r="I3217" s="233" t="s">
        <v>357</v>
      </c>
    </row>
    <row r="3218">
      <c r="A3218" s="233" t="s">
        <v>8349</v>
      </c>
      <c r="B3218" s="233" t="s">
        <v>8337</v>
      </c>
      <c r="C3218" s="233" t="s">
        <v>6968</v>
      </c>
      <c r="D3218" s="234">
        <v>45702.806863425925</v>
      </c>
      <c r="E3218" s="234">
        <v>45709.458449074074</v>
      </c>
      <c r="F3218" s="235" t="s">
        <v>317</v>
      </c>
      <c r="G3218" s="236" t="s">
        <v>8350</v>
      </c>
      <c r="H3218" s="233" t="s">
        <v>377</v>
      </c>
      <c r="I3218" s="233" t="s">
        <v>357</v>
      </c>
    </row>
    <row r="3219">
      <c r="A3219" s="233" t="s">
        <v>8351</v>
      </c>
      <c r="B3219" s="233" t="s">
        <v>8352</v>
      </c>
      <c r="C3219" s="233" t="s">
        <v>8008</v>
      </c>
      <c r="D3219" s="234">
        <v>45760.66140046297</v>
      </c>
      <c r="E3219" s="234">
        <v>45765.46184027778</v>
      </c>
      <c r="F3219" s="235" t="s">
        <v>435</v>
      </c>
      <c r="G3219" s="236" t="s">
        <v>3529</v>
      </c>
      <c r="H3219" s="233" t="s">
        <v>259</v>
      </c>
      <c r="I3219" s="233" t="s">
        <v>5765</v>
      </c>
    </row>
    <row r="3220">
      <c r="A3220" s="238"/>
      <c r="B3220" s="238"/>
      <c r="C3220" s="238"/>
      <c r="D3220" s="239"/>
      <c r="E3220" s="239"/>
      <c r="F3220" s="240"/>
      <c r="G3220" s="241"/>
      <c r="H3220" s="238"/>
      <c r="I3220" s="238"/>
    </row>
    <row r="3221">
      <c r="A3221" s="238"/>
      <c r="B3221" s="238"/>
      <c r="C3221" s="238"/>
      <c r="D3221" s="239"/>
      <c r="E3221" s="239"/>
      <c r="F3221" s="240"/>
      <c r="G3221" s="241"/>
      <c r="H3221" s="238"/>
      <c r="I3221" s="238"/>
    </row>
    <row r="3222">
      <c r="A3222" s="238"/>
      <c r="B3222" s="238"/>
      <c r="C3222" s="238"/>
      <c r="D3222" s="239"/>
      <c r="E3222" s="239"/>
      <c r="F3222" s="240"/>
      <c r="G3222" s="241"/>
      <c r="H3222" s="238"/>
      <c r="I3222" s="238"/>
    </row>
    <row r="3223">
      <c r="A3223" s="238"/>
      <c r="B3223" s="238"/>
      <c r="C3223" s="238"/>
      <c r="D3223" s="239"/>
      <c r="E3223" s="239"/>
      <c r="F3223" s="240"/>
      <c r="G3223" s="241"/>
      <c r="H3223" s="238"/>
      <c r="I3223" s="238"/>
    </row>
    <row r="3224">
      <c r="A3224" s="238"/>
      <c r="B3224" s="238"/>
      <c r="C3224" s="238"/>
      <c r="D3224" s="239"/>
      <c r="E3224" s="239"/>
      <c r="F3224" s="240"/>
      <c r="G3224" s="241"/>
      <c r="H3224" s="238"/>
      <c r="I3224" s="238"/>
    </row>
    <row r="3225">
      <c r="A3225" s="238"/>
      <c r="B3225" s="238"/>
      <c r="C3225" s="238"/>
      <c r="D3225" s="239"/>
      <c r="E3225" s="239"/>
      <c r="F3225" s="240"/>
      <c r="G3225" s="241"/>
      <c r="H3225" s="238"/>
      <c r="I3225" s="238"/>
    </row>
    <row r="3226">
      <c r="A3226" s="238"/>
      <c r="B3226" s="238"/>
      <c r="C3226" s="238"/>
      <c r="D3226" s="239"/>
      <c r="E3226" s="239"/>
      <c r="F3226" s="240"/>
      <c r="G3226" s="241"/>
      <c r="H3226" s="238"/>
      <c r="I3226" s="238"/>
    </row>
    <row r="3227">
      <c r="A3227" s="238"/>
      <c r="B3227" s="238"/>
      <c r="C3227" s="238"/>
      <c r="D3227" s="239"/>
      <c r="E3227" s="239"/>
      <c r="F3227" s="240"/>
      <c r="G3227" s="241"/>
      <c r="H3227" s="238"/>
      <c r="I3227" s="238"/>
    </row>
    <row r="3228">
      <c r="A3228" s="238"/>
      <c r="B3228" s="238"/>
      <c r="C3228" s="238"/>
      <c r="D3228" s="239"/>
      <c r="E3228" s="239"/>
      <c r="F3228" s="240"/>
      <c r="G3228" s="241"/>
      <c r="H3228" s="238"/>
      <c r="I3228" s="238"/>
    </row>
    <row r="3229">
      <c r="A3229" s="238"/>
      <c r="B3229" s="238"/>
      <c r="C3229" s="238"/>
      <c r="D3229" s="239"/>
      <c r="E3229" s="239"/>
      <c r="F3229" s="240"/>
      <c r="G3229" s="241"/>
      <c r="H3229" s="238"/>
      <c r="I3229" s="238"/>
    </row>
    <row r="3230">
      <c r="A3230" s="238"/>
      <c r="B3230" s="238"/>
      <c r="C3230" s="238"/>
      <c r="D3230" s="239"/>
      <c r="E3230" s="239"/>
      <c r="F3230" s="240"/>
      <c r="G3230" s="241"/>
      <c r="H3230" s="238"/>
      <c r="I3230" s="238"/>
    </row>
    <row r="3231">
      <c r="A3231" s="238"/>
      <c r="B3231" s="238"/>
      <c r="C3231" s="238"/>
      <c r="D3231" s="239"/>
      <c r="E3231" s="239"/>
      <c r="F3231" s="240"/>
      <c r="G3231" s="241"/>
      <c r="H3231" s="238"/>
      <c r="I3231" s="238"/>
    </row>
    <row r="3232">
      <c r="A3232" s="238"/>
      <c r="B3232" s="238"/>
      <c r="C3232" s="238"/>
      <c r="D3232" s="239"/>
      <c r="E3232" s="239"/>
      <c r="F3232" s="240"/>
      <c r="G3232" s="241"/>
      <c r="H3232" s="238"/>
      <c r="I3232" s="238"/>
    </row>
    <row r="3233">
      <c r="A3233" s="238"/>
      <c r="B3233" s="238"/>
      <c r="C3233" s="238"/>
      <c r="D3233" s="239"/>
      <c r="E3233" s="239"/>
      <c r="F3233" s="240"/>
      <c r="G3233" s="241"/>
      <c r="H3233" s="238"/>
      <c r="I3233" s="238"/>
    </row>
    <row r="3234">
      <c r="A3234" s="238"/>
      <c r="B3234" s="238"/>
      <c r="C3234" s="238"/>
      <c r="D3234" s="239"/>
      <c r="E3234" s="239"/>
      <c r="F3234" s="240"/>
      <c r="G3234" s="241"/>
      <c r="H3234" s="238"/>
      <c r="I3234" s="238"/>
    </row>
    <row r="3235">
      <c r="A3235" s="238"/>
      <c r="B3235" s="238"/>
      <c r="C3235" s="238"/>
      <c r="D3235" s="239"/>
      <c r="E3235" s="239"/>
      <c r="F3235" s="240"/>
      <c r="G3235" s="241"/>
      <c r="H3235" s="238"/>
      <c r="I3235" s="238"/>
    </row>
    <row r="3236">
      <c r="A3236" s="238"/>
      <c r="B3236" s="238"/>
      <c r="C3236" s="238"/>
      <c r="D3236" s="239"/>
      <c r="E3236" s="239"/>
      <c r="F3236" s="240"/>
      <c r="G3236" s="241"/>
      <c r="H3236" s="238"/>
      <c r="I3236" s="238"/>
    </row>
    <row r="3237">
      <c r="A3237" s="238"/>
      <c r="B3237" s="238"/>
      <c r="C3237" s="238"/>
      <c r="D3237" s="239"/>
      <c r="E3237" s="239"/>
      <c r="F3237" s="240"/>
      <c r="G3237" s="241"/>
      <c r="H3237" s="238"/>
      <c r="I3237" s="238"/>
    </row>
    <row r="3238">
      <c r="A3238" s="238"/>
      <c r="B3238" s="238"/>
      <c r="C3238" s="238"/>
      <c r="D3238" s="239"/>
      <c r="E3238" s="239"/>
      <c r="F3238" s="240"/>
      <c r="G3238" s="241"/>
      <c r="H3238" s="238"/>
      <c r="I3238" s="238"/>
    </row>
    <row r="3239">
      <c r="A3239" s="238"/>
      <c r="B3239" s="238"/>
      <c r="C3239" s="238"/>
      <c r="D3239" s="239"/>
      <c r="E3239" s="239"/>
      <c r="F3239" s="240"/>
      <c r="G3239" s="241"/>
      <c r="H3239" s="238"/>
      <c r="I3239" s="238"/>
    </row>
    <row r="3240">
      <c r="A3240" s="238"/>
      <c r="B3240" s="238"/>
      <c r="C3240" s="238"/>
      <c r="D3240" s="239"/>
      <c r="E3240" s="239"/>
      <c r="F3240" s="240"/>
      <c r="G3240" s="241"/>
      <c r="H3240" s="238"/>
      <c r="I3240" s="238"/>
    </row>
    <row r="3241">
      <c r="A3241" s="238"/>
      <c r="B3241" s="238"/>
      <c r="C3241" s="238"/>
      <c r="D3241" s="239"/>
      <c r="E3241" s="239"/>
      <c r="F3241" s="240"/>
      <c r="G3241" s="241"/>
      <c r="H3241" s="238"/>
      <c r="I3241" s="238"/>
    </row>
    <row r="3242">
      <c r="A3242" s="238"/>
      <c r="B3242" s="238"/>
      <c r="C3242" s="238"/>
      <c r="D3242" s="239"/>
      <c r="E3242" s="239"/>
      <c r="F3242" s="240"/>
      <c r="G3242" s="241"/>
      <c r="H3242" s="238"/>
      <c r="I3242" s="238"/>
    </row>
    <row r="3243">
      <c r="A3243" s="238"/>
      <c r="B3243" s="238"/>
      <c r="C3243" s="238"/>
      <c r="D3243" s="239"/>
      <c r="E3243" s="239"/>
      <c r="F3243" s="240"/>
      <c r="G3243" s="241"/>
      <c r="H3243" s="238"/>
      <c r="I3243" s="238"/>
    </row>
    <row r="3244">
      <c r="A3244" s="238"/>
      <c r="B3244" s="238"/>
      <c r="C3244" s="238"/>
      <c r="D3244" s="239"/>
      <c r="E3244" s="239"/>
      <c r="F3244" s="240"/>
      <c r="G3244" s="241"/>
      <c r="H3244" s="238"/>
      <c r="I3244" s="238"/>
    </row>
    <row r="3245">
      <c r="A3245" s="238"/>
      <c r="B3245" s="238"/>
      <c r="C3245" s="238"/>
      <c r="D3245" s="239"/>
      <c r="E3245" s="239"/>
      <c r="F3245" s="240"/>
      <c r="G3245" s="241"/>
      <c r="H3245" s="238"/>
      <c r="I3245" s="238"/>
    </row>
    <row r="3246">
      <c r="A3246" s="238"/>
      <c r="B3246" s="238"/>
      <c r="C3246" s="238"/>
      <c r="D3246" s="239"/>
      <c r="E3246" s="239"/>
      <c r="F3246" s="240"/>
      <c r="G3246" s="241"/>
      <c r="H3246" s="238"/>
      <c r="I3246" s="238"/>
    </row>
    <row r="3247">
      <c r="A3247" s="238"/>
      <c r="B3247" s="238"/>
      <c r="C3247" s="238"/>
      <c r="D3247" s="239"/>
      <c r="E3247" s="239"/>
      <c r="F3247" s="240"/>
      <c r="G3247" s="241"/>
      <c r="H3247" s="238"/>
      <c r="I3247" s="238"/>
    </row>
    <row r="3248">
      <c r="A3248" s="238"/>
      <c r="B3248" s="238"/>
      <c r="C3248" s="238"/>
      <c r="D3248" s="239"/>
      <c r="E3248" s="239"/>
      <c r="F3248" s="240"/>
      <c r="G3248" s="241"/>
      <c r="H3248" s="238"/>
      <c r="I3248" s="238"/>
    </row>
    <row r="3249">
      <c r="A3249" s="238"/>
      <c r="B3249" s="238"/>
      <c r="C3249" s="238"/>
      <c r="D3249" s="239"/>
      <c r="E3249" s="239"/>
      <c r="F3249" s="240"/>
      <c r="G3249" s="241"/>
      <c r="H3249" s="238"/>
      <c r="I3249" s="238"/>
    </row>
    <row r="3250">
      <c r="A3250" s="238"/>
      <c r="B3250" s="238"/>
      <c r="C3250" s="238"/>
      <c r="D3250" s="239"/>
      <c r="E3250" s="239"/>
      <c r="F3250" s="240"/>
      <c r="G3250" s="241"/>
      <c r="H3250" s="238"/>
      <c r="I3250" s="238"/>
    </row>
    <row r="3251">
      <c r="A3251" s="238"/>
      <c r="B3251" s="238"/>
      <c r="C3251" s="238"/>
      <c r="D3251" s="239"/>
      <c r="E3251" s="239"/>
      <c r="F3251" s="240"/>
      <c r="G3251" s="241"/>
      <c r="H3251" s="238"/>
      <c r="I3251" s="238"/>
    </row>
    <row r="3252">
      <c r="A3252" s="238"/>
      <c r="B3252" s="238"/>
      <c r="C3252" s="238"/>
      <c r="D3252" s="239"/>
      <c r="E3252" s="239"/>
      <c r="F3252" s="240"/>
      <c r="G3252" s="241"/>
      <c r="H3252" s="238"/>
      <c r="I3252" s="238"/>
    </row>
    <row r="3253">
      <c r="A3253" s="238"/>
      <c r="B3253" s="238"/>
      <c r="C3253" s="238"/>
      <c r="D3253" s="239"/>
      <c r="E3253" s="239"/>
      <c r="F3253" s="240"/>
      <c r="G3253" s="241"/>
      <c r="H3253" s="238"/>
      <c r="I3253" s="238"/>
    </row>
    <row r="3254">
      <c r="A3254" s="238"/>
      <c r="B3254" s="238"/>
      <c r="C3254" s="238"/>
      <c r="D3254" s="239"/>
      <c r="E3254" s="239"/>
      <c r="F3254" s="240"/>
      <c r="G3254" s="241"/>
      <c r="H3254" s="238"/>
      <c r="I3254" s="238"/>
    </row>
    <row r="3255">
      <c r="A3255" s="238"/>
      <c r="B3255" s="238"/>
      <c r="C3255" s="238"/>
      <c r="D3255" s="239"/>
      <c r="E3255" s="239"/>
      <c r="F3255" s="240"/>
      <c r="G3255" s="241"/>
      <c r="H3255" s="238"/>
      <c r="I3255" s="238"/>
    </row>
    <row r="3256">
      <c r="A3256" s="238"/>
      <c r="B3256" s="238"/>
      <c r="C3256" s="238"/>
      <c r="D3256" s="239"/>
      <c r="E3256" s="239"/>
      <c r="F3256" s="240"/>
      <c r="G3256" s="241"/>
      <c r="H3256" s="238"/>
      <c r="I3256" s="238"/>
    </row>
    <row r="3257">
      <c r="A3257" s="238"/>
      <c r="B3257" s="238"/>
      <c r="C3257" s="238"/>
      <c r="D3257" s="239"/>
      <c r="E3257" s="239"/>
      <c r="F3257" s="240"/>
      <c r="G3257" s="241"/>
      <c r="H3257" s="238"/>
      <c r="I3257" s="238"/>
    </row>
    <row r="3258">
      <c r="A3258" s="238"/>
      <c r="B3258" s="238"/>
      <c r="C3258" s="238"/>
      <c r="D3258" s="239"/>
      <c r="E3258" s="239"/>
      <c r="F3258" s="240"/>
      <c r="G3258" s="241"/>
      <c r="H3258" s="238"/>
      <c r="I3258" s="238"/>
    </row>
    <row r="3259">
      <c r="A3259" s="238"/>
      <c r="B3259" s="238"/>
      <c r="C3259" s="238"/>
      <c r="D3259" s="239"/>
      <c r="E3259" s="239"/>
      <c r="F3259" s="240"/>
      <c r="G3259" s="241"/>
      <c r="H3259" s="238"/>
      <c r="I3259" s="238"/>
    </row>
    <row r="3260">
      <c r="A3260" s="238"/>
      <c r="B3260" s="238"/>
      <c r="C3260" s="238"/>
      <c r="D3260" s="239"/>
      <c r="E3260" s="239"/>
      <c r="F3260" s="240"/>
      <c r="G3260" s="241"/>
      <c r="H3260" s="238"/>
      <c r="I3260" s="238"/>
    </row>
    <row r="3261">
      <c r="A3261" s="238"/>
      <c r="B3261" s="238"/>
      <c r="C3261" s="238"/>
      <c r="D3261" s="239"/>
      <c r="E3261" s="239"/>
      <c r="F3261" s="240"/>
      <c r="G3261" s="241"/>
      <c r="H3261" s="238"/>
      <c r="I3261" s="238"/>
    </row>
    <row r="3262">
      <c r="A3262" s="238"/>
      <c r="B3262" s="238"/>
      <c r="C3262" s="238"/>
      <c r="D3262" s="239"/>
      <c r="E3262" s="239"/>
      <c r="F3262" s="240"/>
      <c r="G3262" s="241"/>
      <c r="H3262" s="238"/>
      <c r="I3262" s="238"/>
    </row>
    <row r="3263">
      <c r="A3263" s="238"/>
      <c r="B3263" s="238"/>
      <c r="C3263" s="238"/>
      <c r="D3263" s="239"/>
      <c r="E3263" s="239"/>
      <c r="F3263" s="240"/>
      <c r="G3263" s="241"/>
      <c r="H3263" s="238"/>
      <c r="I3263" s="238"/>
    </row>
    <row r="3264">
      <c r="A3264" s="238"/>
      <c r="B3264" s="238"/>
      <c r="C3264" s="238"/>
      <c r="D3264" s="239"/>
      <c r="E3264" s="239"/>
      <c r="F3264" s="240"/>
      <c r="G3264" s="241"/>
      <c r="H3264" s="238"/>
      <c r="I3264" s="238"/>
    </row>
    <row r="3265">
      <c r="A3265" s="238"/>
      <c r="B3265" s="238"/>
      <c r="C3265" s="238"/>
      <c r="D3265" s="239"/>
      <c r="E3265" s="239"/>
      <c r="F3265" s="240"/>
      <c r="G3265" s="241"/>
      <c r="H3265" s="238"/>
      <c r="I3265" s="238"/>
    </row>
    <row r="3266">
      <c r="A3266" s="238"/>
      <c r="B3266" s="238"/>
      <c r="C3266" s="238"/>
      <c r="D3266" s="239"/>
      <c r="E3266" s="239"/>
      <c r="F3266" s="240"/>
      <c r="G3266" s="241"/>
      <c r="H3266" s="238"/>
      <c r="I3266" s="238"/>
    </row>
    <row r="3267">
      <c r="A3267" s="238"/>
      <c r="B3267" s="238"/>
      <c r="C3267" s="238"/>
      <c r="D3267" s="239"/>
      <c r="E3267" s="239"/>
      <c r="F3267" s="240"/>
      <c r="G3267" s="241"/>
      <c r="H3267" s="238"/>
      <c r="I3267" s="238"/>
    </row>
    <row r="3268">
      <c r="A3268" s="238"/>
      <c r="B3268" s="238"/>
      <c r="C3268" s="238"/>
      <c r="D3268" s="239"/>
      <c r="E3268" s="239"/>
      <c r="F3268" s="240"/>
      <c r="G3268" s="241"/>
      <c r="H3268" s="238"/>
      <c r="I3268" s="238"/>
    </row>
    <row r="3269">
      <c r="A3269" s="238"/>
      <c r="B3269" s="238"/>
      <c r="C3269" s="238"/>
      <c r="D3269" s="239"/>
      <c r="E3269" s="239"/>
      <c r="F3269" s="240"/>
      <c r="G3269" s="241"/>
      <c r="H3269" s="238"/>
      <c r="I3269" s="238"/>
    </row>
    <row r="3270">
      <c r="A3270" s="238"/>
      <c r="B3270" s="238"/>
      <c r="C3270" s="238"/>
      <c r="D3270" s="239"/>
      <c r="E3270" s="239"/>
      <c r="F3270" s="240"/>
      <c r="G3270" s="241"/>
      <c r="H3270" s="238"/>
      <c r="I3270" s="238"/>
    </row>
    <row r="3271">
      <c r="A3271" s="238"/>
      <c r="B3271" s="238"/>
      <c r="C3271" s="238"/>
      <c r="D3271" s="239"/>
      <c r="E3271" s="239"/>
      <c r="F3271" s="240"/>
      <c r="G3271" s="241"/>
      <c r="H3271" s="238"/>
      <c r="I3271" s="238"/>
    </row>
    <row r="3272">
      <c r="A3272" s="238"/>
      <c r="B3272" s="238"/>
      <c r="C3272" s="238"/>
      <c r="D3272" s="239"/>
      <c r="E3272" s="239"/>
      <c r="F3272" s="240"/>
      <c r="G3272" s="241"/>
      <c r="H3272" s="238"/>
      <c r="I3272" s="238"/>
    </row>
    <row r="3273">
      <c r="A3273" s="238"/>
      <c r="B3273" s="238"/>
      <c r="C3273" s="238"/>
      <c r="D3273" s="239"/>
      <c r="E3273" s="239"/>
      <c r="F3273" s="240"/>
      <c r="G3273" s="241"/>
      <c r="H3273" s="238"/>
      <c r="I3273" s="238"/>
    </row>
    <row r="3274">
      <c r="A3274" s="238"/>
      <c r="B3274" s="238"/>
      <c r="C3274" s="238"/>
      <c r="D3274" s="239"/>
      <c r="E3274" s="239"/>
      <c r="F3274" s="240"/>
      <c r="G3274" s="241"/>
      <c r="H3274" s="238"/>
      <c r="I3274" s="238"/>
    </row>
    <row r="3275">
      <c r="A3275" s="238"/>
      <c r="B3275" s="238"/>
      <c r="C3275" s="238"/>
      <c r="D3275" s="239"/>
      <c r="E3275" s="239"/>
      <c r="F3275" s="240"/>
      <c r="G3275" s="241"/>
      <c r="H3275" s="238"/>
      <c r="I3275" s="238"/>
    </row>
    <row r="3276">
      <c r="A3276" s="238"/>
      <c r="B3276" s="238"/>
      <c r="C3276" s="238"/>
      <c r="D3276" s="239"/>
      <c r="E3276" s="239"/>
      <c r="F3276" s="240"/>
      <c r="G3276" s="241"/>
      <c r="H3276" s="238"/>
      <c r="I3276" s="238"/>
    </row>
    <row r="3277">
      <c r="A3277" s="238"/>
      <c r="B3277" s="238"/>
      <c r="C3277" s="238"/>
      <c r="D3277" s="239"/>
      <c r="E3277" s="239"/>
      <c r="F3277" s="240"/>
      <c r="G3277" s="241"/>
      <c r="H3277" s="238"/>
      <c r="I3277" s="238"/>
    </row>
    <row r="3278">
      <c r="A3278" s="238"/>
      <c r="B3278" s="238"/>
      <c r="C3278" s="238"/>
      <c r="D3278" s="239"/>
      <c r="E3278" s="239"/>
      <c r="F3278" s="240"/>
      <c r="G3278" s="241"/>
      <c r="H3278" s="238"/>
      <c r="I3278" s="238"/>
    </row>
    <row r="3279">
      <c r="A3279" s="238"/>
      <c r="B3279" s="238"/>
      <c r="C3279" s="238"/>
      <c r="D3279" s="239"/>
      <c r="E3279" s="239"/>
      <c r="F3279" s="240"/>
      <c r="G3279" s="241"/>
      <c r="H3279" s="238"/>
      <c r="I3279" s="238"/>
    </row>
    <row r="3280">
      <c r="A3280" s="238"/>
      <c r="B3280" s="238"/>
      <c r="C3280" s="238"/>
      <c r="D3280" s="239"/>
      <c r="E3280" s="239"/>
      <c r="F3280" s="240"/>
      <c r="G3280" s="241"/>
      <c r="H3280" s="238"/>
      <c r="I3280" s="238"/>
    </row>
    <row r="3281">
      <c r="A3281" s="238"/>
      <c r="B3281" s="238"/>
      <c r="C3281" s="238"/>
      <c r="D3281" s="239"/>
      <c r="E3281" s="239"/>
      <c r="F3281" s="240"/>
      <c r="G3281" s="241"/>
      <c r="H3281" s="238"/>
      <c r="I3281" s="238"/>
    </row>
    <row r="3282">
      <c r="A3282" s="238"/>
      <c r="B3282" s="238"/>
      <c r="C3282" s="238"/>
      <c r="D3282" s="239"/>
      <c r="E3282" s="239"/>
      <c r="F3282" s="240"/>
      <c r="G3282" s="241"/>
      <c r="H3282" s="238"/>
      <c r="I3282" s="238"/>
    </row>
    <row r="3283">
      <c r="A3283" s="238"/>
      <c r="B3283" s="238"/>
      <c r="C3283" s="238"/>
      <c r="D3283" s="239"/>
      <c r="E3283" s="239"/>
      <c r="F3283" s="240"/>
      <c r="G3283" s="241"/>
      <c r="H3283" s="238"/>
      <c r="I3283" s="238"/>
    </row>
    <row r="3284">
      <c r="A3284" s="238"/>
      <c r="B3284" s="238"/>
      <c r="C3284" s="238"/>
      <c r="D3284" s="239"/>
      <c r="E3284" s="239"/>
      <c r="F3284" s="240"/>
      <c r="G3284" s="241"/>
      <c r="H3284" s="238"/>
      <c r="I3284" s="238"/>
    </row>
    <row r="3285">
      <c r="A3285" s="238"/>
      <c r="B3285" s="238"/>
      <c r="C3285" s="238"/>
      <c r="D3285" s="239"/>
      <c r="E3285" s="239"/>
      <c r="F3285" s="240"/>
      <c r="G3285" s="241"/>
      <c r="H3285" s="238"/>
      <c r="I3285" s="238"/>
    </row>
    <row r="3286">
      <c r="A3286" s="238"/>
      <c r="B3286" s="238"/>
      <c r="C3286" s="238"/>
      <c r="D3286" s="239"/>
      <c r="E3286" s="239"/>
      <c r="F3286" s="240"/>
      <c r="G3286" s="241"/>
      <c r="H3286" s="238"/>
      <c r="I3286" s="238"/>
    </row>
    <row r="3287">
      <c r="A3287" s="238"/>
      <c r="B3287" s="238"/>
      <c r="C3287" s="238"/>
      <c r="D3287" s="239"/>
      <c r="E3287" s="239"/>
      <c r="F3287" s="240"/>
      <c r="G3287" s="241"/>
      <c r="H3287" s="238"/>
      <c r="I3287" s="238"/>
    </row>
    <row r="3288">
      <c r="A3288" s="238"/>
      <c r="B3288" s="238"/>
      <c r="C3288" s="238"/>
      <c r="D3288" s="239"/>
      <c r="E3288" s="239"/>
      <c r="F3288" s="240"/>
      <c r="G3288" s="241"/>
      <c r="H3288" s="238"/>
      <c r="I3288" s="238"/>
    </row>
    <row r="3289">
      <c r="A3289" s="238"/>
      <c r="B3289" s="238"/>
      <c r="C3289" s="238"/>
      <c r="D3289" s="239"/>
      <c r="E3289" s="239"/>
      <c r="F3289" s="240"/>
      <c r="G3289" s="241"/>
      <c r="H3289" s="238"/>
      <c r="I3289" s="238"/>
    </row>
    <row r="3290">
      <c r="A3290" s="238"/>
      <c r="B3290" s="238"/>
      <c r="C3290" s="238"/>
      <c r="D3290" s="239"/>
      <c r="E3290" s="239"/>
      <c r="F3290" s="240"/>
      <c r="G3290" s="241"/>
      <c r="H3290" s="238"/>
      <c r="I3290" s="238"/>
    </row>
    <row r="3291">
      <c r="A3291" s="238"/>
      <c r="B3291" s="238"/>
      <c r="C3291" s="238"/>
      <c r="D3291" s="239"/>
      <c r="E3291" s="239"/>
      <c r="F3291" s="240"/>
      <c r="G3291" s="241"/>
      <c r="H3291" s="238"/>
      <c r="I3291" s="238"/>
    </row>
    <row r="3292">
      <c r="A3292" s="238"/>
      <c r="B3292" s="238"/>
      <c r="C3292" s="238"/>
      <c r="D3292" s="239"/>
      <c r="E3292" s="239"/>
      <c r="F3292" s="240"/>
      <c r="G3292" s="241"/>
      <c r="H3292" s="238"/>
      <c r="I3292" s="238"/>
    </row>
    <row r="3293">
      <c r="A3293" s="238"/>
      <c r="B3293" s="238"/>
      <c r="C3293" s="238"/>
      <c r="D3293" s="239"/>
      <c r="E3293" s="239"/>
      <c r="F3293" s="240"/>
      <c r="G3293" s="241"/>
      <c r="H3293" s="238"/>
      <c r="I3293" s="238"/>
    </row>
    <row r="3294">
      <c r="A3294" s="238"/>
      <c r="B3294" s="238"/>
      <c r="C3294" s="238"/>
      <c r="D3294" s="239"/>
      <c r="E3294" s="239"/>
      <c r="F3294" s="240"/>
      <c r="G3294" s="241"/>
      <c r="H3294" s="238"/>
      <c r="I3294" s="238"/>
    </row>
    <row r="3295">
      <c r="A3295" s="238"/>
      <c r="B3295" s="238"/>
      <c r="C3295" s="238"/>
      <c r="D3295" s="239"/>
      <c r="E3295" s="239"/>
      <c r="F3295" s="240"/>
      <c r="G3295" s="241"/>
      <c r="H3295" s="238"/>
      <c r="I3295" s="238"/>
    </row>
    <row r="3296">
      <c r="A3296" s="238"/>
      <c r="B3296" s="238"/>
      <c r="C3296" s="238"/>
      <c r="D3296" s="239"/>
      <c r="E3296" s="239"/>
      <c r="F3296" s="240"/>
      <c r="G3296" s="241"/>
      <c r="H3296" s="238"/>
      <c r="I3296" s="238"/>
    </row>
    <row r="3297">
      <c r="A3297" s="238"/>
      <c r="B3297" s="238"/>
      <c r="C3297" s="238"/>
      <c r="D3297" s="239"/>
      <c r="E3297" s="239"/>
      <c r="F3297" s="240"/>
      <c r="G3297" s="241"/>
      <c r="H3297" s="238"/>
      <c r="I3297" s="238"/>
    </row>
    <row r="3298">
      <c r="A3298" s="238"/>
      <c r="B3298" s="238"/>
      <c r="C3298" s="238"/>
      <c r="D3298" s="239"/>
      <c r="E3298" s="239"/>
      <c r="F3298" s="240"/>
      <c r="G3298" s="241"/>
      <c r="H3298" s="238"/>
      <c r="I3298" s="238"/>
    </row>
    <row r="3299">
      <c r="A3299" s="238"/>
      <c r="B3299" s="238"/>
      <c r="C3299" s="238"/>
      <c r="D3299" s="239"/>
      <c r="E3299" s="239"/>
      <c r="F3299" s="240"/>
      <c r="G3299" s="241"/>
      <c r="H3299" s="238"/>
      <c r="I3299" s="238"/>
    </row>
    <row r="3300">
      <c r="A3300" s="238"/>
      <c r="B3300" s="238"/>
      <c r="C3300" s="238"/>
      <c r="D3300" s="239"/>
      <c r="E3300" s="239"/>
      <c r="F3300" s="240"/>
      <c r="G3300" s="241"/>
      <c r="H3300" s="238"/>
      <c r="I3300" s="238"/>
    </row>
    <row r="3301">
      <c r="A3301" s="238"/>
      <c r="B3301" s="238"/>
      <c r="C3301" s="238"/>
      <c r="D3301" s="239"/>
      <c r="E3301" s="239"/>
      <c r="F3301" s="240"/>
      <c r="G3301" s="241"/>
      <c r="H3301" s="238"/>
      <c r="I3301" s="238"/>
    </row>
    <row r="3302">
      <c r="A3302" s="238"/>
      <c r="B3302" s="238"/>
      <c r="C3302" s="238"/>
      <c r="D3302" s="239"/>
      <c r="E3302" s="239"/>
      <c r="F3302" s="240"/>
      <c r="G3302" s="241"/>
      <c r="H3302" s="238"/>
      <c r="I3302" s="238"/>
    </row>
    <row r="3303">
      <c r="A3303" s="238"/>
      <c r="B3303" s="238"/>
      <c r="C3303" s="238"/>
      <c r="D3303" s="239"/>
      <c r="E3303" s="239"/>
      <c r="F3303" s="240"/>
      <c r="G3303" s="241"/>
      <c r="H3303" s="238"/>
      <c r="I3303" s="238"/>
    </row>
    <row r="3304">
      <c r="A3304" s="238"/>
      <c r="B3304" s="238"/>
      <c r="C3304" s="238"/>
      <c r="D3304" s="239"/>
      <c r="E3304" s="239"/>
      <c r="F3304" s="240"/>
      <c r="G3304" s="241"/>
      <c r="H3304" s="238"/>
      <c r="I3304" s="238"/>
    </row>
    <row r="3305">
      <c r="A3305" s="238"/>
      <c r="B3305" s="238"/>
      <c r="C3305" s="238"/>
      <c r="D3305" s="239"/>
      <c r="E3305" s="239"/>
      <c r="F3305" s="240"/>
      <c r="G3305" s="241"/>
      <c r="H3305" s="238"/>
      <c r="I3305" s="238"/>
    </row>
    <row r="3306">
      <c r="A3306" s="238"/>
      <c r="B3306" s="238"/>
      <c r="C3306" s="238"/>
      <c r="D3306" s="239"/>
      <c r="E3306" s="239"/>
      <c r="F3306" s="240"/>
      <c r="G3306" s="241"/>
      <c r="H3306" s="238"/>
      <c r="I3306" s="238"/>
    </row>
    <row r="3307">
      <c r="A3307" s="238"/>
      <c r="B3307" s="238"/>
      <c r="C3307" s="238"/>
      <c r="D3307" s="239"/>
      <c r="E3307" s="239"/>
      <c r="F3307" s="240"/>
      <c r="G3307" s="241"/>
      <c r="H3307" s="238"/>
      <c r="I3307" s="238"/>
    </row>
    <row r="3308">
      <c r="A3308" s="238"/>
      <c r="B3308" s="238"/>
      <c r="C3308" s="238"/>
      <c r="D3308" s="239"/>
      <c r="E3308" s="239"/>
      <c r="F3308" s="240"/>
      <c r="G3308" s="241"/>
      <c r="H3308" s="238"/>
      <c r="I3308" s="238"/>
    </row>
    <row r="3309">
      <c r="A3309" s="238"/>
      <c r="B3309" s="238"/>
      <c r="C3309" s="238"/>
      <c r="D3309" s="239"/>
      <c r="E3309" s="239"/>
      <c r="F3309" s="240"/>
      <c r="G3309" s="241"/>
      <c r="H3309" s="238"/>
      <c r="I3309" s="238"/>
    </row>
    <row r="3310">
      <c r="A3310" s="238"/>
      <c r="B3310" s="238"/>
      <c r="C3310" s="238"/>
      <c r="D3310" s="239"/>
      <c r="E3310" s="239"/>
      <c r="F3310" s="240"/>
      <c r="G3310" s="241"/>
      <c r="H3310" s="238"/>
      <c r="I3310" s="238"/>
    </row>
    <row r="3311">
      <c r="A3311" s="238"/>
      <c r="B3311" s="238"/>
      <c r="C3311" s="238"/>
      <c r="D3311" s="239"/>
      <c r="E3311" s="239"/>
      <c r="F3311" s="240"/>
      <c r="G3311" s="241"/>
      <c r="H3311" s="238"/>
      <c r="I3311" s="238"/>
    </row>
    <row r="3312">
      <c r="A3312" s="238"/>
      <c r="B3312" s="238"/>
      <c r="C3312" s="238"/>
      <c r="D3312" s="239"/>
      <c r="E3312" s="239"/>
      <c r="F3312" s="240"/>
      <c r="G3312" s="241"/>
      <c r="H3312" s="238"/>
      <c r="I3312" s="238"/>
    </row>
    <row r="3313">
      <c r="A3313" s="238"/>
      <c r="B3313" s="238"/>
      <c r="C3313" s="238"/>
      <c r="D3313" s="239"/>
      <c r="E3313" s="239"/>
      <c r="F3313" s="240"/>
      <c r="G3313" s="241"/>
      <c r="H3313" s="238"/>
      <c r="I3313" s="238"/>
    </row>
    <row r="3314">
      <c r="A3314" s="238"/>
      <c r="B3314" s="238"/>
      <c r="C3314" s="238"/>
      <c r="D3314" s="239"/>
      <c r="E3314" s="239"/>
      <c r="F3314" s="240"/>
      <c r="G3314" s="241"/>
      <c r="H3314" s="238"/>
      <c r="I3314" s="238"/>
    </row>
    <row r="3315">
      <c r="A3315" s="238"/>
      <c r="B3315" s="238"/>
      <c r="C3315" s="238"/>
      <c r="D3315" s="239"/>
      <c r="E3315" s="239"/>
      <c r="F3315" s="240"/>
      <c r="G3315" s="241"/>
      <c r="H3315" s="238"/>
      <c r="I3315" s="238"/>
    </row>
    <row r="3316">
      <c r="A3316" s="238"/>
      <c r="B3316" s="238"/>
      <c r="C3316" s="238"/>
      <c r="D3316" s="239"/>
      <c r="E3316" s="239"/>
      <c r="F3316" s="240"/>
      <c r="G3316" s="241"/>
      <c r="H3316" s="238"/>
      <c r="I3316" s="238"/>
    </row>
    <row r="3317">
      <c r="A3317" s="238"/>
      <c r="B3317" s="238"/>
      <c r="C3317" s="238"/>
      <c r="D3317" s="239"/>
      <c r="E3317" s="239"/>
      <c r="F3317" s="240"/>
      <c r="G3317" s="241"/>
      <c r="H3317" s="238"/>
      <c r="I3317" s="238"/>
    </row>
    <row r="3318">
      <c r="A3318" s="238"/>
      <c r="B3318" s="238"/>
      <c r="C3318" s="238"/>
      <c r="D3318" s="239"/>
      <c r="E3318" s="239"/>
      <c r="F3318" s="240"/>
      <c r="G3318" s="241"/>
      <c r="H3318" s="238"/>
      <c r="I3318" s="238"/>
    </row>
    <row r="3319">
      <c r="A3319" s="238"/>
      <c r="B3319" s="238"/>
      <c r="C3319" s="238"/>
      <c r="D3319" s="239"/>
      <c r="E3319" s="239"/>
      <c r="F3319" s="240"/>
      <c r="G3319" s="241"/>
      <c r="H3319" s="238"/>
      <c r="I3319" s="238"/>
    </row>
    <row r="3320">
      <c r="A3320" s="238"/>
      <c r="B3320" s="238"/>
      <c r="C3320" s="238"/>
      <c r="D3320" s="239"/>
      <c r="E3320" s="239"/>
      <c r="F3320" s="240"/>
      <c r="G3320" s="241"/>
      <c r="H3320" s="238"/>
      <c r="I3320" s="238"/>
    </row>
    <row r="3321">
      <c r="A3321" s="238"/>
      <c r="B3321" s="238"/>
      <c r="C3321" s="238"/>
      <c r="D3321" s="239"/>
      <c r="E3321" s="239"/>
      <c r="F3321" s="240"/>
      <c r="G3321" s="241"/>
      <c r="H3321" s="238"/>
      <c r="I3321" s="238"/>
    </row>
    <row r="3322">
      <c r="A3322" s="238"/>
      <c r="B3322" s="238"/>
      <c r="C3322" s="238"/>
      <c r="D3322" s="239"/>
      <c r="E3322" s="239"/>
      <c r="F3322" s="240"/>
      <c r="G3322" s="241"/>
      <c r="H3322" s="238"/>
      <c r="I3322" s="238"/>
    </row>
    <row r="3323">
      <c r="A3323" s="238"/>
      <c r="B3323" s="238"/>
      <c r="C3323" s="238"/>
      <c r="D3323" s="239"/>
      <c r="E3323" s="239"/>
      <c r="F3323" s="240"/>
      <c r="G3323" s="241"/>
      <c r="H3323" s="238"/>
      <c r="I3323" s="238"/>
    </row>
    <row r="3324">
      <c r="A3324" s="238"/>
      <c r="B3324" s="238"/>
      <c r="C3324" s="238"/>
      <c r="D3324" s="239"/>
      <c r="E3324" s="239"/>
      <c r="F3324" s="240"/>
      <c r="G3324" s="241"/>
      <c r="H3324" s="238"/>
      <c r="I3324" s="238"/>
    </row>
    <row r="3325">
      <c r="A3325" s="238"/>
      <c r="B3325" s="238"/>
      <c r="C3325" s="238"/>
      <c r="D3325" s="239"/>
      <c r="E3325" s="239"/>
      <c r="F3325" s="240"/>
      <c r="G3325" s="241"/>
      <c r="H3325" s="238"/>
      <c r="I3325" s="238"/>
    </row>
    <row r="3326">
      <c r="A3326" s="238"/>
      <c r="B3326" s="238"/>
      <c r="C3326" s="238"/>
      <c r="D3326" s="239"/>
      <c r="E3326" s="239"/>
      <c r="F3326" s="240"/>
      <c r="G3326" s="241"/>
      <c r="H3326" s="238"/>
      <c r="I3326" s="238"/>
    </row>
    <row r="3327">
      <c r="A3327" s="238"/>
      <c r="B3327" s="238"/>
      <c r="C3327" s="238"/>
      <c r="D3327" s="239"/>
      <c r="E3327" s="239"/>
      <c r="F3327" s="240"/>
      <c r="G3327" s="241"/>
      <c r="H3327" s="238"/>
      <c r="I3327" s="238"/>
    </row>
    <row r="3328">
      <c r="A3328" s="238"/>
      <c r="B3328" s="238"/>
      <c r="C3328" s="238"/>
      <c r="D3328" s="239"/>
      <c r="E3328" s="239"/>
      <c r="F3328" s="240"/>
      <c r="G3328" s="241"/>
      <c r="H3328" s="238"/>
      <c r="I3328" s="238"/>
    </row>
    <row r="3329">
      <c r="A3329" s="238"/>
      <c r="B3329" s="238"/>
      <c r="C3329" s="238"/>
      <c r="D3329" s="239"/>
      <c r="E3329" s="239"/>
      <c r="F3329" s="240"/>
      <c r="G3329" s="241"/>
      <c r="H3329" s="238"/>
      <c r="I3329" s="238"/>
    </row>
    <row r="3330">
      <c r="A3330" s="238"/>
      <c r="B3330" s="238"/>
      <c r="C3330" s="238"/>
      <c r="D3330" s="239"/>
      <c r="E3330" s="239"/>
      <c r="F3330" s="240"/>
      <c r="G3330" s="241"/>
      <c r="H3330" s="238"/>
      <c r="I3330" s="238"/>
    </row>
    <row r="3331">
      <c r="A3331" s="238"/>
      <c r="B3331" s="238"/>
      <c r="C3331" s="238"/>
      <c r="D3331" s="239"/>
      <c r="E3331" s="239"/>
      <c r="F3331" s="240"/>
      <c r="G3331" s="241"/>
      <c r="H3331" s="238"/>
      <c r="I3331" s="238"/>
    </row>
    <row r="3332">
      <c r="A3332" s="238"/>
      <c r="B3332" s="238"/>
      <c r="C3332" s="238"/>
      <c r="D3332" s="239"/>
      <c r="E3332" s="239"/>
      <c r="F3332" s="240"/>
      <c r="G3332" s="241"/>
      <c r="H3332" s="238"/>
      <c r="I3332" s="238"/>
    </row>
    <row r="3333">
      <c r="A3333" s="238"/>
      <c r="B3333" s="238"/>
      <c r="C3333" s="238"/>
      <c r="D3333" s="239"/>
      <c r="E3333" s="239"/>
      <c r="F3333" s="240"/>
      <c r="G3333" s="241"/>
      <c r="H3333" s="238"/>
      <c r="I3333" s="238"/>
    </row>
    <row r="3334">
      <c r="A3334" s="238"/>
      <c r="B3334" s="238"/>
      <c r="C3334" s="238"/>
      <c r="D3334" s="239"/>
      <c r="E3334" s="239"/>
      <c r="F3334" s="240"/>
      <c r="G3334" s="241"/>
      <c r="H3334" s="238"/>
      <c r="I3334" s="238"/>
    </row>
    <row r="3335">
      <c r="A3335" s="238"/>
      <c r="B3335" s="238"/>
      <c r="C3335" s="238"/>
      <c r="D3335" s="239"/>
      <c r="E3335" s="239"/>
      <c r="F3335" s="240"/>
      <c r="G3335" s="241"/>
      <c r="H3335" s="238"/>
      <c r="I3335" s="238"/>
    </row>
    <row r="3336">
      <c r="A3336" s="238"/>
      <c r="B3336" s="238"/>
      <c r="C3336" s="238"/>
      <c r="D3336" s="239"/>
      <c r="E3336" s="239"/>
      <c r="F3336" s="240"/>
      <c r="G3336" s="241"/>
      <c r="H3336" s="238"/>
      <c r="I3336" s="238"/>
    </row>
    <row r="3337">
      <c r="A3337" s="238"/>
      <c r="B3337" s="238"/>
      <c r="C3337" s="238"/>
      <c r="D3337" s="239"/>
      <c r="E3337" s="239"/>
      <c r="F3337" s="240"/>
      <c r="G3337" s="241"/>
      <c r="H3337" s="238"/>
      <c r="I3337" s="238"/>
    </row>
    <row r="3338">
      <c r="A3338" s="238"/>
      <c r="B3338" s="238"/>
      <c r="C3338" s="238"/>
      <c r="D3338" s="239"/>
      <c r="E3338" s="239"/>
      <c r="F3338" s="240"/>
      <c r="G3338" s="241"/>
      <c r="H3338" s="238"/>
      <c r="I3338" s="238"/>
    </row>
    <row r="3339">
      <c r="A3339" s="238"/>
      <c r="B3339" s="238"/>
      <c r="C3339" s="238"/>
      <c r="D3339" s="239"/>
      <c r="E3339" s="239"/>
      <c r="F3339" s="240"/>
      <c r="G3339" s="241"/>
      <c r="H3339" s="238"/>
      <c r="I3339" s="238"/>
    </row>
    <row r="3340">
      <c r="A3340" s="238"/>
      <c r="B3340" s="238"/>
      <c r="C3340" s="238"/>
      <c r="D3340" s="239"/>
      <c r="E3340" s="239"/>
      <c r="F3340" s="240"/>
      <c r="G3340" s="241"/>
      <c r="H3340" s="238"/>
      <c r="I3340" s="238"/>
    </row>
    <row r="3341">
      <c r="A3341" s="238"/>
      <c r="B3341" s="238"/>
      <c r="C3341" s="238"/>
      <c r="D3341" s="239"/>
      <c r="E3341" s="239"/>
      <c r="F3341" s="240"/>
      <c r="G3341" s="241"/>
      <c r="H3341" s="238"/>
      <c r="I3341" s="238"/>
    </row>
    <row r="3342">
      <c r="A3342" s="238"/>
      <c r="B3342" s="238"/>
      <c r="C3342" s="238"/>
      <c r="D3342" s="239"/>
      <c r="E3342" s="239"/>
      <c r="F3342" s="240"/>
      <c r="G3342" s="241"/>
      <c r="H3342" s="238"/>
      <c r="I3342" s="238"/>
    </row>
    <row r="3343">
      <c r="A3343" s="238"/>
      <c r="B3343" s="238"/>
      <c r="C3343" s="238"/>
      <c r="D3343" s="239"/>
      <c r="E3343" s="239"/>
      <c r="F3343" s="240"/>
      <c r="G3343" s="241"/>
      <c r="H3343" s="238"/>
      <c r="I3343" s="238"/>
    </row>
    <row r="3344">
      <c r="A3344" s="238"/>
      <c r="B3344" s="238"/>
      <c r="C3344" s="238"/>
      <c r="D3344" s="239"/>
      <c r="E3344" s="239"/>
      <c r="F3344" s="240"/>
      <c r="G3344" s="241"/>
      <c r="H3344" s="238"/>
      <c r="I3344" s="238"/>
    </row>
    <row r="3345">
      <c r="A3345" s="238"/>
      <c r="B3345" s="238"/>
      <c r="C3345" s="238"/>
      <c r="D3345" s="239"/>
      <c r="E3345" s="239"/>
      <c r="F3345" s="240"/>
      <c r="G3345" s="241"/>
      <c r="H3345" s="238"/>
      <c r="I3345" s="238"/>
    </row>
    <row r="3346">
      <c r="A3346" s="238"/>
      <c r="B3346" s="238"/>
      <c r="C3346" s="238"/>
      <c r="D3346" s="239"/>
      <c r="E3346" s="239"/>
      <c r="F3346" s="240"/>
      <c r="G3346" s="241"/>
      <c r="H3346" s="238"/>
      <c r="I3346" s="238"/>
    </row>
    <row r="3347">
      <c r="A3347" s="238"/>
      <c r="B3347" s="238"/>
      <c r="C3347" s="238"/>
      <c r="D3347" s="239"/>
      <c r="E3347" s="239"/>
      <c r="F3347" s="240"/>
      <c r="G3347" s="241"/>
      <c r="H3347" s="238"/>
      <c r="I3347" s="238"/>
    </row>
    <row r="3348">
      <c r="A3348" s="238"/>
      <c r="B3348" s="238"/>
      <c r="C3348" s="238"/>
      <c r="D3348" s="239"/>
      <c r="E3348" s="239"/>
      <c r="F3348" s="240"/>
      <c r="G3348" s="241"/>
      <c r="H3348" s="238"/>
      <c r="I3348" s="238"/>
    </row>
    <row r="3349">
      <c r="A3349" s="238"/>
      <c r="B3349" s="238"/>
      <c r="C3349" s="238"/>
      <c r="D3349" s="239"/>
      <c r="E3349" s="239"/>
      <c r="F3349" s="240"/>
      <c r="G3349" s="241"/>
      <c r="H3349" s="238"/>
      <c r="I3349" s="238"/>
    </row>
    <row r="3350">
      <c r="A3350" s="238"/>
      <c r="B3350" s="238"/>
      <c r="C3350" s="238"/>
      <c r="D3350" s="239"/>
      <c r="E3350" s="239"/>
      <c r="F3350" s="240"/>
      <c r="G3350" s="241"/>
      <c r="H3350" s="238"/>
      <c r="I3350" s="238"/>
    </row>
    <row r="3351">
      <c r="A3351" s="238"/>
      <c r="B3351" s="238"/>
      <c r="C3351" s="238"/>
      <c r="D3351" s="239"/>
      <c r="E3351" s="239"/>
      <c r="F3351" s="240"/>
      <c r="G3351" s="241"/>
      <c r="H3351" s="238"/>
      <c r="I3351" s="238"/>
    </row>
    <row r="3352">
      <c r="A3352" s="238"/>
      <c r="B3352" s="238"/>
      <c r="C3352" s="238"/>
      <c r="D3352" s="239"/>
      <c r="E3352" s="239"/>
      <c r="F3352" s="240"/>
      <c r="G3352" s="241"/>
      <c r="H3352" s="238"/>
      <c r="I3352" s="238"/>
    </row>
    <row r="3353">
      <c r="A3353" s="238"/>
      <c r="B3353" s="238"/>
      <c r="C3353" s="238"/>
      <c r="D3353" s="239"/>
      <c r="E3353" s="239"/>
      <c r="F3353" s="240"/>
      <c r="G3353" s="241"/>
      <c r="H3353" s="238"/>
      <c r="I3353" s="238"/>
    </row>
    <row r="3354">
      <c r="A3354" s="238"/>
      <c r="B3354" s="238"/>
      <c r="C3354" s="238"/>
      <c r="D3354" s="239"/>
      <c r="E3354" s="239"/>
      <c r="F3354" s="240"/>
      <c r="G3354" s="241"/>
      <c r="H3354" s="238"/>
      <c r="I3354" s="238"/>
    </row>
    <row r="3355">
      <c r="A3355" s="238"/>
      <c r="B3355" s="238"/>
      <c r="C3355" s="238"/>
      <c r="D3355" s="239"/>
      <c r="E3355" s="239"/>
      <c r="F3355" s="240"/>
      <c r="G3355" s="241"/>
      <c r="H3355" s="238"/>
      <c r="I3355" s="238"/>
    </row>
    <row r="3356">
      <c r="A3356" s="238"/>
      <c r="B3356" s="238"/>
      <c r="C3356" s="238"/>
      <c r="D3356" s="239"/>
      <c r="E3356" s="239"/>
      <c r="F3356" s="240"/>
      <c r="G3356" s="241"/>
      <c r="H3356" s="238"/>
      <c r="I3356" s="238"/>
    </row>
    <row r="3357">
      <c r="A3357" s="238"/>
      <c r="B3357" s="238"/>
      <c r="C3357" s="238"/>
      <c r="D3357" s="239"/>
      <c r="E3357" s="239"/>
      <c r="F3357" s="240"/>
      <c r="G3357" s="241"/>
      <c r="H3357" s="238"/>
      <c r="I3357" s="238"/>
    </row>
    <row r="3358">
      <c r="A3358" s="238"/>
      <c r="B3358" s="238"/>
      <c r="C3358" s="238"/>
      <c r="D3358" s="239"/>
      <c r="E3358" s="239"/>
      <c r="F3358" s="240"/>
      <c r="G3358" s="241"/>
      <c r="H3358" s="238"/>
      <c r="I3358" s="238"/>
    </row>
    <row r="3359">
      <c r="A3359" s="238"/>
      <c r="B3359" s="238"/>
      <c r="C3359" s="238"/>
      <c r="D3359" s="239"/>
      <c r="E3359" s="239"/>
      <c r="F3359" s="240"/>
      <c r="G3359" s="241"/>
      <c r="H3359" s="238"/>
      <c r="I3359" s="238"/>
    </row>
    <row r="3360">
      <c r="A3360" s="238"/>
      <c r="B3360" s="238"/>
      <c r="C3360" s="238"/>
      <c r="D3360" s="239"/>
      <c r="E3360" s="239"/>
      <c r="F3360" s="240"/>
      <c r="G3360" s="241"/>
      <c r="H3360" s="238"/>
      <c r="I3360" s="238"/>
    </row>
    <row r="3361">
      <c r="A3361" s="238"/>
      <c r="B3361" s="238"/>
      <c r="C3361" s="238"/>
      <c r="D3361" s="239"/>
      <c r="E3361" s="239"/>
      <c r="F3361" s="240"/>
      <c r="G3361" s="241"/>
      <c r="H3361" s="238"/>
      <c r="I3361" s="238"/>
    </row>
    <row r="3362">
      <c r="A3362" s="238"/>
      <c r="B3362" s="238"/>
      <c r="C3362" s="238"/>
      <c r="D3362" s="239"/>
      <c r="E3362" s="239"/>
      <c r="F3362" s="240"/>
      <c r="G3362" s="241"/>
      <c r="H3362" s="238"/>
      <c r="I3362" s="238"/>
    </row>
    <row r="3363">
      <c r="A3363" s="238"/>
      <c r="B3363" s="238"/>
      <c r="C3363" s="238"/>
      <c r="D3363" s="239"/>
      <c r="E3363" s="239"/>
      <c r="F3363" s="240"/>
      <c r="G3363" s="241"/>
      <c r="H3363" s="238"/>
      <c r="I3363" s="238"/>
    </row>
    <row r="3364">
      <c r="A3364" s="238"/>
      <c r="B3364" s="238"/>
      <c r="C3364" s="238"/>
      <c r="D3364" s="239"/>
      <c r="E3364" s="239"/>
      <c r="F3364" s="240"/>
      <c r="G3364" s="241"/>
      <c r="H3364" s="238"/>
      <c r="I3364" s="238"/>
    </row>
    <row r="3365">
      <c r="A3365" s="238"/>
      <c r="B3365" s="238"/>
      <c r="C3365" s="238"/>
      <c r="D3365" s="239"/>
      <c r="E3365" s="239"/>
      <c r="F3365" s="240"/>
      <c r="G3365" s="241"/>
      <c r="H3365" s="238"/>
      <c r="I3365" s="238"/>
    </row>
    <row r="3366">
      <c r="A3366" s="238"/>
      <c r="B3366" s="238"/>
      <c r="C3366" s="238"/>
      <c r="D3366" s="239"/>
      <c r="E3366" s="239"/>
      <c r="F3366" s="240"/>
      <c r="G3366" s="241"/>
      <c r="H3366" s="238"/>
      <c r="I3366" s="238"/>
    </row>
    <row r="3367">
      <c r="A3367" s="238"/>
      <c r="B3367" s="238"/>
      <c r="C3367" s="238"/>
      <c r="D3367" s="239"/>
      <c r="E3367" s="239"/>
      <c r="F3367" s="240"/>
      <c r="G3367" s="241"/>
      <c r="H3367" s="238"/>
      <c r="I3367" s="238"/>
    </row>
    <row r="3368">
      <c r="A3368" s="238"/>
      <c r="B3368" s="238"/>
      <c r="C3368" s="238"/>
      <c r="D3368" s="239"/>
      <c r="E3368" s="239"/>
      <c r="F3368" s="240"/>
      <c r="G3368" s="241"/>
      <c r="H3368" s="238"/>
      <c r="I3368" s="238"/>
    </row>
    <row r="3369">
      <c r="A3369" s="238"/>
      <c r="B3369" s="238"/>
      <c r="C3369" s="238"/>
      <c r="D3369" s="239"/>
      <c r="E3369" s="239"/>
      <c r="F3369" s="240"/>
      <c r="G3369" s="241"/>
      <c r="H3369" s="238"/>
      <c r="I3369" s="238"/>
    </row>
    <row r="3370">
      <c r="A3370" s="238"/>
      <c r="B3370" s="238"/>
      <c r="C3370" s="238"/>
      <c r="D3370" s="239"/>
      <c r="E3370" s="239"/>
      <c r="F3370" s="240"/>
      <c r="G3370" s="241"/>
      <c r="H3370" s="238"/>
      <c r="I3370" s="238"/>
    </row>
    <row r="3371">
      <c r="A3371" s="238"/>
      <c r="B3371" s="238"/>
      <c r="C3371" s="238"/>
      <c r="D3371" s="239"/>
      <c r="E3371" s="239"/>
      <c r="F3371" s="240"/>
      <c r="G3371" s="241"/>
      <c r="H3371" s="238"/>
      <c r="I3371" s="238"/>
    </row>
    <row r="3372">
      <c r="A3372" s="238"/>
      <c r="B3372" s="238"/>
      <c r="C3372" s="238"/>
      <c r="D3372" s="239"/>
      <c r="E3372" s="239"/>
      <c r="F3372" s="240"/>
      <c r="G3372" s="241"/>
      <c r="H3372" s="238"/>
      <c r="I3372" s="238"/>
    </row>
    <row r="3373">
      <c r="A3373" s="238"/>
      <c r="B3373" s="238"/>
      <c r="C3373" s="238"/>
      <c r="D3373" s="239"/>
      <c r="E3373" s="239"/>
      <c r="F3373" s="240"/>
      <c r="G3373" s="241"/>
      <c r="H3373" s="238"/>
      <c r="I3373" s="238"/>
    </row>
    <row r="3374">
      <c r="A3374" s="238"/>
      <c r="B3374" s="238"/>
      <c r="C3374" s="238"/>
      <c r="D3374" s="239"/>
      <c r="E3374" s="239"/>
      <c r="F3374" s="240"/>
      <c r="G3374" s="241"/>
      <c r="H3374" s="238"/>
      <c r="I3374" s="238"/>
    </row>
    <row r="3375">
      <c r="A3375" s="238"/>
      <c r="B3375" s="238"/>
      <c r="C3375" s="238"/>
      <c r="D3375" s="239"/>
      <c r="E3375" s="239"/>
      <c r="F3375" s="240"/>
      <c r="G3375" s="241"/>
      <c r="H3375" s="238"/>
      <c r="I3375" s="238"/>
    </row>
    <row r="3376">
      <c r="A3376" s="238"/>
      <c r="B3376" s="238"/>
      <c r="C3376" s="238"/>
      <c r="D3376" s="239"/>
      <c r="E3376" s="239"/>
      <c r="F3376" s="240"/>
      <c r="G3376" s="241"/>
      <c r="H3376" s="238"/>
      <c r="I3376" s="238"/>
    </row>
    <row r="3377">
      <c r="A3377" s="238"/>
      <c r="B3377" s="238"/>
      <c r="C3377" s="238"/>
      <c r="D3377" s="239"/>
      <c r="E3377" s="239"/>
      <c r="F3377" s="240"/>
      <c r="G3377" s="241"/>
      <c r="H3377" s="238"/>
      <c r="I3377" s="238"/>
    </row>
    <row r="3378">
      <c r="A3378" s="238"/>
      <c r="B3378" s="238"/>
      <c r="C3378" s="238"/>
      <c r="D3378" s="239"/>
      <c r="E3378" s="239"/>
      <c r="F3378" s="240"/>
      <c r="G3378" s="241"/>
      <c r="H3378" s="238"/>
      <c r="I3378" s="238"/>
    </row>
    <row r="3379">
      <c r="A3379" s="238"/>
      <c r="B3379" s="238"/>
      <c r="C3379" s="238"/>
      <c r="D3379" s="239"/>
      <c r="E3379" s="239"/>
      <c r="F3379" s="240"/>
      <c r="G3379" s="241"/>
      <c r="H3379" s="238"/>
      <c r="I3379" s="238"/>
    </row>
    <row r="3380">
      <c r="A3380" s="238"/>
      <c r="B3380" s="238"/>
      <c r="C3380" s="238"/>
      <c r="D3380" s="239"/>
      <c r="E3380" s="239"/>
      <c r="F3380" s="240"/>
      <c r="G3380" s="241"/>
      <c r="H3380" s="238"/>
      <c r="I3380" s="238"/>
    </row>
    <row r="3381">
      <c r="A3381" s="238"/>
      <c r="B3381" s="238"/>
      <c r="C3381" s="238"/>
      <c r="D3381" s="239"/>
      <c r="E3381" s="239"/>
      <c r="F3381" s="240"/>
      <c r="G3381" s="241"/>
      <c r="H3381" s="238"/>
      <c r="I3381" s="238"/>
    </row>
    <row r="3382">
      <c r="A3382" s="238"/>
      <c r="B3382" s="238"/>
      <c r="C3382" s="238"/>
      <c r="D3382" s="239"/>
      <c r="E3382" s="239"/>
      <c r="F3382" s="240"/>
      <c r="G3382" s="241"/>
      <c r="H3382" s="238"/>
      <c r="I3382" s="238"/>
    </row>
    <row r="3383">
      <c r="A3383" s="238"/>
      <c r="B3383" s="238"/>
      <c r="C3383" s="238"/>
      <c r="D3383" s="239"/>
      <c r="E3383" s="239"/>
      <c r="F3383" s="240"/>
      <c r="G3383" s="241"/>
      <c r="H3383" s="238"/>
      <c r="I3383" s="238"/>
    </row>
    <row r="3384">
      <c r="A3384" s="238"/>
      <c r="B3384" s="238"/>
      <c r="C3384" s="238"/>
      <c r="D3384" s="239"/>
      <c r="E3384" s="239"/>
      <c r="F3384" s="240"/>
      <c r="G3384" s="241"/>
      <c r="H3384" s="238"/>
      <c r="I3384" s="238"/>
    </row>
    <row r="3385">
      <c r="A3385" s="238"/>
      <c r="B3385" s="238"/>
      <c r="C3385" s="238"/>
      <c r="D3385" s="239"/>
      <c r="E3385" s="239"/>
      <c r="F3385" s="240"/>
      <c r="G3385" s="241"/>
      <c r="H3385" s="238"/>
      <c r="I3385" s="238"/>
    </row>
    <row r="3386">
      <c r="A3386" s="238"/>
      <c r="B3386" s="238"/>
      <c r="C3386" s="238"/>
      <c r="D3386" s="239"/>
      <c r="E3386" s="239"/>
      <c r="F3386" s="240"/>
      <c r="G3386" s="241"/>
      <c r="H3386" s="238"/>
      <c r="I3386" s="238"/>
    </row>
    <row r="3387">
      <c r="A3387" s="238"/>
      <c r="B3387" s="238"/>
      <c r="C3387" s="238"/>
      <c r="D3387" s="239"/>
      <c r="E3387" s="239"/>
      <c r="F3387" s="240"/>
      <c r="G3387" s="241"/>
      <c r="H3387" s="238"/>
      <c r="I3387" s="238"/>
    </row>
    <row r="3388">
      <c r="A3388" s="238"/>
      <c r="B3388" s="238"/>
      <c r="C3388" s="238"/>
      <c r="D3388" s="239"/>
      <c r="E3388" s="239"/>
      <c r="F3388" s="240"/>
      <c r="G3388" s="241"/>
      <c r="H3388" s="238"/>
      <c r="I3388" s="238"/>
    </row>
    <row r="3389">
      <c r="A3389" s="238"/>
      <c r="B3389" s="238"/>
      <c r="C3389" s="238"/>
      <c r="D3389" s="239"/>
      <c r="E3389" s="239"/>
      <c r="F3389" s="240"/>
      <c r="G3389" s="241"/>
      <c r="H3389" s="238"/>
      <c r="I3389" s="238"/>
    </row>
    <row r="3390">
      <c r="A3390" s="238"/>
      <c r="B3390" s="238"/>
      <c r="C3390" s="238"/>
      <c r="D3390" s="239"/>
      <c r="E3390" s="239"/>
      <c r="F3390" s="240"/>
      <c r="G3390" s="241"/>
      <c r="H3390" s="238"/>
      <c r="I3390" s="238"/>
    </row>
    <row r="3391">
      <c r="A3391" s="238"/>
      <c r="B3391" s="238"/>
      <c r="C3391" s="238"/>
      <c r="D3391" s="239"/>
      <c r="E3391" s="239"/>
      <c r="F3391" s="240"/>
      <c r="G3391" s="241"/>
      <c r="H3391" s="238"/>
      <c r="I3391" s="238"/>
    </row>
    <row r="3392">
      <c r="A3392" s="238"/>
      <c r="B3392" s="238"/>
      <c r="C3392" s="238"/>
      <c r="D3392" s="239"/>
      <c r="E3392" s="239"/>
      <c r="F3392" s="240"/>
      <c r="G3392" s="241"/>
      <c r="H3392" s="238"/>
      <c r="I3392" s="238"/>
    </row>
    <row r="3393">
      <c r="A3393" s="238"/>
      <c r="B3393" s="238"/>
      <c r="C3393" s="238"/>
      <c r="D3393" s="239"/>
      <c r="E3393" s="239"/>
      <c r="F3393" s="240"/>
      <c r="G3393" s="241"/>
      <c r="H3393" s="238"/>
      <c r="I3393" s="238"/>
    </row>
    <row r="3394">
      <c r="A3394" s="238"/>
      <c r="B3394" s="238"/>
      <c r="C3394" s="238"/>
      <c r="D3394" s="239"/>
      <c r="E3394" s="239"/>
      <c r="F3394" s="240"/>
      <c r="G3394" s="241"/>
      <c r="H3394" s="238"/>
      <c r="I3394" s="238"/>
    </row>
    <row r="3395">
      <c r="A3395" s="238"/>
      <c r="B3395" s="238"/>
      <c r="C3395" s="238"/>
      <c r="D3395" s="239"/>
      <c r="E3395" s="239"/>
      <c r="F3395" s="240"/>
      <c r="G3395" s="241"/>
      <c r="H3395" s="238"/>
      <c r="I3395" s="238"/>
    </row>
    <row r="3396">
      <c r="A3396" s="238"/>
      <c r="B3396" s="238"/>
      <c r="C3396" s="238"/>
      <c r="D3396" s="239"/>
      <c r="E3396" s="239"/>
      <c r="F3396" s="240"/>
      <c r="G3396" s="241"/>
      <c r="H3396" s="238"/>
      <c r="I3396" s="238"/>
    </row>
    <row r="3397">
      <c r="A3397" s="238"/>
      <c r="B3397" s="238"/>
      <c r="C3397" s="238"/>
      <c r="D3397" s="239"/>
      <c r="E3397" s="239"/>
      <c r="F3397" s="240"/>
      <c r="G3397" s="241"/>
      <c r="H3397" s="238"/>
      <c r="I3397" s="238"/>
    </row>
    <row r="3398">
      <c r="A3398" s="238"/>
      <c r="B3398" s="238"/>
      <c r="C3398" s="238"/>
      <c r="D3398" s="239"/>
      <c r="E3398" s="239"/>
      <c r="F3398" s="240"/>
      <c r="G3398" s="241"/>
      <c r="H3398" s="238"/>
      <c r="I3398" s="238"/>
    </row>
    <row r="3399">
      <c r="A3399" s="238"/>
      <c r="B3399" s="238"/>
      <c r="C3399" s="238"/>
      <c r="D3399" s="239"/>
      <c r="E3399" s="239"/>
      <c r="F3399" s="240"/>
      <c r="G3399" s="241"/>
      <c r="H3399" s="238"/>
      <c r="I3399" s="238"/>
    </row>
    <row r="3400">
      <c r="A3400" s="238"/>
      <c r="B3400" s="238"/>
      <c r="C3400" s="238"/>
      <c r="D3400" s="239"/>
      <c r="E3400" s="239"/>
      <c r="F3400" s="240"/>
      <c r="G3400" s="241"/>
      <c r="H3400" s="238"/>
      <c r="I3400" s="238"/>
    </row>
    <row r="3401">
      <c r="A3401" s="238"/>
      <c r="B3401" s="238"/>
      <c r="C3401" s="238"/>
      <c r="D3401" s="239"/>
      <c r="E3401" s="239"/>
      <c r="F3401" s="240"/>
      <c r="G3401" s="241"/>
      <c r="H3401" s="238"/>
      <c r="I3401" s="238"/>
    </row>
    <row r="3402">
      <c r="A3402" s="238"/>
      <c r="B3402" s="238"/>
      <c r="C3402" s="238"/>
      <c r="D3402" s="239"/>
      <c r="E3402" s="239"/>
      <c r="F3402" s="240"/>
      <c r="G3402" s="241"/>
      <c r="H3402" s="238"/>
      <c r="I3402" s="238"/>
    </row>
    <row r="3403">
      <c r="A3403" s="238"/>
      <c r="B3403" s="238"/>
      <c r="C3403" s="238"/>
      <c r="D3403" s="239"/>
      <c r="E3403" s="239"/>
      <c r="F3403" s="240"/>
      <c r="G3403" s="241"/>
      <c r="H3403" s="238"/>
      <c r="I3403" s="238"/>
    </row>
    <row r="3404">
      <c r="A3404" s="238"/>
      <c r="B3404" s="238"/>
      <c r="C3404" s="238"/>
      <c r="D3404" s="239"/>
      <c r="E3404" s="239"/>
      <c r="F3404" s="240"/>
      <c r="G3404" s="241"/>
      <c r="H3404" s="238"/>
      <c r="I3404" s="238"/>
    </row>
    <row r="3405">
      <c r="A3405" s="238"/>
      <c r="B3405" s="238"/>
      <c r="C3405" s="238"/>
      <c r="D3405" s="239"/>
      <c r="E3405" s="239"/>
      <c r="F3405" s="240"/>
      <c r="G3405" s="241"/>
      <c r="H3405" s="238"/>
      <c r="I3405" s="238"/>
    </row>
    <row r="3406">
      <c r="A3406" s="238"/>
      <c r="B3406" s="238"/>
      <c r="C3406" s="238"/>
      <c r="D3406" s="239"/>
      <c r="E3406" s="239"/>
      <c r="F3406" s="240"/>
      <c r="G3406" s="241"/>
      <c r="H3406" s="238"/>
      <c r="I3406" s="238"/>
    </row>
    <row r="3407">
      <c r="A3407" s="238"/>
      <c r="B3407" s="238"/>
      <c r="C3407" s="238"/>
      <c r="D3407" s="239"/>
      <c r="E3407" s="239"/>
      <c r="F3407" s="240"/>
      <c r="G3407" s="241"/>
      <c r="H3407" s="238"/>
      <c r="I3407" s="238"/>
    </row>
    <row r="3408">
      <c r="A3408" s="238"/>
      <c r="B3408" s="238"/>
      <c r="C3408" s="238"/>
      <c r="D3408" s="239"/>
      <c r="E3408" s="239"/>
      <c r="F3408" s="240"/>
      <c r="G3408" s="241"/>
      <c r="H3408" s="238"/>
      <c r="I3408" s="238"/>
    </row>
    <row r="3409">
      <c r="A3409" s="238"/>
      <c r="B3409" s="238"/>
      <c r="C3409" s="238"/>
      <c r="D3409" s="239"/>
      <c r="E3409" s="239"/>
      <c r="F3409" s="240"/>
      <c r="G3409" s="241"/>
      <c r="H3409" s="238"/>
      <c r="I3409" s="238"/>
    </row>
    <row r="3410">
      <c r="A3410" s="238"/>
      <c r="B3410" s="238"/>
      <c r="C3410" s="238"/>
      <c r="D3410" s="239"/>
      <c r="E3410" s="239"/>
      <c r="F3410" s="240"/>
      <c r="G3410" s="241"/>
      <c r="H3410" s="238"/>
      <c r="I3410" s="238"/>
    </row>
    <row r="3411">
      <c r="A3411" s="238"/>
      <c r="B3411" s="238"/>
      <c r="C3411" s="238"/>
      <c r="D3411" s="239"/>
      <c r="E3411" s="239"/>
      <c r="F3411" s="240"/>
      <c r="G3411" s="241"/>
      <c r="H3411" s="238"/>
      <c r="I3411" s="238"/>
    </row>
    <row r="3412">
      <c r="A3412" s="238"/>
      <c r="B3412" s="238"/>
      <c r="C3412" s="238"/>
      <c r="D3412" s="239"/>
      <c r="E3412" s="239"/>
      <c r="F3412" s="240"/>
      <c r="G3412" s="241"/>
      <c r="H3412" s="238"/>
      <c r="I3412" s="238"/>
    </row>
    <row r="3413">
      <c r="A3413" s="238"/>
      <c r="B3413" s="238"/>
      <c r="C3413" s="238"/>
      <c r="D3413" s="239"/>
      <c r="E3413" s="239"/>
      <c r="F3413" s="240"/>
      <c r="G3413" s="241"/>
      <c r="H3413" s="238"/>
      <c r="I3413" s="238"/>
    </row>
    <row r="3414">
      <c r="A3414" s="238"/>
      <c r="B3414" s="238"/>
      <c r="C3414" s="238"/>
      <c r="D3414" s="239"/>
      <c r="E3414" s="239"/>
      <c r="F3414" s="240"/>
      <c r="G3414" s="241"/>
      <c r="H3414" s="238"/>
      <c r="I3414" s="238"/>
    </row>
    <row r="3415">
      <c r="A3415" s="238"/>
      <c r="B3415" s="238"/>
      <c r="C3415" s="238"/>
      <c r="D3415" s="239"/>
      <c r="E3415" s="239"/>
      <c r="F3415" s="240"/>
      <c r="G3415" s="241"/>
      <c r="H3415" s="238"/>
      <c r="I3415" s="238"/>
    </row>
    <row r="3416">
      <c r="A3416" s="238"/>
      <c r="B3416" s="238"/>
      <c r="C3416" s="238"/>
      <c r="D3416" s="239"/>
      <c r="E3416" s="239"/>
      <c r="F3416" s="240"/>
      <c r="G3416" s="241"/>
      <c r="H3416" s="238"/>
      <c r="I3416" s="238"/>
    </row>
    <row r="3417">
      <c r="A3417" s="238"/>
      <c r="B3417" s="238"/>
      <c r="C3417" s="238"/>
      <c r="D3417" s="239"/>
      <c r="E3417" s="239"/>
      <c r="F3417" s="240"/>
      <c r="G3417" s="241"/>
      <c r="H3417" s="238"/>
      <c r="I3417" s="238"/>
    </row>
    <row r="3418">
      <c r="A3418" s="238"/>
      <c r="B3418" s="238"/>
      <c r="C3418" s="238"/>
      <c r="D3418" s="239"/>
      <c r="E3418" s="239"/>
      <c r="F3418" s="240"/>
      <c r="G3418" s="241"/>
      <c r="H3418" s="238"/>
      <c r="I3418" s="238"/>
    </row>
    <row r="3419">
      <c r="A3419" s="238"/>
      <c r="B3419" s="238"/>
      <c r="C3419" s="238"/>
      <c r="D3419" s="239"/>
      <c r="E3419" s="239"/>
      <c r="F3419" s="240"/>
      <c r="G3419" s="241"/>
      <c r="H3419" s="238"/>
      <c r="I3419" s="238"/>
    </row>
    <row r="3420">
      <c r="A3420" s="238"/>
      <c r="B3420" s="238"/>
      <c r="C3420" s="238"/>
      <c r="D3420" s="239"/>
      <c r="E3420" s="239"/>
      <c r="F3420" s="240"/>
      <c r="G3420" s="241"/>
      <c r="H3420" s="238"/>
      <c r="I3420" s="238"/>
    </row>
    <row r="3421">
      <c r="A3421" s="238"/>
      <c r="B3421" s="238"/>
      <c r="C3421" s="238"/>
      <c r="D3421" s="239"/>
      <c r="E3421" s="239"/>
      <c r="F3421" s="240"/>
      <c r="G3421" s="241"/>
      <c r="H3421" s="238"/>
      <c r="I3421" s="238"/>
    </row>
    <row r="3422">
      <c r="A3422" s="238"/>
      <c r="B3422" s="238"/>
      <c r="C3422" s="238"/>
      <c r="D3422" s="239"/>
      <c r="E3422" s="239"/>
      <c r="F3422" s="240"/>
      <c r="G3422" s="241"/>
      <c r="H3422" s="238"/>
      <c r="I3422" s="238"/>
    </row>
    <row r="3423">
      <c r="A3423" s="238"/>
      <c r="B3423" s="238"/>
      <c r="C3423" s="238"/>
      <c r="D3423" s="239"/>
      <c r="E3423" s="239"/>
      <c r="F3423" s="240"/>
      <c r="G3423" s="241"/>
      <c r="H3423" s="238"/>
      <c r="I3423" s="238"/>
    </row>
    <row r="3424">
      <c r="A3424" s="238"/>
      <c r="B3424" s="238"/>
      <c r="C3424" s="238"/>
      <c r="D3424" s="239"/>
      <c r="E3424" s="239"/>
      <c r="F3424" s="240"/>
      <c r="G3424" s="241"/>
      <c r="H3424" s="238"/>
      <c r="I3424" s="238"/>
    </row>
    <row r="3425">
      <c r="A3425" s="238"/>
      <c r="B3425" s="238"/>
      <c r="C3425" s="238"/>
      <c r="D3425" s="239"/>
      <c r="E3425" s="239"/>
      <c r="F3425" s="240"/>
      <c r="G3425" s="241"/>
      <c r="H3425" s="238"/>
      <c r="I3425" s="238"/>
    </row>
    <row r="3426">
      <c r="A3426" s="238"/>
      <c r="B3426" s="238"/>
      <c r="C3426" s="238"/>
      <c r="D3426" s="239"/>
      <c r="E3426" s="239"/>
      <c r="F3426" s="240"/>
      <c r="G3426" s="241"/>
      <c r="H3426" s="238"/>
      <c r="I3426" s="238"/>
    </row>
    <row r="3427">
      <c r="A3427" s="238"/>
      <c r="B3427" s="238"/>
      <c r="C3427" s="238"/>
      <c r="D3427" s="239"/>
      <c r="E3427" s="239"/>
      <c r="F3427" s="240"/>
      <c r="G3427" s="241"/>
      <c r="H3427" s="238"/>
      <c r="I3427" s="238"/>
    </row>
    <row r="3428">
      <c r="A3428" s="238"/>
      <c r="B3428" s="238"/>
      <c r="C3428" s="238"/>
      <c r="D3428" s="239"/>
      <c r="E3428" s="239"/>
      <c r="F3428" s="240"/>
      <c r="G3428" s="241"/>
      <c r="H3428" s="238"/>
      <c r="I3428" s="238"/>
    </row>
    <row r="3429">
      <c r="A3429" s="238"/>
      <c r="B3429" s="238"/>
      <c r="C3429" s="238"/>
      <c r="D3429" s="239"/>
      <c r="E3429" s="239"/>
      <c r="F3429" s="240"/>
      <c r="G3429" s="241"/>
      <c r="H3429" s="238"/>
      <c r="I3429" s="238"/>
    </row>
    <row r="3430">
      <c r="A3430" s="238"/>
      <c r="B3430" s="238"/>
      <c r="C3430" s="238"/>
      <c r="D3430" s="239"/>
      <c r="E3430" s="239"/>
      <c r="F3430" s="240"/>
      <c r="G3430" s="241"/>
      <c r="H3430" s="238"/>
      <c r="I3430" s="238"/>
    </row>
    <row r="3431">
      <c r="A3431" s="238"/>
      <c r="B3431" s="238"/>
      <c r="C3431" s="238"/>
      <c r="D3431" s="239"/>
      <c r="E3431" s="239"/>
      <c r="F3431" s="240"/>
      <c r="G3431" s="241"/>
      <c r="H3431" s="238"/>
      <c r="I3431" s="238"/>
    </row>
    <row r="3432">
      <c r="A3432" s="238"/>
      <c r="B3432" s="238"/>
      <c r="C3432" s="238"/>
      <c r="D3432" s="239"/>
      <c r="E3432" s="239"/>
      <c r="F3432" s="240"/>
      <c r="G3432" s="241"/>
      <c r="H3432" s="238"/>
      <c r="I3432" s="238"/>
    </row>
    <row r="3433">
      <c r="A3433" s="238"/>
      <c r="B3433" s="238"/>
      <c r="C3433" s="238"/>
      <c r="D3433" s="239"/>
      <c r="E3433" s="239"/>
      <c r="F3433" s="240"/>
      <c r="G3433" s="241"/>
      <c r="H3433" s="238"/>
      <c r="I3433" s="238"/>
    </row>
    <row r="3434">
      <c r="A3434" s="238"/>
      <c r="B3434" s="238"/>
      <c r="C3434" s="238"/>
      <c r="D3434" s="239"/>
      <c r="E3434" s="239"/>
      <c r="F3434" s="240"/>
      <c r="G3434" s="241"/>
      <c r="H3434" s="238"/>
      <c r="I3434" s="238"/>
    </row>
    <row r="3435">
      <c r="A3435" s="238"/>
      <c r="B3435" s="238"/>
      <c r="C3435" s="238"/>
      <c r="D3435" s="239"/>
      <c r="E3435" s="239"/>
      <c r="F3435" s="240"/>
      <c r="G3435" s="241"/>
      <c r="H3435" s="238"/>
      <c r="I3435" s="238"/>
    </row>
    <row r="3436">
      <c r="A3436" s="238"/>
      <c r="B3436" s="238"/>
      <c r="C3436" s="238"/>
      <c r="D3436" s="239"/>
      <c r="E3436" s="239"/>
      <c r="F3436" s="240"/>
      <c r="G3436" s="241"/>
      <c r="H3436" s="238"/>
      <c r="I3436" s="238"/>
    </row>
    <row r="3437">
      <c r="A3437" s="238"/>
      <c r="B3437" s="238"/>
      <c r="C3437" s="238"/>
      <c r="D3437" s="239"/>
      <c r="E3437" s="239"/>
      <c r="F3437" s="240"/>
      <c r="G3437" s="241"/>
      <c r="H3437" s="238"/>
      <c r="I3437" s="238"/>
    </row>
    <row r="3438">
      <c r="A3438" s="238"/>
      <c r="B3438" s="238"/>
      <c r="C3438" s="238"/>
      <c r="D3438" s="239"/>
      <c r="E3438" s="239"/>
      <c r="F3438" s="240"/>
      <c r="G3438" s="241"/>
      <c r="H3438" s="238"/>
      <c r="I3438" s="238"/>
    </row>
    <row r="3439">
      <c r="A3439" s="238"/>
      <c r="B3439" s="238"/>
      <c r="C3439" s="238"/>
      <c r="D3439" s="239"/>
      <c r="E3439" s="239"/>
      <c r="F3439" s="240"/>
      <c r="G3439" s="241"/>
      <c r="H3439" s="238"/>
      <c r="I3439" s="238"/>
    </row>
    <row r="3440">
      <c r="A3440" s="238"/>
      <c r="B3440" s="238"/>
      <c r="C3440" s="238"/>
      <c r="D3440" s="239"/>
      <c r="E3440" s="239"/>
      <c r="F3440" s="240"/>
      <c r="G3440" s="241"/>
      <c r="H3440" s="238"/>
      <c r="I3440" s="238"/>
    </row>
    <row r="3441">
      <c r="A3441" s="238"/>
      <c r="B3441" s="238"/>
      <c r="C3441" s="238"/>
      <c r="D3441" s="239"/>
      <c r="E3441" s="239"/>
      <c r="F3441" s="240"/>
      <c r="G3441" s="241"/>
      <c r="H3441" s="238"/>
      <c r="I3441" s="238"/>
    </row>
    <row r="3442">
      <c r="A3442" s="238"/>
      <c r="B3442" s="238"/>
      <c r="C3442" s="238"/>
      <c r="D3442" s="239"/>
      <c r="E3442" s="239"/>
      <c r="F3442" s="240"/>
      <c r="G3442" s="241"/>
      <c r="H3442" s="238"/>
      <c r="I3442" s="238"/>
    </row>
    <row r="3443">
      <c r="A3443" s="238"/>
      <c r="B3443" s="238"/>
      <c r="C3443" s="238"/>
      <c r="D3443" s="239"/>
      <c r="E3443" s="239"/>
      <c r="F3443" s="240"/>
      <c r="G3443" s="241"/>
      <c r="H3443" s="238"/>
      <c r="I3443" s="238"/>
    </row>
    <row r="3444">
      <c r="A3444" s="238"/>
      <c r="B3444" s="238"/>
      <c r="C3444" s="238"/>
      <c r="D3444" s="239"/>
      <c r="E3444" s="239"/>
      <c r="F3444" s="240"/>
      <c r="G3444" s="241"/>
      <c r="H3444" s="238"/>
      <c r="I3444" s="238"/>
    </row>
    <row r="3445">
      <c r="A3445" s="238"/>
      <c r="B3445" s="238"/>
      <c r="C3445" s="238"/>
      <c r="D3445" s="239"/>
      <c r="E3445" s="239"/>
      <c r="F3445" s="240"/>
      <c r="G3445" s="241"/>
      <c r="H3445" s="238"/>
      <c r="I3445" s="238"/>
    </row>
    <row r="3446">
      <c r="A3446" s="238"/>
      <c r="B3446" s="238"/>
      <c r="C3446" s="238"/>
      <c r="D3446" s="239"/>
      <c r="E3446" s="239"/>
      <c r="F3446" s="240"/>
      <c r="G3446" s="241"/>
      <c r="H3446" s="238"/>
      <c r="I3446" s="238"/>
    </row>
    <row r="3447">
      <c r="A3447" s="238"/>
      <c r="B3447" s="238"/>
      <c r="C3447" s="238"/>
      <c r="D3447" s="239"/>
      <c r="E3447" s="239"/>
      <c r="F3447" s="240"/>
      <c r="G3447" s="241"/>
      <c r="H3447" s="238"/>
      <c r="I3447" s="238"/>
    </row>
    <row r="3448">
      <c r="A3448" s="238"/>
      <c r="B3448" s="238"/>
      <c r="C3448" s="238"/>
      <c r="D3448" s="239"/>
      <c r="E3448" s="239"/>
      <c r="F3448" s="240"/>
      <c r="G3448" s="241"/>
      <c r="H3448" s="238"/>
      <c r="I3448" s="238"/>
    </row>
    <row r="3449">
      <c r="A3449" s="238"/>
      <c r="B3449" s="238"/>
      <c r="C3449" s="238"/>
      <c r="D3449" s="239"/>
      <c r="E3449" s="239"/>
      <c r="F3449" s="240"/>
      <c r="G3449" s="241"/>
      <c r="H3449" s="238"/>
      <c r="I3449" s="238"/>
    </row>
    <row r="3450">
      <c r="A3450" s="238"/>
      <c r="B3450" s="238"/>
      <c r="C3450" s="238"/>
      <c r="D3450" s="239"/>
      <c r="E3450" s="239"/>
      <c r="F3450" s="240"/>
      <c r="G3450" s="241"/>
      <c r="H3450" s="238"/>
      <c r="I3450" s="238"/>
    </row>
    <row r="3451">
      <c r="A3451" s="238"/>
      <c r="B3451" s="238"/>
      <c r="C3451" s="238"/>
      <c r="D3451" s="239"/>
      <c r="E3451" s="239"/>
      <c r="F3451" s="240"/>
      <c r="G3451" s="241"/>
      <c r="H3451" s="238"/>
      <c r="I3451" s="238"/>
    </row>
    <row r="3452">
      <c r="A3452" s="238"/>
      <c r="B3452" s="238"/>
      <c r="C3452" s="238"/>
      <c r="D3452" s="239"/>
      <c r="E3452" s="239"/>
      <c r="F3452" s="240"/>
      <c r="G3452" s="241"/>
      <c r="H3452" s="238"/>
      <c r="I3452" s="238"/>
    </row>
    <row r="3453">
      <c r="A3453" s="238"/>
      <c r="B3453" s="238"/>
      <c r="C3453" s="238"/>
      <c r="D3453" s="239"/>
      <c r="E3453" s="239"/>
      <c r="F3453" s="240"/>
      <c r="G3453" s="241"/>
      <c r="H3453" s="238"/>
      <c r="I3453" s="238"/>
    </row>
    <row r="3454">
      <c r="A3454" s="238"/>
      <c r="B3454" s="238"/>
      <c r="C3454" s="238"/>
      <c r="D3454" s="239"/>
      <c r="E3454" s="239"/>
      <c r="F3454" s="240"/>
      <c r="G3454" s="241"/>
      <c r="H3454" s="238"/>
      <c r="I3454" s="238"/>
    </row>
    <row r="3455">
      <c r="A3455" s="238"/>
      <c r="B3455" s="238"/>
      <c r="C3455" s="238"/>
      <c r="D3455" s="239"/>
      <c r="E3455" s="239"/>
      <c r="F3455" s="240"/>
      <c r="G3455" s="241"/>
      <c r="H3455" s="238"/>
      <c r="I3455" s="238"/>
    </row>
    <row r="3456">
      <c r="A3456" s="238"/>
      <c r="B3456" s="238"/>
      <c r="C3456" s="238"/>
      <c r="D3456" s="239"/>
      <c r="E3456" s="239"/>
      <c r="F3456" s="240"/>
      <c r="G3456" s="241"/>
      <c r="H3456" s="238"/>
      <c r="I3456" s="238"/>
    </row>
    <row r="3457">
      <c r="A3457" s="238"/>
      <c r="B3457" s="238"/>
      <c r="C3457" s="238"/>
      <c r="D3457" s="239"/>
      <c r="E3457" s="239"/>
      <c r="F3457" s="240"/>
      <c r="G3457" s="241"/>
      <c r="H3457" s="238"/>
      <c r="I3457" s="238"/>
    </row>
    <row r="3458">
      <c r="A3458" s="238"/>
      <c r="B3458" s="238"/>
      <c r="C3458" s="238"/>
      <c r="D3458" s="239"/>
      <c r="E3458" s="239"/>
      <c r="F3458" s="240"/>
      <c r="G3458" s="241"/>
      <c r="H3458" s="238"/>
      <c r="I3458" s="238"/>
    </row>
    <row r="3459">
      <c r="A3459" s="238"/>
      <c r="B3459" s="238"/>
      <c r="C3459" s="238"/>
      <c r="D3459" s="239"/>
      <c r="E3459" s="239"/>
      <c r="F3459" s="240"/>
      <c r="G3459" s="241"/>
      <c r="H3459" s="238"/>
      <c r="I3459" s="238"/>
    </row>
    <row r="3460">
      <c r="A3460" s="238"/>
      <c r="B3460" s="238"/>
      <c r="C3460" s="238"/>
      <c r="D3460" s="239"/>
      <c r="E3460" s="239"/>
      <c r="F3460" s="240"/>
      <c r="G3460" s="241"/>
      <c r="H3460" s="238"/>
      <c r="I3460" s="238"/>
    </row>
    <row r="3461">
      <c r="A3461" s="238"/>
      <c r="B3461" s="238"/>
      <c r="C3461" s="238"/>
      <c r="D3461" s="239"/>
      <c r="E3461" s="239"/>
      <c r="F3461" s="240"/>
      <c r="G3461" s="241"/>
      <c r="H3461" s="238"/>
      <c r="I3461" s="238"/>
    </row>
    <row r="3462">
      <c r="A3462" s="238"/>
      <c r="B3462" s="238"/>
      <c r="C3462" s="238"/>
      <c r="D3462" s="239"/>
      <c r="E3462" s="239"/>
      <c r="F3462" s="240"/>
      <c r="G3462" s="241"/>
      <c r="H3462" s="238"/>
      <c r="I3462" s="238"/>
    </row>
    <row r="3463">
      <c r="A3463" s="238"/>
      <c r="B3463" s="238"/>
      <c r="C3463" s="238"/>
      <c r="D3463" s="239"/>
      <c r="E3463" s="239"/>
      <c r="F3463" s="240"/>
      <c r="G3463" s="241"/>
      <c r="H3463" s="238"/>
      <c r="I3463" s="238"/>
    </row>
    <row r="3464">
      <c r="A3464" s="238"/>
      <c r="B3464" s="238"/>
      <c r="C3464" s="238"/>
      <c r="D3464" s="239"/>
      <c r="E3464" s="239"/>
      <c r="F3464" s="240"/>
      <c r="G3464" s="241"/>
      <c r="H3464" s="238"/>
      <c r="I3464" s="238"/>
    </row>
    <row r="3465">
      <c r="A3465" s="238"/>
      <c r="B3465" s="238"/>
      <c r="C3465" s="238"/>
      <c r="D3465" s="239"/>
      <c r="E3465" s="239"/>
      <c r="F3465" s="240"/>
      <c r="G3465" s="241"/>
      <c r="H3465" s="238"/>
      <c r="I3465" s="238"/>
    </row>
    <row r="3466">
      <c r="A3466" s="238"/>
      <c r="B3466" s="238"/>
      <c r="C3466" s="238"/>
      <c r="D3466" s="239"/>
      <c r="E3466" s="239"/>
      <c r="F3466" s="240"/>
      <c r="G3466" s="241"/>
      <c r="H3466" s="238"/>
      <c r="I3466" s="238"/>
    </row>
    <row r="3467">
      <c r="A3467" s="238"/>
      <c r="B3467" s="238"/>
      <c r="C3467" s="238"/>
      <c r="D3467" s="239"/>
      <c r="E3467" s="239"/>
      <c r="F3467" s="240"/>
      <c r="G3467" s="241"/>
      <c r="H3467" s="238"/>
      <c r="I3467" s="238"/>
    </row>
    <row r="3468">
      <c r="A3468" s="238"/>
      <c r="B3468" s="238"/>
      <c r="C3468" s="238"/>
      <c r="D3468" s="239"/>
      <c r="E3468" s="239"/>
      <c r="F3468" s="240"/>
      <c r="G3468" s="241"/>
      <c r="H3468" s="238"/>
      <c r="I3468" s="238"/>
    </row>
    <row r="3469">
      <c r="A3469" s="238"/>
      <c r="B3469" s="238"/>
      <c r="C3469" s="238"/>
      <c r="D3469" s="239"/>
      <c r="E3469" s="239"/>
      <c r="F3469" s="240"/>
      <c r="G3469" s="241"/>
      <c r="H3469" s="238"/>
      <c r="I3469" s="238"/>
    </row>
    <row r="3470">
      <c r="A3470" s="238"/>
      <c r="B3470" s="238"/>
      <c r="C3470" s="238"/>
      <c r="D3470" s="239"/>
      <c r="E3470" s="239"/>
      <c r="F3470" s="240"/>
      <c r="G3470" s="241"/>
      <c r="H3470" s="238"/>
      <c r="I3470" s="238"/>
    </row>
    <row r="3471">
      <c r="A3471" s="238"/>
      <c r="B3471" s="238"/>
      <c r="C3471" s="238"/>
      <c r="D3471" s="239"/>
      <c r="E3471" s="239"/>
      <c r="F3471" s="240"/>
      <c r="G3471" s="241"/>
      <c r="H3471" s="238"/>
      <c r="I3471" s="238"/>
    </row>
    <row r="3472">
      <c r="A3472" s="238"/>
      <c r="B3472" s="238"/>
      <c r="C3472" s="238"/>
      <c r="D3472" s="239"/>
      <c r="E3472" s="239"/>
      <c r="F3472" s="240"/>
      <c r="G3472" s="241"/>
      <c r="H3472" s="238"/>
      <c r="I3472" s="238"/>
    </row>
    <row r="3473">
      <c r="A3473" s="238"/>
      <c r="B3473" s="238"/>
      <c r="C3473" s="238"/>
      <c r="D3473" s="239"/>
      <c r="E3473" s="239"/>
      <c r="F3473" s="240"/>
      <c r="G3473" s="241"/>
      <c r="H3473" s="238"/>
      <c r="I3473" s="238"/>
    </row>
    <row r="3474">
      <c r="A3474" s="238"/>
      <c r="B3474" s="238"/>
      <c r="C3474" s="238"/>
      <c r="D3474" s="239"/>
      <c r="E3474" s="239"/>
      <c r="F3474" s="240"/>
      <c r="G3474" s="241"/>
      <c r="H3474" s="238"/>
      <c r="I3474" s="238"/>
    </row>
    <row r="3475">
      <c r="A3475" s="238"/>
      <c r="B3475" s="238"/>
      <c r="C3475" s="238"/>
      <c r="D3475" s="239"/>
      <c r="E3475" s="239"/>
      <c r="F3475" s="240"/>
      <c r="G3475" s="241"/>
      <c r="H3475" s="238"/>
      <c r="I3475" s="238"/>
    </row>
    <row r="3476">
      <c r="A3476" s="238"/>
      <c r="B3476" s="238"/>
      <c r="C3476" s="238"/>
      <c r="D3476" s="239"/>
      <c r="E3476" s="239"/>
      <c r="F3476" s="240"/>
      <c r="G3476" s="241"/>
      <c r="H3476" s="238"/>
      <c r="I3476" s="238"/>
    </row>
    <row r="3477">
      <c r="A3477" s="238"/>
      <c r="B3477" s="238"/>
      <c r="C3477" s="238"/>
      <c r="D3477" s="239"/>
      <c r="E3477" s="239"/>
      <c r="F3477" s="240"/>
      <c r="G3477" s="241"/>
      <c r="H3477" s="238"/>
      <c r="I3477" s="238"/>
    </row>
    <row r="3478">
      <c r="A3478" s="238"/>
      <c r="B3478" s="238"/>
      <c r="C3478" s="238"/>
      <c r="D3478" s="239"/>
      <c r="E3478" s="239"/>
      <c r="F3478" s="240"/>
      <c r="G3478" s="241"/>
      <c r="H3478" s="238"/>
      <c r="I3478" s="238"/>
    </row>
    <row r="3479">
      <c r="A3479" s="238"/>
      <c r="B3479" s="238"/>
      <c r="C3479" s="238"/>
      <c r="D3479" s="239"/>
      <c r="E3479" s="239"/>
      <c r="F3479" s="240"/>
      <c r="G3479" s="241"/>
      <c r="H3479" s="238"/>
      <c r="I3479" s="238"/>
    </row>
    <row r="3480">
      <c r="A3480" s="238"/>
      <c r="B3480" s="238"/>
      <c r="C3480" s="238"/>
      <c r="D3480" s="239"/>
      <c r="E3480" s="239"/>
      <c r="F3480" s="240"/>
      <c r="G3480" s="241"/>
      <c r="H3480" s="238"/>
      <c r="I3480" s="238"/>
    </row>
    <row r="3481">
      <c r="A3481" s="238"/>
      <c r="B3481" s="238"/>
      <c r="C3481" s="238"/>
      <c r="D3481" s="239"/>
      <c r="E3481" s="239"/>
      <c r="F3481" s="240"/>
      <c r="G3481" s="241"/>
      <c r="H3481" s="238"/>
      <c r="I3481" s="238"/>
    </row>
    <row r="3482">
      <c r="A3482" s="238"/>
      <c r="B3482" s="238"/>
      <c r="C3482" s="238"/>
      <c r="D3482" s="239"/>
      <c r="E3482" s="239"/>
      <c r="F3482" s="240"/>
      <c r="G3482" s="241"/>
      <c r="H3482" s="238"/>
      <c r="I3482" s="238"/>
    </row>
    <row r="3483">
      <c r="A3483" s="238"/>
      <c r="B3483" s="238"/>
      <c r="C3483" s="238"/>
      <c r="D3483" s="239"/>
      <c r="E3483" s="239"/>
      <c r="F3483" s="240"/>
      <c r="G3483" s="241"/>
      <c r="H3483" s="238"/>
      <c r="I3483" s="238"/>
    </row>
    <row r="3484">
      <c r="A3484" s="238"/>
      <c r="B3484" s="238"/>
      <c r="C3484" s="238"/>
      <c r="D3484" s="239"/>
      <c r="E3484" s="239"/>
      <c r="F3484" s="240"/>
      <c r="G3484" s="241"/>
      <c r="H3484" s="238"/>
      <c r="I3484" s="238"/>
    </row>
    <row r="3485">
      <c r="A3485" s="238"/>
      <c r="B3485" s="238"/>
      <c r="C3485" s="238"/>
      <c r="D3485" s="239"/>
      <c r="E3485" s="239"/>
      <c r="F3485" s="240"/>
      <c r="G3485" s="241"/>
      <c r="H3485" s="238"/>
      <c r="I3485" s="238"/>
    </row>
    <row r="3486">
      <c r="A3486" s="238"/>
      <c r="B3486" s="238"/>
      <c r="C3486" s="238"/>
      <c r="D3486" s="239"/>
      <c r="E3486" s="239"/>
      <c r="F3486" s="240"/>
      <c r="G3486" s="241"/>
      <c r="H3486" s="238"/>
      <c r="I3486" s="238"/>
    </row>
    <row r="3487">
      <c r="A3487" s="238"/>
      <c r="B3487" s="238"/>
      <c r="C3487" s="238"/>
      <c r="D3487" s="239"/>
      <c r="E3487" s="239"/>
      <c r="F3487" s="240"/>
      <c r="G3487" s="241"/>
      <c r="H3487" s="238"/>
      <c r="I3487" s="238"/>
    </row>
    <row r="3488">
      <c r="A3488" s="238"/>
      <c r="B3488" s="238"/>
      <c r="C3488" s="238"/>
      <c r="D3488" s="239"/>
      <c r="E3488" s="239"/>
      <c r="F3488" s="240"/>
      <c r="G3488" s="241"/>
      <c r="H3488" s="238"/>
      <c r="I3488" s="238"/>
    </row>
    <row r="3489">
      <c r="A3489" s="238"/>
      <c r="B3489" s="238"/>
      <c r="C3489" s="238"/>
      <c r="D3489" s="239"/>
      <c r="E3489" s="239"/>
      <c r="F3489" s="240"/>
      <c r="G3489" s="241"/>
      <c r="H3489" s="238"/>
      <c r="I3489" s="238"/>
    </row>
    <row r="3490">
      <c r="A3490" s="238"/>
      <c r="B3490" s="238"/>
      <c r="C3490" s="238"/>
      <c r="D3490" s="239"/>
      <c r="E3490" s="239"/>
      <c r="F3490" s="240"/>
      <c r="G3490" s="241"/>
      <c r="H3490" s="238"/>
      <c r="I3490" s="238"/>
    </row>
    <row r="3491">
      <c r="A3491" s="238"/>
      <c r="B3491" s="238"/>
      <c r="C3491" s="238"/>
      <c r="D3491" s="239"/>
      <c r="E3491" s="239"/>
      <c r="F3491" s="240"/>
      <c r="G3491" s="241"/>
      <c r="H3491" s="238"/>
      <c r="I3491" s="238"/>
    </row>
    <row r="3492">
      <c r="A3492" s="238"/>
      <c r="B3492" s="238"/>
      <c r="C3492" s="238"/>
      <c r="D3492" s="239"/>
      <c r="E3492" s="239"/>
      <c r="F3492" s="240"/>
      <c r="G3492" s="241"/>
      <c r="H3492" s="238"/>
      <c r="I3492" s="238"/>
    </row>
    <row r="3493">
      <c r="A3493" s="238"/>
      <c r="B3493" s="238"/>
      <c r="C3493" s="238"/>
      <c r="D3493" s="239"/>
      <c r="E3493" s="239"/>
      <c r="F3493" s="240"/>
      <c r="G3493" s="241"/>
      <c r="H3493" s="238"/>
      <c r="I3493" s="238"/>
    </row>
    <row r="3494">
      <c r="A3494" s="238"/>
      <c r="B3494" s="238"/>
      <c r="C3494" s="238"/>
      <c r="D3494" s="239"/>
      <c r="E3494" s="239"/>
      <c r="F3494" s="240"/>
      <c r="G3494" s="241"/>
      <c r="H3494" s="238"/>
      <c r="I3494" s="238"/>
    </row>
    <row r="3495">
      <c r="A3495" s="238"/>
      <c r="B3495" s="238"/>
      <c r="C3495" s="238"/>
      <c r="D3495" s="239"/>
      <c r="E3495" s="239"/>
      <c r="F3495" s="240"/>
      <c r="G3495" s="241"/>
      <c r="H3495" s="238"/>
      <c r="I3495" s="238"/>
    </row>
    <row r="3496">
      <c r="A3496" s="238"/>
      <c r="B3496" s="238"/>
      <c r="C3496" s="238"/>
      <c r="D3496" s="239"/>
      <c r="E3496" s="239"/>
      <c r="F3496" s="240"/>
      <c r="G3496" s="241"/>
      <c r="H3496" s="238"/>
      <c r="I3496" s="238"/>
    </row>
    <row r="3497">
      <c r="A3497" s="238"/>
      <c r="B3497" s="238"/>
      <c r="C3497" s="238"/>
      <c r="D3497" s="239"/>
      <c r="E3497" s="239"/>
      <c r="F3497" s="240"/>
      <c r="G3497" s="241"/>
      <c r="H3497" s="238"/>
      <c r="I3497" s="238"/>
    </row>
    <row r="3498">
      <c r="A3498" s="238"/>
      <c r="B3498" s="238"/>
      <c r="C3498" s="238"/>
      <c r="D3498" s="239"/>
      <c r="E3498" s="239"/>
      <c r="F3498" s="240"/>
      <c r="G3498" s="241"/>
      <c r="H3498" s="238"/>
      <c r="I3498" s="238"/>
    </row>
    <row r="3499">
      <c r="A3499" s="238"/>
      <c r="B3499" s="238"/>
      <c r="C3499" s="238"/>
      <c r="D3499" s="239"/>
      <c r="E3499" s="239"/>
      <c r="F3499" s="240"/>
      <c r="G3499" s="241"/>
      <c r="H3499" s="238"/>
      <c r="I3499" s="238"/>
    </row>
    <row r="3500">
      <c r="A3500" s="238"/>
      <c r="B3500" s="238"/>
      <c r="C3500" s="238"/>
      <c r="D3500" s="239"/>
      <c r="E3500" s="239"/>
      <c r="F3500" s="240"/>
      <c r="G3500" s="241"/>
      <c r="H3500" s="238"/>
      <c r="I3500" s="238"/>
    </row>
    <row r="3501">
      <c r="A3501" s="238"/>
      <c r="B3501" s="238"/>
      <c r="C3501" s="238"/>
      <c r="D3501" s="239"/>
      <c r="E3501" s="239"/>
      <c r="F3501" s="240"/>
      <c r="G3501" s="241"/>
      <c r="H3501" s="238"/>
      <c r="I3501" s="238"/>
    </row>
    <row r="3502">
      <c r="A3502" s="238"/>
      <c r="B3502" s="238"/>
      <c r="C3502" s="238"/>
      <c r="D3502" s="239"/>
      <c r="E3502" s="239"/>
      <c r="F3502" s="240"/>
      <c r="G3502" s="241"/>
      <c r="H3502" s="238"/>
      <c r="I3502" s="238"/>
    </row>
    <row r="3503">
      <c r="A3503" s="238"/>
      <c r="B3503" s="238"/>
      <c r="C3503" s="238"/>
      <c r="D3503" s="239"/>
      <c r="E3503" s="239"/>
      <c r="F3503" s="240"/>
      <c r="G3503" s="241"/>
      <c r="H3503" s="238"/>
      <c r="I3503" s="238"/>
    </row>
    <row r="3504">
      <c r="A3504" s="238"/>
      <c r="B3504" s="238"/>
      <c r="C3504" s="238"/>
      <c r="D3504" s="239"/>
      <c r="E3504" s="239"/>
      <c r="F3504" s="240"/>
      <c r="G3504" s="241"/>
      <c r="H3504" s="238"/>
      <c r="I3504" s="238"/>
    </row>
    <row r="3505">
      <c r="A3505" s="238"/>
      <c r="B3505" s="238"/>
      <c r="C3505" s="238"/>
      <c r="D3505" s="239"/>
      <c r="E3505" s="239"/>
      <c r="F3505" s="240"/>
      <c r="G3505" s="241"/>
      <c r="H3505" s="238"/>
      <c r="I3505" s="238"/>
    </row>
    <row r="3506">
      <c r="A3506" s="238"/>
      <c r="B3506" s="238"/>
      <c r="C3506" s="238"/>
      <c r="D3506" s="239"/>
      <c r="E3506" s="239"/>
      <c r="F3506" s="240"/>
      <c r="G3506" s="241"/>
      <c r="H3506" s="238"/>
      <c r="I3506" s="238"/>
    </row>
    <row r="3507">
      <c r="A3507" s="238"/>
      <c r="B3507" s="238"/>
      <c r="C3507" s="238"/>
      <c r="D3507" s="239"/>
      <c r="E3507" s="239"/>
      <c r="F3507" s="240"/>
      <c r="G3507" s="241"/>
      <c r="H3507" s="238"/>
      <c r="I3507" s="238"/>
    </row>
    <row r="3508">
      <c r="A3508" s="238"/>
      <c r="B3508" s="238"/>
      <c r="C3508" s="238"/>
      <c r="D3508" s="239"/>
      <c r="E3508" s="239"/>
      <c r="F3508" s="240"/>
      <c r="G3508" s="241"/>
      <c r="H3508" s="238"/>
      <c r="I3508" s="238"/>
    </row>
    <row r="3509">
      <c r="A3509" s="238"/>
      <c r="B3509" s="238"/>
      <c r="C3509" s="238"/>
      <c r="D3509" s="239"/>
      <c r="E3509" s="239"/>
      <c r="F3509" s="240"/>
      <c r="G3509" s="241"/>
      <c r="H3509" s="238"/>
      <c r="I3509" s="238"/>
    </row>
    <row r="3510">
      <c r="A3510" s="238"/>
      <c r="B3510" s="238"/>
      <c r="C3510" s="238"/>
      <c r="D3510" s="239"/>
      <c r="E3510" s="239"/>
      <c r="F3510" s="240"/>
      <c r="G3510" s="241"/>
      <c r="H3510" s="238"/>
      <c r="I3510" s="238"/>
    </row>
    <row r="3511">
      <c r="A3511" s="238"/>
      <c r="B3511" s="238"/>
      <c r="C3511" s="238"/>
      <c r="D3511" s="239"/>
      <c r="E3511" s="239"/>
      <c r="F3511" s="240"/>
      <c r="G3511" s="241"/>
      <c r="H3511" s="238"/>
      <c r="I3511" s="238"/>
    </row>
    <row r="3512">
      <c r="A3512" s="238"/>
      <c r="B3512" s="238"/>
      <c r="C3512" s="238"/>
      <c r="D3512" s="239"/>
      <c r="E3512" s="239"/>
      <c r="F3512" s="240"/>
      <c r="G3512" s="241"/>
      <c r="H3512" s="238"/>
      <c r="I3512" s="238"/>
    </row>
    <row r="3513">
      <c r="A3513" s="238"/>
      <c r="B3513" s="238"/>
      <c r="C3513" s="238"/>
      <c r="D3513" s="239"/>
      <c r="E3513" s="239"/>
      <c r="F3513" s="240"/>
      <c r="G3513" s="241"/>
      <c r="H3513" s="238"/>
      <c r="I3513" s="238"/>
    </row>
    <row r="3514">
      <c r="A3514" s="238"/>
      <c r="B3514" s="238"/>
      <c r="C3514" s="238"/>
      <c r="D3514" s="239"/>
      <c r="E3514" s="239"/>
      <c r="F3514" s="240"/>
      <c r="G3514" s="241"/>
      <c r="H3514" s="238"/>
      <c r="I3514" s="238"/>
    </row>
    <row r="3515">
      <c r="A3515" s="238"/>
      <c r="B3515" s="238"/>
      <c r="C3515" s="238"/>
      <c r="D3515" s="239"/>
      <c r="E3515" s="239"/>
      <c r="F3515" s="240"/>
      <c r="G3515" s="241"/>
      <c r="H3515" s="238"/>
      <c r="I3515" s="238"/>
    </row>
    <row r="3516">
      <c r="A3516" s="238"/>
      <c r="B3516" s="238"/>
      <c r="C3516" s="238"/>
      <c r="D3516" s="239"/>
      <c r="E3516" s="239"/>
      <c r="F3516" s="240"/>
      <c r="G3516" s="241"/>
      <c r="H3516" s="238"/>
      <c r="I3516" s="238"/>
    </row>
    <row r="3517">
      <c r="A3517" s="238"/>
      <c r="B3517" s="238"/>
      <c r="C3517" s="238"/>
      <c r="D3517" s="239"/>
      <c r="E3517" s="239"/>
      <c r="F3517" s="240"/>
      <c r="G3517" s="241"/>
      <c r="H3517" s="238"/>
      <c r="I3517" s="238"/>
    </row>
    <row r="3518">
      <c r="A3518" s="238"/>
      <c r="B3518" s="238"/>
      <c r="C3518" s="238"/>
      <c r="D3518" s="239"/>
      <c r="E3518" s="239"/>
      <c r="F3518" s="240"/>
      <c r="G3518" s="241"/>
      <c r="H3518" s="238"/>
      <c r="I3518" s="238"/>
    </row>
    <row r="3519">
      <c r="A3519" s="238"/>
      <c r="B3519" s="238"/>
      <c r="C3519" s="238"/>
      <c r="D3519" s="239"/>
      <c r="E3519" s="239"/>
      <c r="F3519" s="240"/>
      <c r="G3519" s="241"/>
      <c r="H3519" s="238"/>
      <c r="I3519" s="238"/>
    </row>
    <row r="3520">
      <c r="A3520" s="238"/>
      <c r="B3520" s="238"/>
      <c r="C3520" s="238"/>
      <c r="D3520" s="239"/>
      <c r="E3520" s="239"/>
      <c r="F3520" s="240"/>
      <c r="G3520" s="241"/>
      <c r="H3520" s="238"/>
      <c r="I3520" s="238"/>
    </row>
    <row r="3521">
      <c r="A3521" s="238"/>
      <c r="B3521" s="238"/>
      <c r="C3521" s="238"/>
      <c r="D3521" s="239"/>
      <c r="E3521" s="239"/>
      <c r="F3521" s="240"/>
      <c r="G3521" s="241"/>
      <c r="H3521" s="238"/>
      <c r="I3521" s="238"/>
    </row>
    <row r="3522">
      <c r="A3522" s="238"/>
      <c r="B3522" s="238"/>
      <c r="C3522" s="238"/>
      <c r="D3522" s="239"/>
      <c r="E3522" s="239"/>
      <c r="F3522" s="240"/>
      <c r="G3522" s="241"/>
      <c r="H3522" s="238"/>
      <c r="I3522" s="238"/>
    </row>
    <row r="3523">
      <c r="A3523" s="238"/>
      <c r="B3523" s="238"/>
      <c r="C3523" s="238"/>
      <c r="D3523" s="239"/>
      <c r="E3523" s="239"/>
      <c r="F3523" s="240"/>
      <c r="G3523" s="241"/>
      <c r="H3523" s="238"/>
      <c r="I3523" s="238"/>
    </row>
    <row r="3524">
      <c r="A3524" s="238"/>
      <c r="B3524" s="238"/>
      <c r="C3524" s="238"/>
      <c r="D3524" s="239"/>
      <c r="E3524" s="239"/>
      <c r="F3524" s="240"/>
      <c r="G3524" s="241"/>
      <c r="H3524" s="238"/>
      <c r="I3524" s="238"/>
    </row>
    <row r="3525">
      <c r="A3525" s="238"/>
      <c r="B3525" s="238"/>
      <c r="C3525" s="238"/>
      <c r="D3525" s="239"/>
      <c r="E3525" s="239"/>
      <c r="F3525" s="240"/>
      <c r="G3525" s="241"/>
      <c r="H3525" s="238"/>
      <c r="I3525" s="238"/>
    </row>
    <row r="3526">
      <c r="A3526" s="238"/>
      <c r="B3526" s="238"/>
      <c r="C3526" s="238"/>
      <c r="D3526" s="239"/>
      <c r="E3526" s="239"/>
      <c r="F3526" s="240"/>
      <c r="G3526" s="241"/>
      <c r="H3526" s="238"/>
      <c r="I3526" s="238"/>
    </row>
    <row r="3527">
      <c r="A3527" s="238"/>
      <c r="B3527" s="238"/>
      <c r="C3527" s="238"/>
      <c r="D3527" s="239"/>
      <c r="E3527" s="239"/>
      <c r="F3527" s="240"/>
      <c r="G3527" s="241"/>
      <c r="H3527" s="238"/>
      <c r="I3527" s="238"/>
    </row>
    <row r="3528">
      <c r="A3528" s="238"/>
      <c r="B3528" s="238"/>
      <c r="C3528" s="238"/>
      <c r="D3528" s="239"/>
      <c r="E3528" s="239"/>
      <c r="F3528" s="240"/>
      <c r="G3528" s="241"/>
      <c r="H3528" s="238"/>
      <c r="I3528" s="238"/>
    </row>
    <row r="3529">
      <c r="A3529" s="238"/>
      <c r="B3529" s="238"/>
      <c r="C3529" s="238"/>
      <c r="D3529" s="239"/>
      <c r="E3529" s="239"/>
      <c r="F3529" s="240"/>
      <c r="G3529" s="241"/>
      <c r="H3529" s="238"/>
      <c r="I3529" s="238"/>
    </row>
    <row r="3530">
      <c r="A3530" s="238"/>
      <c r="B3530" s="238"/>
      <c r="C3530" s="238"/>
      <c r="D3530" s="239"/>
      <c r="E3530" s="239"/>
      <c r="F3530" s="240"/>
      <c r="G3530" s="241"/>
      <c r="H3530" s="238"/>
      <c r="I3530" s="238"/>
    </row>
    <row r="3531">
      <c r="A3531" s="238"/>
      <c r="B3531" s="238"/>
      <c r="C3531" s="238"/>
      <c r="D3531" s="239"/>
      <c r="E3531" s="239"/>
      <c r="F3531" s="240"/>
      <c r="G3531" s="241"/>
      <c r="H3531" s="238"/>
      <c r="I3531" s="238"/>
    </row>
    <row r="3532">
      <c r="A3532" s="238"/>
      <c r="B3532" s="238"/>
      <c r="C3532" s="238"/>
      <c r="D3532" s="239"/>
      <c r="E3532" s="239"/>
      <c r="F3532" s="240"/>
      <c r="G3532" s="241"/>
      <c r="H3532" s="238"/>
      <c r="I3532" s="238"/>
    </row>
    <row r="3533">
      <c r="A3533" s="238"/>
      <c r="B3533" s="238"/>
      <c r="C3533" s="238"/>
      <c r="D3533" s="239"/>
      <c r="E3533" s="239"/>
      <c r="F3533" s="240"/>
      <c r="G3533" s="241"/>
      <c r="H3533" s="238"/>
      <c r="I3533" s="238"/>
    </row>
    <row r="3534">
      <c r="A3534" s="238"/>
      <c r="B3534" s="238"/>
      <c r="C3534" s="238"/>
      <c r="D3534" s="239"/>
      <c r="E3534" s="239"/>
      <c r="F3534" s="240"/>
      <c r="G3534" s="241"/>
      <c r="H3534" s="238"/>
      <c r="I3534" s="238"/>
    </row>
    <row r="3535">
      <c r="A3535" s="238"/>
      <c r="B3535" s="238"/>
      <c r="C3535" s="238"/>
      <c r="D3535" s="239"/>
      <c r="E3535" s="239"/>
      <c r="F3535" s="240"/>
      <c r="G3535" s="241"/>
      <c r="H3535" s="238"/>
      <c r="I3535" s="238"/>
    </row>
    <row r="3536">
      <c r="A3536" s="238"/>
      <c r="B3536" s="238"/>
      <c r="C3536" s="238"/>
      <c r="D3536" s="239"/>
      <c r="E3536" s="239"/>
      <c r="F3536" s="240"/>
      <c r="G3536" s="241"/>
      <c r="H3536" s="238"/>
      <c r="I3536" s="238"/>
    </row>
    <row r="3537">
      <c r="A3537" s="238"/>
      <c r="B3537" s="238"/>
      <c r="C3537" s="238"/>
      <c r="D3537" s="239"/>
      <c r="E3537" s="239"/>
      <c r="F3537" s="240"/>
      <c r="G3537" s="241"/>
      <c r="H3537" s="238"/>
      <c r="I3537" s="238"/>
    </row>
    <row r="3538">
      <c r="A3538" s="238"/>
      <c r="B3538" s="238"/>
      <c r="C3538" s="238"/>
      <c r="D3538" s="239"/>
      <c r="E3538" s="239"/>
      <c r="F3538" s="240"/>
      <c r="G3538" s="241"/>
      <c r="H3538" s="238"/>
      <c r="I3538" s="238"/>
    </row>
    <row r="3539">
      <c r="A3539" s="238"/>
      <c r="B3539" s="238"/>
      <c r="C3539" s="238"/>
      <c r="D3539" s="239"/>
      <c r="E3539" s="239"/>
      <c r="F3539" s="240"/>
      <c r="G3539" s="241"/>
      <c r="H3539" s="238"/>
      <c r="I3539" s="238"/>
    </row>
    <row r="3540">
      <c r="A3540" s="238"/>
      <c r="B3540" s="238"/>
      <c r="C3540" s="238"/>
      <c r="D3540" s="239"/>
      <c r="E3540" s="239"/>
      <c r="F3540" s="240"/>
      <c r="G3540" s="241"/>
      <c r="H3540" s="238"/>
      <c r="I3540" s="238"/>
    </row>
    <row r="3541">
      <c r="A3541" s="238"/>
      <c r="B3541" s="238"/>
      <c r="C3541" s="238"/>
      <c r="D3541" s="239"/>
      <c r="E3541" s="239"/>
      <c r="F3541" s="240"/>
      <c r="G3541" s="241"/>
      <c r="H3541" s="238"/>
      <c r="I3541" s="238"/>
    </row>
    <row r="3542">
      <c r="A3542" s="238"/>
      <c r="B3542" s="238"/>
      <c r="C3542" s="238"/>
      <c r="D3542" s="239"/>
      <c r="E3542" s="239"/>
      <c r="F3542" s="240"/>
      <c r="G3542" s="241"/>
      <c r="H3542" s="238"/>
      <c r="I3542" s="238"/>
    </row>
    <row r="3543">
      <c r="A3543" s="238"/>
      <c r="B3543" s="238"/>
      <c r="C3543" s="238"/>
      <c r="D3543" s="239"/>
      <c r="E3543" s="239"/>
      <c r="F3543" s="240"/>
      <c r="G3543" s="241"/>
      <c r="H3543" s="238"/>
      <c r="I3543" s="238"/>
    </row>
    <row r="3544">
      <c r="A3544" s="238"/>
      <c r="B3544" s="238"/>
      <c r="C3544" s="238"/>
      <c r="D3544" s="239"/>
      <c r="E3544" s="239"/>
      <c r="F3544" s="240"/>
      <c r="G3544" s="241"/>
      <c r="H3544" s="238"/>
      <c r="I3544" s="238"/>
    </row>
    <row r="3545">
      <c r="A3545" s="238"/>
      <c r="B3545" s="238"/>
      <c r="C3545" s="238"/>
      <c r="D3545" s="239"/>
      <c r="E3545" s="239"/>
      <c r="F3545" s="240"/>
      <c r="G3545" s="241"/>
      <c r="H3545" s="238"/>
      <c r="I3545" s="238"/>
    </row>
    <row r="3546">
      <c r="A3546" s="238"/>
      <c r="B3546" s="238"/>
      <c r="C3546" s="238"/>
      <c r="D3546" s="239"/>
      <c r="E3546" s="239"/>
      <c r="F3546" s="240"/>
      <c r="G3546" s="241"/>
      <c r="H3546" s="238"/>
      <c r="I3546" s="238"/>
    </row>
    <row r="3547">
      <c r="A3547" s="238"/>
      <c r="B3547" s="238"/>
      <c r="C3547" s="238"/>
      <c r="D3547" s="239"/>
      <c r="E3547" s="239"/>
      <c r="F3547" s="240"/>
      <c r="G3547" s="241"/>
      <c r="H3547" s="238"/>
      <c r="I3547" s="238"/>
    </row>
    <row r="3548">
      <c r="A3548" s="238"/>
      <c r="B3548" s="238"/>
      <c r="C3548" s="238"/>
      <c r="D3548" s="239"/>
      <c r="E3548" s="239"/>
      <c r="F3548" s="240"/>
      <c r="G3548" s="241"/>
      <c r="H3548" s="238"/>
      <c r="I3548" s="238"/>
    </row>
    <row r="3549">
      <c r="A3549" s="238"/>
      <c r="B3549" s="238"/>
      <c r="C3549" s="238"/>
      <c r="D3549" s="239"/>
      <c r="E3549" s="239"/>
      <c r="F3549" s="240"/>
      <c r="G3549" s="241"/>
      <c r="H3549" s="238"/>
      <c r="I3549" s="238"/>
    </row>
    <row r="3550">
      <c r="A3550" s="238"/>
      <c r="B3550" s="238"/>
      <c r="C3550" s="238"/>
      <c r="D3550" s="239"/>
      <c r="E3550" s="239"/>
      <c r="F3550" s="240"/>
      <c r="G3550" s="241"/>
      <c r="H3550" s="238"/>
      <c r="I3550" s="238"/>
    </row>
    <row r="3551">
      <c r="A3551" s="238"/>
      <c r="B3551" s="238"/>
      <c r="C3551" s="238"/>
      <c r="D3551" s="239"/>
      <c r="E3551" s="239"/>
      <c r="F3551" s="240"/>
      <c r="G3551" s="241"/>
      <c r="H3551" s="238"/>
      <c r="I3551" s="238"/>
    </row>
    <row r="3552">
      <c r="A3552" s="238"/>
      <c r="B3552" s="238"/>
      <c r="C3552" s="238"/>
      <c r="D3552" s="239"/>
      <c r="E3552" s="239"/>
      <c r="F3552" s="240"/>
      <c r="G3552" s="241"/>
      <c r="H3552" s="238"/>
      <c r="I3552" s="238"/>
    </row>
    <row r="3553">
      <c r="A3553" s="238"/>
      <c r="B3553" s="238"/>
      <c r="C3553" s="238"/>
      <c r="D3553" s="239"/>
      <c r="E3553" s="239"/>
      <c r="F3553" s="240"/>
      <c r="G3553" s="241"/>
      <c r="H3553" s="238"/>
      <c r="I3553" s="238"/>
    </row>
    <row r="3554">
      <c r="A3554" s="238"/>
      <c r="B3554" s="238"/>
      <c r="C3554" s="238"/>
      <c r="D3554" s="239"/>
      <c r="E3554" s="239"/>
      <c r="F3554" s="240"/>
      <c r="G3554" s="241"/>
      <c r="H3554" s="238"/>
      <c r="I3554" s="238"/>
    </row>
    <row r="3555">
      <c r="A3555" s="238"/>
      <c r="B3555" s="238"/>
      <c r="C3555" s="238"/>
      <c r="D3555" s="239"/>
      <c r="E3555" s="239"/>
      <c r="F3555" s="240"/>
      <c r="G3555" s="241"/>
      <c r="H3555" s="238"/>
      <c r="I3555" s="238"/>
    </row>
    <row r="3556">
      <c r="A3556" s="238"/>
      <c r="B3556" s="238"/>
      <c r="C3556" s="238"/>
      <c r="D3556" s="239"/>
      <c r="E3556" s="239"/>
      <c r="F3556" s="240"/>
      <c r="G3556" s="241"/>
      <c r="H3556" s="238"/>
      <c r="I3556" s="238"/>
    </row>
    <row r="3557">
      <c r="A3557" s="238"/>
      <c r="B3557" s="238"/>
      <c r="C3557" s="238"/>
      <c r="D3557" s="239"/>
      <c r="E3557" s="239"/>
      <c r="F3557" s="240"/>
      <c r="G3557" s="241"/>
      <c r="H3557" s="238"/>
      <c r="I3557" s="238"/>
    </row>
    <row r="3558">
      <c r="A3558" s="238"/>
      <c r="B3558" s="238"/>
      <c r="C3558" s="238"/>
      <c r="D3558" s="239"/>
      <c r="E3558" s="239"/>
      <c r="F3558" s="240"/>
      <c r="G3558" s="241"/>
      <c r="H3558" s="238"/>
      <c r="I3558" s="238"/>
    </row>
    <row r="3559">
      <c r="A3559" s="238"/>
      <c r="B3559" s="238"/>
      <c r="C3559" s="238"/>
      <c r="D3559" s="239"/>
      <c r="E3559" s="239"/>
      <c r="F3559" s="240"/>
      <c r="G3559" s="241"/>
      <c r="H3559" s="238"/>
      <c r="I3559" s="238"/>
    </row>
    <row r="3560">
      <c r="A3560" s="238"/>
      <c r="B3560" s="238"/>
      <c r="C3560" s="238"/>
      <c r="D3560" s="239"/>
      <c r="E3560" s="239"/>
      <c r="F3560" s="240"/>
      <c r="G3560" s="241"/>
      <c r="H3560" s="238"/>
      <c r="I3560" s="238"/>
    </row>
    <row r="3561">
      <c r="A3561" s="238"/>
      <c r="B3561" s="238"/>
      <c r="C3561" s="238"/>
      <c r="D3561" s="239"/>
      <c r="E3561" s="239"/>
      <c r="F3561" s="240"/>
      <c r="G3561" s="241"/>
      <c r="H3561" s="238"/>
      <c r="I3561" s="238"/>
    </row>
    <row r="3562">
      <c r="A3562" s="238"/>
      <c r="B3562" s="238"/>
      <c r="C3562" s="238"/>
      <c r="D3562" s="239"/>
      <c r="E3562" s="239"/>
      <c r="F3562" s="240"/>
      <c r="G3562" s="241"/>
      <c r="H3562" s="238"/>
      <c r="I3562" s="238"/>
    </row>
    <row r="3563">
      <c r="A3563" s="238"/>
      <c r="B3563" s="238"/>
      <c r="C3563" s="238"/>
      <c r="D3563" s="239"/>
      <c r="E3563" s="239"/>
      <c r="F3563" s="240"/>
      <c r="G3563" s="241"/>
      <c r="H3563" s="238"/>
      <c r="I3563" s="238"/>
    </row>
    <row r="3564">
      <c r="A3564" s="238"/>
      <c r="B3564" s="238"/>
      <c r="C3564" s="238"/>
      <c r="D3564" s="239"/>
      <c r="E3564" s="239"/>
      <c r="F3564" s="240"/>
      <c r="G3564" s="241"/>
      <c r="H3564" s="238"/>
      <c r="I3564" s="238"/>
    </row>
    <row r="3565">
      <c r="A3565" s="238"/>
      <c r="B3565" s="238"/>
      <c r="C3565" s="238"/>
      <c r="D3565" s="239"/>
      <c r="E3565" s="239"/>
      <c r="F3565" s="240"/>
      <c r="G3565" s="241"/>
      <c r="H3565" s="238"/>
      <c r="I3565" s="238"/>
    </row>
    <row r="3566">
      <c r="A3566" s="238"/>
      <c r="B3566" s="238"/>
      <c r="C3566" s="238"/>
      <c r="D3566" s="239"/>
      <c r="E3566" s="239"/>
      <c r="F3566" s="240"/>
      <c r="G3566" s="241"/>
      <c r="H3566" s="238"/>
      <c r="I3566" s="238"/>
    </row>
    <row r="3567">
      <c r="A3567" s="238"/>
      <c r="B3567" s="238"/>
      <c r="C3567" s="238"/>
      <c r="D3567" s="239"/>
      <c r="E3567" s="239"/>
      <c r="F3567" s="240"/>
      <c r="G3567" s="241"/>
      <c r="H3567" s="238"/>
      <c r="I3567" s="238"/>
    </row>
    <row r="3568">
      <c r="A3568" s="238"/>
      <c r="B3568" s="238"/>
      <c r="C3568" s="238"/>
      <c r="D3568" s="239"/>
      <c r="E3568" s="239"/>
      <c r="F3568" s="240"/>
      <c r="G3568" s="241"/>
      <c r="H3568" s="238"/>
      <c r="I3568" s="238"/>
    </row>
    <row r="3569">
      <c r="A3569" s="238"/>
      <c r="B3569" s="238"/>
      <c r="C3569" s="238"/>
      <c r="D3569" s="239"/>
      <c r="E3569" s="239"/>
      <c r="F3569" s="240"/>
      <c r="G3569" s="241"/>
      <c r="H3569" s="238"/>
      <c r="I3569" s="238"/>
    </row>
    <row r="3570">
      <c r="A3570" s="238"/>
      <c r="B3570" s="238"/>
      <c r="C3570" s="238"/>
      <c r="D3570" s="239"/>
      <c r="E3570" s="239"/>
      <c r="F3570" s="240"/>
      <c r="G3570" s="241"/>
      <c r="H3570" s="238"/>
      <c r="I3570" s="238"/>
    </row>
    <row r="3571">
      <c r="A3571" s="238"/>
      <c r="B3571" s="238"/>
      <c r="C3571" s="238"/>
      <c r="D3571" s="239"/>
      <c r="E3571" s="239"/>
      <c r="F3571" s="240"/>
      <c r="G3571" s="241"/>
      <c r="H3571" s="238"/>
      <c r="I3571" s="238"/>
    </row>
    <row r="3572">
      <c r="A3572" s="238"/>
      <c r="B3572" s="238"/>
      <c r="C3572" s="238"/>
      <c r="D3572" s="239"/>
      <c r="E3572" s="239"/>
      <c r="F3572" s="240"/>
      <c r="G3572" s="241"/>
      <c r="H3572" s="238"/>
      <c r="I3572" s="238"/>
    </row>
    <row r="3573">
      <c r="A3573" s="238"/>
      <c r="B3573" s="238"/>
      <c r="C3573" s="238"/>
      <c r="D3573" s="239"/>
      <c r="E3573" s="239"/>
      <c r="F3573" s="240"/>
      <c r="G3573" s="241"/>
      <c r="H3573" s="238"/>
      <c r="I3573" s="238"/>
    </row>
    <row r="3574">
      <c r="A3574" s="238"/>
      <c r="B3574" s="238"/>
      <c r="C3574" s="238"/>
      <c r="D3574" s="239"/>
      <c r="E3574" s="239"/>
      <c r="F3574" s="240"/>
      <c r="G3574" s="241"/>
      <c r="H3574" s="238"/>
      <c r="I3574" s="238"/>
    </row>
    <row r="3575">
      <c r="A3575" s="238"/>
      <c r="B3575" s="238"/>
      <c r="C3575" s="238"/>
      <c r="D3575" s="239"/>
      <c r="E3575" s="239"/>
      <c r="F3575" s="240"/>
      <c r="G3575" s="241"/>
      <c r="H3575" s="238"/>
      <c r="I3575" s="238"/>
    </row>
    <row r="3576">
      <c r="A3576" s="238"/>
      <c r="B3576" s="238"/>
      <c r="C3576" s="238"/>
      <c r="D3576" s="239"/>
      <c r="E3576" s="239"/>
      <c r="F3576" s="240"/>
      <c r="G3576" s="241"/>
      <c r="H3576" s="238"/>
      <c r="I3576" s="238"/>
    </row>
    <row r="3577">
      <c r="A3577" s="238"/>
      <c r="B3577" s="238"/>
      <c r="C3577" s="238"/>
      <c r="D3577" s="239"/>
      <c r="E3577" s="239"/>
      <c r="F3577" s="240"/>
      <c r="G3577" s="241"/>
      <c r="H3577" s="238"/>
      <c r="I3577" s="238"/>
    </row>
    <row r="3578">
      <c r="A3578" s="238"/>
      <c r="B3578" s="238"/>
      <c r="C3578" s="238"/>
      <c r="D3578" s="239"/>
      <c r="E3578" s="239"/>
      <c r="F3578" s="240"/>
      <c r="G3578" s="241"/>
      <c r="H3578" s="238"/>
      <c r="I3578" s="238"/>
    </row>
    <row r="3579">
      <c r="A3579" s="238"/>
      <c r="B3579" s="238"/>
      <c r="C3579" s="238"/>
      <c r="D3579" s="239"/>
      <c r="E3579" s="239"/>
      <c r="F3579" s="240"/>
      <c r="G3579" s="241"/>
      <c r="H3579" s="238"/>
      <c r="I3579" s="238"/>
    </row>
    <row r="3580">
      <c r="A3580" s="238"/>
      <c r="B3580" s="238"/>
      <c r="C3580" s="238"/>
      <c r="D3580" s="239"/>
      <c r="E3580" s="239"/>
      <c r="F3580" s="240"/>
      <c r="G3580" s="241"/>
      <c r="H3580" s="238"/>
      <c r="I3580" s="238"/>
    </row>
    <row r="3581">
      <c r="A3581" s="238"/>
      <c r="B3581" s="238"/>
      <c r="C3581" s="238"/>
      <c r="D3581" s="239"/>
      <c r="E3581" s="239"/>
      <c r="F3581" s="240"/>
      <c r="G3581" s="241"/>
      <c r="H3581" s="238"/>
      <c r="I3581" s="238"/>
    </row>
    <row r="3582">
      <c r="A3582" s="238"/>
      <c r="B3582" s="238"/>
      <c r="C3582" s="238"/>
      <c r="D3582" s="239"/>
      <c r="E3582" s="239"/>
      <c r="F3582" s="240"/>
      <c r="G3582" s="241"/>
      <c r="H3582" s="238"/>
      <c r="I3582" s="238"/>
    </row>
    <row r="3583">
      <c r="A3583" s="238"/>
      <c r="B3583" s="238"/>
      <c r="C3583" s="238"/>
      <c r="D3583" s="239"/>
      <c r="E3583" s="239"/>
      <c r="F3583" s="240"/>
      <c r="G3583" s="241"/>
      <c r="H3583" s="238"/>
      <c r="I3583" s="238"/>
    </row>
    <row r="3584">
      <c r="A3584" s="238"/>
      <c r="B3584" s="238"/>
      <c r="C3584" s="238"/>
      <c r="D3584" s="239"/>
      <c r="E3584" s="239"/>
      <c r="F3584" s="240"/>
      <c r="G3584" s="241"/>
      <c r="H3584" s="238"/>
      <c r="I3584" s="238"/>
    </row>
    <row r="3585">
      <c r="A3585" s="238"/>
      <c r="B3585" s="238"/>
      <c r="C3585" s="238"/>
      <c r="D3585" s="239"/>
      <c r="E3585" s="239"/>
      <c r="F3585" s="240"/>
      <c r="G3585" s="241"/>
      <c r="H3585" s="238"/>
      <c r="I3585" s="238"/>
    </row>
    <row r="3586">
      <c r="A3586" s="238"/>
      <c r="B3586" s="238"/>
      <c r="C3586" s="238"/>
      <c r="D3586" s="239"/>
      <c r="E3586" s="239"/>
      <c r="F3586" s="240"/>
      <c r="G3586" s="241"/>
      <c r="H3586" s="238"/>
      <c r="I3586" s="238"/>
    </row>
    <row r="3587">
      <c r="A3587" s="238"/>
      <c r="B3587" s="238"/>
      <c r="C3587" s="238"/>
      <c r="D3587" s="239"/>
      <c r="E3587" s="239"/>
      <c r="F3587" s="240"/>
      <c r="G3587" s="241"/>
      <c r="H3587" s="238"/>
      <c r="I3587" s="238"/>
    </row>
    <row r="3588">
      <c r="A3588" s="238"/>
      <c r="B3588" s="238"/>
      <c r="C3588" s="238"/>
      <c r="D3588" s="239"/>
      <c r="E3588" s="239"/>
      <c r="F3588" s="240"/>
      <c r="G3588" s="241"/>
      <c r="H3588" s="238"/>
      <c r="I3588" s="238"/>
    </row>
    <row r="3589">
      <c r="A3589" s="238"/>
      <c r="B3589" s="238"/>
      <c r="C3589" s="238"/>
      <c r="D3589" s="239"/>
      <c r="E3589" s="239"/>
      <c r="F3589" s="240"/>
      <c r="G3589" s="241"/>
      <c r="H3589" s="238"/>
      <c r="I3589" s="238"/>
    </row>
    <row r="3590">
      <c r="A3590" s="238"/>
      <c r="B3590" s="238"/>
      <c r="C3590" s="238"/>
      <c r="D3590" s="239"/>
      <c r="E3590" s="239"/>
      <c r="F3590" s="240"/>
      <c r="G3590" s="241"/>
      <c r="H3590" s="238"/>
      <c r="I3590" s="238"/>
    </row>
    <row r="3591">
      <c r="A3591" s="238"/>
      <c r="B3591" s="238"/>
      <c r="C3591" s="238"/>
      <c r="D3591" s="239"/>
      <c r="E3591" s="239"/>
      <c r="F3591" s="240"/>
      <c r="G3591" s="241"/>
      <c r="H3591" s="238"/>
      <c r="I3591" s="238"/>
    </row>
    <row r="3592">
      <c r="A3592" s="238"/>
      <c r="B3592" s="238"/>
      <c r="C3592" s="238"/>
      <c r="D3592" s="239"/>
      <c r="E3592" s="239"/>
      <c r="F3592" s="240"/>
      <c r="G3592" s="241"/>
      <c r="H3592" s="238"/>
      <c r="I3592" s="238"/>
    </row>
    <row r="3593">
      <c r="A3593" s="238"/>
      <c r="B3593" s="238"/>
      <c r="C3593" s="238"/>
      <c r="D3593" s="239"/>
      <c r="E3593" s="239"/>
      <c r="F3593" s="240"/>
      <c r="G3593" s="241"/>
      <c r="H3593" s="238"/>
      <c r="I3593" s="238"/>
    </row>
    <row r="3594">
      <c r="A3594" s="238"/>
      <c r="B3594" s="238"/>
      <c r="C3594" s="238"/>
      <c r="D3594" s="239"/>
      <c r="E3594" s="239"/>
      <c r="F3594" s="240"/>
      <c r="G3594" s="241"/>
      <c r="H3594" s="238"/>
      <c r="I3594" s="238"/>
    </row>
    <row r="3595">
      <c r="A3595" s="238"/>
      <c r="B3595" s="238"/>
      <c r="C3595" s="238"/>
      <c r="D3595" s="239"/>
      <c r="E3595" s="239"/>
      <c r="F3595" s="240"/>
      <c r="G3595" s="241"/>
      <c r="H3595" s="238"/>
      <c r="I3595" s="238"/>
    </row>
    <row r="3596">
      <c r="A3596" s="238"/>
      <c r="B3596" s="238"/>
      <c r="C3596" s="238"/>
      <c r="D3596" s="239"/>
      <c r="E3596" s="239"/>
      <c r="F3596" s="240"/>
      <c r="G3596" s="241"/>
      <c r="H3596" s="238"/>
      <c r="I3596" s="238"/>
    </row>
    <row r="3597">
      <c r="A3597" s="238"/>
      <c r="B3597" s="238"/>
      <c r="C3597" s="238"/>
      <c r="D3597" s="239"/>
      <c r="E3597" s="239"/>
      <c r="F3597" s="240"/>
      <c r="G3597" s="241"/>
      <c r="H3597" s="238"/>
      <c r="I3597" s="238"/>
    </row>
    <row r="3598">
      <c r="A3598" s="238"/>
      <c r="B3598" s="238"/>
      <c r="C3598" s="238"/>
      <c r="D3598" s="239"/>
      <c r="E3598" s="239"/>
      <c r="F3598" s="240"/>
      <c r="G3598" s="241"/>
      <c r="H3598" s="238"/>
      <c r="I3598" s="238"/>
    </row>
    <row r="3599">
      <c r="A3599" s="238"/>
      <c r="B3599" s="238"/>
      <c r="C3599" s="238"/>
      <c r="D3599" s="239"/>
      <c r="E3599" s="239"/>
      <c r="F3599" s="240"/>
      <c r="G3599" s="241"/>
      <c r="H3599" s="238"/>
      <c r="I3599" s="238"/>
    </row>
    <row r="3600">
      <c r="A3600" s="238"/>
      <c r="B3600" s="238"/>
      <c r="C3600" s="238"/>
      <c r="D3600" s="239"/>
      <c r="E3600" s="239"/>
      <c r="F3600" s="240"/>
      <c r="G3600" s="241"/>
      <c r="H3600" s="238"/>
      <c r="I3600" s="238"/>
    </row>
    <row r="3601">
      <c r="A3601" s="238"/>
      <c r="B3601" s="238"/>
      <c r="C3601" s="238"/>
      <c r="D3601" s="239"/>
      <c r="E3601" s="239"/>
      <c r="F3601" s="240"/>
      <c r="G3601" s="241"/>
      <c r="H3601" s="238"/>
      <c r="I3601" s="238"/>
    </row>
    <row r="3602">
      <c r="A3602" s="238"/>
      <c r="B3602" s="238"/>
      <c r="C3602" s="238"/>
      <c r="D3602" s="239"/>
      <c r="E3602" s="239"/>
      <c r="F3602" s="240"/>
      <c r="G3602" s="241"/>
      <c r="H3602" s="238"/>
      <c r="I3602" s="238"/>
    </row>
    <row r="3603">
      <c r="A3603" s="238"/>
      <c r="B3603" s="238"/>
      <c r="C3603" s="238"/>
      <c r="D3603" s="239"/>
      <c r="E3603" s="239"/>
      <c r="F3603" s="240"/>
      <c r="G3603" s="241"/>
      <c r="H3603" s="238"/>
      <c r="I3603" s="238"/>
    </row>
    <row r="3604">
      <c r="A3604" s="238"/>
      <c r="B3604" s="238"/>
      <c r="C3604" s="238"/>
      <c r="D3604" s="239"/>
      <c r="E3604" s="239"/>
      <c r="F3604" s="240"/>
      <c r="G3604" s="241"/>
      <c r="H3604" s="238"/>
      <c r="I3604" s="238"/>
    </row>
    <row r="3605">
      <c r="A3605" s="238"/>
      <c r="B3605" s="238"/>
      <c r="C3605" s="238"/>
      <c r="D3605" s="239"/>
      <c r="E3605" s="239"/>
      <c r="F3605" s="240"/>
      <c r="G3605" s="241"/>
      <c r="H3605" s="238"/>
      <c r="I3605" s="238"/>
    </row>
    <row r="3606">
      <c r="A3606" s="238"/>
      <c r="B3606" s="238"/>
      <c r="C3606" s="238"/>
      <c r="D3606" s="239"/>
      <c r="E3606" s="239"/>
      <c r="F3606" s="240"/>
      <c r="G3606" s="241"/>
      <c r="H3606" s="238"/>
      <c r="I3606" s="238"/>
    </row>
    <row r="3607">
      <c r="A3607" s="238"/>
      <c r="B3607" s="238"/>
      <c r="C3607" s="238"/>
      <c r="D3607" s="239"/>
      <c r="E3607" s="239"/>
      <c r="F3607" s="240"/>
      <c r="G3607" s="241"/>
      <c r="H3607" s="238"/>
      <c r="I3607" s="238"/>
    </row>
    <row r="3608">
      <c r="A3608" s="238"/>
      <c r="B3608" s="238"/>
      <c r="C3608" s="238"/>
      <c r="D3608" s="239"/>
      <c r="E3608" s="239"/>
      <c r="F3608" s="240"/>
      <c r="G3608" s="241"/>
      <c r="H3608" s="238"/>
      <c r="I3608" s="238"/>
    </row>
    <row r="3609">
      <c r="A3609" s="238"/>
      <c r="B3609" s="238"/>
      <c r="C3609" s="238"/>
      <c r="D3609" s="239"/>
      <c r="E3609" s="239"/>
      <c r="F3609" s="240"/>
      <c r="G3609" s="241"/>
      <c r="H3609" s="238"/>
      <c r="I3609" s="238"/>
    </row>
    <row r="3610">
      <c r="A3610" s="238"/>
      <c r="B3610" s="238"/>
      <c r="C3610" s="238"/>
      <c r="D3610" s="239"/>
      <c r="E3610" s="239"/>
      <c r="F3610" s="240"/>
      <c r="G3610" s="241"/>
      <c r="H3610" s="238"/>
      <c r="I3610" s="238"/>
    </row>
    <row r="3611">
      <c r="A3611" s="238"/>
      <c r="B3611" s="238"/>
      <c r="C3611" s="238"/>
      <c r="D3611" s="239"/>
      <c r="E3611" s="239"/>
      <c r="F3611" s="240"/>
      <c r="G3611" s="241"/>
      <c r="H3611" s="238"/>
      <c r="I3611" s="238"/>
    </row>
    <row r="3612">
      <c r="A3612" s="238"/>
      <c r="B3612" s="238"/>
      <c r="C3612" s="238"/>
      <c r="D3612" s="239"/>
      <c r="E3612" s="239"/>
      <c r="F3612" s="240"/>
      <c r="G3612" s="241"/>
      <c r="H3612" s="238"/>
      <c r="I3612" s="238"/>
    </row>
    <row r="3613">
      <c r="A3613" s="238"/>
      <c r="B3613" s="238"/>
      <c r="C3613" s="238"/>
      <c r="D3613" s="239"/>
      <c r="E3613" s="239"/>
      <c r="F3613" s="240"/>
      <c r="G3613" s="241"/>
      <c r="H3613" s="238"/>
      <c r="I3613" s="238"/>
    </row>
    <row r="3614">
      <c r="A3614" s="238"/>
      <c r="B3614" s="238"/>
      <c r="C3614" s="238"/>
      <c r="D3614" s="239"/>
      <c r="E3614" s="239"/>
      <c r="F3614" s="240"/>
      <c r="G3614" s="241"/>
      <c r="H3614" s="238"/>
      <c r="I3614" s="238"/>
    </row>
    <row r="3615">
      <c r="A3615" s="238"/>
      <c r="B3615" s="238"/>
      <c r="C3615" s="238"/>
      <c r="D3615" s="239"/>
      <c r="E3615" s="239"/>
      <c r="F3615" s="240"/>
      <c r="G3615" s="241"/>
      <c r="H3615" s="238"/>
      <c r="I3615" s="238"/>
    </row>
    <row r="3616">
      <c r="A3616" s="238"/>
      <c r="B3616" s="238"/>
      <c r="C3616" s="238"/>
      <c r="D3616" s="239"/>
      <c r="E3616" s="239"/>
      <c r="F3616" s="240"/>
      <c r="G3616" s="241"/>
      <c r="H3616" s="238"/>
      <c r="I3616" s="238"/>
    </row>
    <row r="3617">
      <c r="A3617" s="238"/>
      <c r="B3617" s="238"/>
      <c r="C3617" s="238"/>
      <c r="D3617" s="239"/>
      <c r="E3617" s="239"/>
      <c r="F3617" s="240"/>
      <c r="G3617" s="241"/>
      <c r="H3617" s="238"/>
      <c r="I3617" s="238"/>
    </row>
    <row r="3618">
      <c r="A3618" s="238"/>
      <c r="B3618" s="238"/>
      <c r="C3618" s="238"/>
      <c r="D3618" s="239"/>
      <c r="E3618" s="239"/>
      <c r="F3618" s="240"/>
      <c r="G3618" s="241"/>
      <c r="H3618" s="238"/>
      <c r="I3618" s="238"/>
    </row>
    <row r="3619">
      <c r="A3619" s="238"/>
      <c r="B3619" s="238"/>
      <c r="C3619" s="238"/>
      <c r="D3619" s="239"/>
      <c r="E3619" s="239"/>
      <c r="F3619" s="240"/>
      <c r="G3619" s="241"/>
      <c r="H3619" s="238"/>
      <c r="I3619" s="238"/>
    </row>
    <row r="3620">
      <c r="A3620" s="238"/>
      <c r="B3620" s="238"/>
      <c r="C3620" s="238"/>
      <c r="D3620" s="239"/>
      <c r="E3620" s="239"/>
      <c r="F3620" s="240"/>
      <c r="G3620" s="241"/>
      <c r="H3620" s="238"/>
      <c r="I3620" s="238"/>
    </row>
    <row r="3621">
      <c r="A3621" s="238"/>
      <c r="B3621" s="238"/>
      <c r="C3621" s="238"/>
      <c r="D3621" s="239"/>
      <c r="E3621" s="239"/>
      <c r="F3621" s="240"/>
      <c r="G3621" s="241"/>
      <c r="H3621" s="238"/>
      <c r="I3621" s="238"/>
    </row>
    <row r="3622">
      <c r="A3622" s="238"/>
      <c r="B3622" s="238"/>
      <c r="C3622" s="238"/>
      <c r="D3622" s="239"/>
      <c r="E3622" s="239"/>
      <c r="F3622" s="240"/>
      <c r="G3622" s="241"/>
      <c r="H3622" s="238"/>
      <c r="I3622" s="238"/>
    </row>
    <row r="3623">
      <c r="A3623" s="238"/>
      <c r="B3623" s="238"/>
      <c r="C3623" s="238"/>
      <c r="D3623" s="239"/>
      <c r="E3623" s="239"/>
      <c r="F3623" s="240"/>
      <c r="G3623" s="241"/>
      <c r="H3623" s="238"/>
      <c r="I3623" s="238"/>
    </row>
    <row r="3624">
      <c r="A3624" s="238"/>
      <c r="B3624" s="238"/>
      <c r="C3624" s="238"/>
      <c r="D3624" s="239"/>
      <c r="E3624" s="239"/>
      <c r="F3624" s="240"/>
      <c r="G3624" s="241"/>
      <c r="H3624" s="238"/>
      <c r="I3624" s="238"/>
    </row>
    <row r="3625">
      <c r="A3625" s="238"/>
      <c r="B3625" s="238"/>
      <c r="C3625" s="238"/>
      <c r="D3625" s="239"/>
      <c r="E3625" s="239"/>
      <c r="F3625" s="240"/>
      <c r="G3625" s="241"/>
      <c r="H3625" s="238"/>
      <c r="I3625" s="238"/>
    </row>
    <row r="3626">
      <c r="A3626" s="238"/>
      <c r="B3626" s="238"/>
      <c r="C3626" s="238"/>
      <c r="D3626" s="239"/>
      <c r="E3626" s="239"/>
      <c r="F3626" s="240"/>
      <c r="G3626" s="241"/>
      <c r="H3626" s="238"/>
      <c r="I3626" s="238"/>
    </row>
    <row r="3627">
      <c r="A3627" s="238"/>
      <c r="B3627" s="238"/>
      <c r="C3627" s="238"/>
      <c r="D3627" s="239"/>
      <c r="E3627" s="239"/>
      <c r="F3627" s="240"/>
      <c r="G3627" s="241"/>
      <c r="H3627" s="238"/>
      <c r="I3627" s="238"/>
    </row>
    <row r="3628">
      <c r="A3628" s="238"/>
      <c r="B3628" s="238"/>
      <c r="C3628" s="238"/>
      <c r="D3628" s="239"/>
      <c r="E3628" s="239"/>
      <c r="F3628" s="240"/>
      <c r="G3628" s="241"/>
      <c r="H3628" s="238"/>
      <c r="I3628" s="238"/>
    </row>
    <row r="3629">
      <c r="A3629" s="238"/>
      <c r="B3629" s="238"/>
      <c r="C3629" s="238"/>
      <c r="D3629" s="239"/>
      <c r="E3629" s="239"/>
      <c r="F3629" s="240"/>
      <c r="G3629" s="241"/>
      <c r="H3629" s="238"/>
      <c r="I3629" s="238"/>
    </row>
    <row r="3630">
      <c r="A3630" s="238"/>
      <c r="B3630" s="238"/>
      <c r="C3630" s="238"/>
      <c r="D3630" s="239"/>
      <c r="E3630" s="239"/>
      <c r="F3630" s="240"/>
      <c r="G3630" s="241"/>
      <c r="H3630" s="238"/>
      <c r="I3630" s="238"/>
    </row>
    <row r="3631">
      <c r="A3631" s="238"/>
      <c r="B3631" s="238"/>
      <c r="C3631" s="238"/>
      <c r="D3631" s="239"/>
      <c r="E3631" s="239"/>
      <c r="F3631" s="240"/>
      <c r="G3631" s="241"/>
      <c r="H3631" s="238"/>
      <c r="I3631" s="238"/>
    </row>
    <row r="3632">
      <c r="A3632" s="238"/>
      <c r="B3632" s="238"/>
      <c r="C3632" s="238"/>
      <c r="D3632" s="239"/>
      <c r="E3632" s="239"/>
      <c r="F3632" s="240"/>
      <c r="G3632" s="241"/>
      <c r="H3632" s="238"/>
      <c r="I3632" s="238"/>
    </row>
    <row r="3633">
      <c r="A3633" s="238"/>
      <c r="B3633" s="238"/>
      <c r="C3633" s="238"/>
      <c r="D3633" s="239"/>
      <c r="E3633" s="239"/>
      <c r="F3633" s="240"/>
      <c r="G3633" s="241"/>
      <c r="H3633" s="238"/>
      <c r="I3633" s="238"/>
    </row>
    <row r="3634">
      <c r="A3634" s="238"/>
      <c r="B3634" s="238"/>
      <c r="C3634" s="238"/>
      <c r="D3634" s="239"/>
      <c r="E3634" s="239"/>
      <c r="F3634" s="240"/>
      <c r="G3634" s="241"/>
      <c r="H3634" s="238"/>
      <c r="I3634" s="238"/>
    </row>
    <row r="3635">
      <c r="A3635" s="238"/>
      <c r="B3635" s="238"/>
      <c r="C3635" s="238"/>
      <c r="D3635" s="239"/>
      <c r="E3635" s="239"/>
      <c r="F3635" s="240"/>
      <c r="G3635" s="241"/>
      <c r="H3635" s="238"/>
      <c r="I3635" s="238"/>
    </row>
    <row r="3636">
      <c r="A3636" s="238"/>
      <c r="B3636" s="238"/>
      <c r="C3636" s="238"/>
      <c r="D3636" s="239"/>
      <c r="E3636" s="239"/>
      <c r="F3636" s="240"/>
      <c r="G3636" s="241"/>
      <c r="H3636" s="238"/>
      <c r="I3636" s="238"/>
    </row>
    <row r="3637">
      <c r="A3637" s="238"/>
      <c r="B3637" s="238"/>
      <c r="C3637" s="238"/>
      <c r="D3637" s="239"/>
      <c r="E3637" s="239"/>
      <c r="F3637" s="240"/>
      <c r="G3637" s="241"/>
      <c r="H3637" s="238"/>
      <c r="I3637" s="238"/>
    </row>
    <row r="3638">
      <c r="A3638" s="238"/>
      <c r="B3638" s="238"/>
      <c r="C3638" s="238"/>
      <c r="D3638" s="239"/>
      <c r="E3638" s="239"/>
      <c r="F3638" s="240"/>
      <c r="G3638" s="241"/>
      <c r="H3638" s="238"/>
      <c r="I3638" s="238"/>
    </row>
    <row r="3639">
      <c r="A3639" s="238"/>
      <c r="B3639" s="238"/>
      <c r="C3639" s="238"/>
      <c r="D3639" s="239"/>
      <c r="E3639" s="239"/>
      <c r="F3639" s="240"/>
      <c r="G3639" s="241"/>
      <c r="H3639" s="238"/>
      <c r="I3639" s="238"/>
    </row>
    <row r="3640">
      <c r="A3640" s="238"/>
      <c r="B3640" s="238"/>
      <c r="C3640" s="238"/>
      <c r="D3640" s="239"/>
      <c r="E3640" s="239"/>
      <c r="F3640" s="240"/>
      <c r="G3640" s="241"/>
      <c r="H3640" s="238"/>
      <c r="I3640" s="238"/>
    </row>
    <row r="3641">
      <c r="A3641" s="238"/>
      <c r="B3641" s="238"/>
      <c r="C3641" s="238"/>
      <c r="D3641" s="239"/>
      <c r="E3641" s="239"/>
      <c r="F3641" s="240"/>
      <c r="G3641" s="241"/>
      <c r="H3641" s="238"/>
      <c r="I3641" s="238"/>
    </row>
    <row r="3642">
      <c r="A3642" s="238"/>
      <c r="B3642" s="238"/>
      <c r="C3642" s="238"/>
      <c r="D3642" s="239"/>
      <c r="E3642" s="239"/>
      <c r="F3642" s="240"/>
      <c r="G3642" s="241"/>
      <c r="H3642" s="238"/>
      <c r="I3642" s="238"/>
    </row>
    <row r="3643">
      <c r="A3643" s="238"/>
      <c r="B3643" s="238"/>
      <c r="C3643" s="238"/>
      <c r="D3643" s="239"/>
      <c r="E3643" s="239"/>
      <c r="F3643" s="240"/>
      <c r="G3643" s="241"/>
      <c r="H3643" s="238"/>
      <c r="I3643" s="238"/>
    </row>
    <row r="3644">
      <c r="A3644" s="238"/>
      <c r="B3644" s="238"/>
      <c r="C3644" s="238"/>
      <c r="D3644" s="239"/>
      <c r="E3644" s="239"/>
      <c r="F3644" s="240"/>
      <c r="G3644" s="241"/>
      <c r="H3644" s="238"/>
      <c r="I3644" s="238"/>
    </row>
    <row r="3645">
      <c r="A3645" s="238"/>
      <c r="B3645" s="238"/>
      <c r="C3645" s="238"/>
      <c r="D3645" s="239"/>
      <c r="E3645" s="239"/>
      <c r="F3645" s="240"/>
      <c r="G3645" s="241"/>
      <c r="H3645" s="238"/>
      <c r="I3645" s="238"/>
    </row>
    <row r="3646">
      <c r="A3646" s="238"/>
      <c r="B3646" s="238"/>
      <c r="C3646" s="238"/>
      <c r="D3646" s="239"/>
      <c r="E3646" s="239"/>
      <c r="F3646" s="240"/>
      <c r="G3646" s="241"/>
      <c r="H3646" s="238"/>
      <c r="I3646" s="238"/>
    </row>
    <row r="3647">
      <c r="A3647" s="238"/>
      <c r="B3647" s="238"/>
      <c r="C3647" s="238"/>
      <c r="D3647" s="239"/>
      <c r="E3647" s="239"/>
      <c r="F3647" s="240"/>
      <c r="G3647" s="241"/>
      <c r="H3647" s="238"/>
      <c r="I3647" s="238"/>
    </row>
    <row r="3648">
      <c r="A3648" s="238"/>
      <c r="B3648" s="238"/>
      <c r="C3648" s="238"/>
      <c r="D3648" s="239"/>
      <c r="E3648" s="239"/>
      <c r="F3648" s="240"/>
      <c r="G3648" s="241"/>
      <c r="H3648" s="238"/>
      <c r="I3648" s="238"/>
    </row>
    <row r="3649">
      <c r="A3649" s="238"/>
      <c r="B3649" s="238"/>
      <c r="C3649" s="238"/>
      <c r="D3649" s="239"/>
      <c r="E3649" s="239"/>
      <c r="F3649" s="240"/>
      <c r="G3649" s="241"/>
      <c r="H3649" s="238"/>
      <c r="I3649" s="238"/>
    </row>
    <row r="3650">
      <c r="A3650" s="238"/>
      <c r="B3650" s="238"/>
      <c r="C3650" s="238"/>
      <c r="D3650" s="239"/>
      <c r="E3650" s="239"/>
      <c r="F3650" s="240"/>
      <c r="G3650" s="241"/>
      <c r="H3650" s="238"/>
      <c r="I3650" s="238"/>
    </row>
    <row r="3651">
      <c r="A3651" s="238"/>
      <c r="B3651" s="238"/>
      <c r="C3651" s="238"/>
      <c r="D3651" s="239"/>
      <c r="E3651" s="239"/>
      <c r="F3651" s="240"/>
      <c r="G3651" s="241"/>
      <c r="H3651" s="238"/>
      <c r="I3651" s="238"/>
    </row>
    <row r="3652">
      <c r="A3652" s="238"/>
      <c r="B3652" s="238"/>
      <c r="C3652" s="238"/>
      <c r="D3652" s="239"/>
      <c r="E3652" s="239"/>
      <c r="F3652" s="240"/>
      <c r="G3652" s="241"/>
      <c r="H3652" s="238"/>
      <c r="I3652" s="238"/>
    </row>
    <row r="3653">
      <c r="A3653" s="238"/>
      <c r="B3653" s="238"/>
      <c r="C3653" s="238"/>
      <c r="D3653" s="239"/>
      <c r="E3653" s="239"/>
      <c r="F3653" s="240"/>
      <c r="G3653" s="241"/>
      <c r="H3653" s="238"/>
      <c r="I3653" s="238"/>
    </row>
    <row r="3654">
      <c r="A3654" s="238"/>
      <c r="B3654" s="238"/>
      <c r="C3654" s="238"/>
      <c r="D3654" s="239"/>
      <c r="E3654" s="239"/>
      <c r="F3654" s="240"/>
      <c r="G3654" s="241"/>
      <c r="H3654" s="238"/>
      <c r="I3654" s="238"/>
    </row>
    <row r="3655">
      <c r="A3655" s="238"/>
      <c r="B3655" s="238"/>
      <c r="C3655" s="238"/>
      <c r="D3655" s="239"/>
      <c r="E3655" s="239"/>
      <c r="F3655" s="240"/>
      <c r="G3655" s="241"/>
      <c r="H3655" s="238"/>
      <c r="I3655" s="238"/>
    </row>
    <row r="3656">
      <c r="A3656" s="238"/>
      <c r="B3656" s="238"/>
      <c r="C3656" s="238"/>
      <c r="D3656" s="239"/>
      <c r="E3656" s="239"/>
      <c r="F3656" s="240"/>
      <c r="G3656" s="241"/>
      <c r="H3656" s="238"/>
      <c r="I3656" s="238"/>
    </row>
    <row r="3657">
      <c r="A3657" s="238"/>
      <c r="B3657" s="238"/>
      <c r="C3657" s="238"/>
      <c r="D3657" s="239"/>
      <c r="E3657" s="239"/>
      <c r="F3657" s="240"/>
      <c r="G3657" s="241"/>
      <c r="H3657" s="238"/>
      <c r="I3657" s="238"/>
    </row>
    <row r="3658">
      <c r="A3658" s="238"/>
      <c r="B3658" s="238"/>
      <c r="C3658" s="238"/>
      <c r="D3658" s="239"/>
      <c r="E3658" s="239"/>
      <c r="F3658" s="240"/>
      <c r="G3658" s="241"/>
      <c r="H3658" s="238"/>
      <c r="I3658" s="238"/>
    </row>
    <row r="3659">
      <c r="A3659" s="238"/>
      <c r="B3659" s="238"/>
      <c r="C3659" s="238"/>
      <c r="D3659" s="239"/>
      <c r="E3659" s="239"/>
      <c r="F3659" s="240"/>
      <c r="G3659" s="241"/>
      <c r="H3659" s="238"/>
      <c r="I3659" s="238"/>
    </row>
    <row r="3660">
      <c r="A3660" s="238"/>
      <c r="B3660" s="238"/>
      <c r="C3660" s="238"/>
      <c r="D3660" s="239"/>
      <c r="E3660" s="239"/>
      <c r="F3660" s="240"/>
      <c r="G3660" s="241"/>
      <c r="H3660" s="238"/>
      <c r="I3660" s="238"/>
    </row>
    <row r="3661">
      <c r="A3661" s="238"/>
      <c r="B3661" s="238"/>
      <c r="C3661" s="238"/>
      <c r="D3661" s="239"/>
      <c r="E3661" s="239"/>
      <c r="F3661" s="240"/>
      <c r="G3661" s="241"/>
      <c r="H3661" s="238"/>
      <c r="I3661" s="238"/>
    </row>
    <row r="3662">
      <c r="A3662" s="238"/>
      <c r="B3662" s="238"/>
      <c r="C3662" s="238"/>
      <c r="D3662" s="239"/>
      <c r="E3662" s="239"/>
      <c r="F3662" s="240"/>
      <c r="G3662" s="241"/>
      <c r="H3662" s="238"/>
      <c r="I3662" s="238"/>
    </row>
    <row r="3663">
      <c r="A3663" s="238"/>
      <c r="B3663" s="238"/>
      <c r="C3663" s="238"/>
      <c r="D3663" s="239"/>
      <c r="E3663" s="239"/>
      <c r="F3663" s="240"/>
      <c r="G3663" s="241"/>
      <c r="H3663" s="238"/>
      <c r="I3663" s="238"/>
    </row>
    <row r="3664">
      <c r="A3664" s="238"/>
      <c r="B3664" s="238"/>
      <c r="C3664" s="238"/>
      <c r="D3664" s="239"/>
      <c r="E3664" s="239"/>
      <c r="F3664" s="240"/>
      <c r="G3664" s="241"/>
      <c r="H3664" s="238"/>
      <c r="I3664" s="238"/>
    </row>
    <row r="3665">
      <c r="A3665" s="238"/>
      <c r="B3665" s="238"/>
      <c r="C3665" s="238"/>
      <c r="D3665" s="239"/>
      <c r="E3665" s="239"/>
      <c r="F3665" s="240"/>
      <c r="G3665" s="241"/>
      <c r="H3665" s="238"/>
      <c r="I3665" s="238"/>
    </row>
    <row r="3666">
      <c r="A3666" s="238"/>
      <c r="B3666" s="238"/>
      <c r="C3666" s="238"/>
      <c r="D3666" s="239"/>
      <c r="E3666" s="239"/>
      <c r="F3666" s="240"/>
      <c r="G3666" s="241"/>
      <c r="H3666" s="238"/>
      <c r="I3666" s="238"/>
    </row>
    <row r="3667">
      <c r="A3667" s="238"/>
      <c r="B3667" s="238"/>
      <c r="C3667" s="238"/>
      <c r="D3667" s="239"/>
      <c r="E3667" s="239"/>
      <c r="F3667" s="240"/>
      <c r="G3667" s="241"/>
      <c r="H3667" s="238"/>
      <c r="I3667" s="238"/>
    </row>
    <row r="3668">
      <c r="A3668" s="238"/>
      <c r="B3668" s="238"/>
      <c r="C3668" s="238"/>
      <c r="D3668" s="239"/>
      <c r="E3668" s="239"/>
      <c r="F3668" s="240"/>
      <c r="G3668" s="241"/>
      <c r="H3668" s="238"/>
      <c r="I3668" s="238"/>
    </row>
    <row r="3669">
      <c r="A3669" s="238"/>
      <c r="B3669" s="238"/>
      <c r="C3669" s="238"/>
      <c r="D3669" s="239"/>
      <c r="E3669" s="239"/>
      <c r="F3669" s="240"/>
      <c r="G3669" s="241"/>
      <c r="H3669" s="238"/>
      <c r="I3669" s="238"/>
    </row>
    <row r="3670">
      <c r="A3670" s="238"/>
      <c r="B3670" s="238"/>
      <c r="C3670" s="238"/>
      <c r="D3670" s="239"/>
      <c r="E3670" s="239"/>
      <c r="F3670" s="240"/>
      <c r="G3670" s="241"/>
      <c r="H3670" s="238"/>
      <c r="I3670" s="238"/>
    </row>
    <row r="3671">
      <c r="A3671" s="238"/>
      <c r="B3671" s="238"/>
      <c r="C3671" s="238"/>
      <c r="D3671" s="239"/>
      <c r="E3671" s="239"/>
      <c r="F3671" s="240"/>
      <c r="G3671" s="241"/>
      <c r="H3671" s="238"/>
      <c r="I3671" s="238"/>
    </row>
    <row r="3672">
      <c r="A3672" s="238"/>
      <c r="B3672" s="238"/>
      <c r="C3672" s="238"/>
      <c r="D3672" s="239"/>
      <c r="E3672" s="239"/>
      <c r="F3672" s="240"/>
      <c r="G3672" s="241"/>
      <c r="H3672" s="238"/>
      <c r="I3672" s="238"/>
    </row>
    <row r="3673">
      <c r="A3673" s="238"/>
      <c r="B3673" s="238"/>
      <c r="C3673" s="238"/>
      <c r="D3673" s="239"/>
      <c r="E3673" s="239"/>
      <c r="F3673" s="240"/>
      <c r="G3673" s="241"/>
      <c r="H3673" s="238"/>
      <c r="I3673" s="238"/>
    </row>
    <row r="3674">
      <c r="A3674" s="238"/>
      <c r="B3674" s="238"/>
      <c r="C3674" s="238"/>
      <c r="D3674" s="239"/>
      <c r="E3674" s="239"/>
      <c r="F3674" s="240"/>
      <c r="G3674" s="241"/>
      <c r="H3674" s="238"/>
      <c r="I3674" s="238"/>
    </row>
    <row r="3675">
      <c r="A3675" s="238"/>
      <c r="B3675" s="238"/>
      <c r="C3675" s="238"/>
      <c r="D3675" s="239"/>
      <c r="E3675" s="239"/>
      <c r="F3675" s="240"/>
      <c r="G3675" s="241"/>
      <c r="H3675" s="238"/>
      <c r="I3675" s="238"/>
    </row>
    <row r="3676">
      <c r="A3676" s="238"/>
      <c r="B3676" s="238"/>
      <c r="C3676" s="238"/>
      <c r="D3676" s="239"/>
      <c r="E3676" s="239"/>
      <c r="F3676" s="240"/>
      <c r="G3676" s="241"/>
      <c r="H3676" s="238"/>
      <c r="I3676" s="238"/>
    </row>
    <row r="3677">
      <c r="A3677" s="238"/>
      <c r="B3677" s="238"/>
      <c r="C3677" s="238"/>
      <c r="D3677" s="239"/>
      <c r="E3677" s="239"/>
      <c r="F3677" s="240"/>
      <c r="G3677" s="241"/>
      <c r="H3677" s="238"/>
      <c r="I3677" s="238"/>
    </row>
    <row r="3678">
      <c r="A3678" s="238"/>
      <c r="B3678" s="238"/>
      <c r="C3678" s="238"/>
      <c r="D3678" s="239"/>
      <c r="E3678" s="239"/>
      <c r="F3678" s="240"/>
      <c r="G3678" s="241"/>
      <c r="H3678" s="238"/>
      <c r="I3678" s="238"/>
    </row>
    <row r="3679">
      <c r="A3679" s="238"/>
      <c r="B3679" s="238"/>
      <c r="C3679" s="238"/>
      <c r="D3679" s="239"/>
      <c r="E3679" s="239"/>
      <c r="F3679" s="240"/>
      <c r="G3679" s="241"/>
      <c r="H3679" s="238"/>
      <c r="I3679" s="238"/>
    </row>
    <row r="3680">
      <c r="A3680" s="238"/>
      <c r="B3680" s="238"/>
      <c r="C3680" s="238"/>
      <c r="D3680" s="239"/>
      <c r="E3680" s="239"/>
      <c r="F3680" s="240"/>
      <c r="G3680" s="241"/>
      <c r="H3680" s="238"/>
      <c r="I3680" s="238"/>
    </row>
    <row r="3681">
      <c r="A3681" s="238"/>
      <c r="B3681" s="238"/>
      <c r="C3681" s="238"/>
      <c r="D3681" s="239"/>
      <c r="E3681" s="239"/>
      <c r="F3681" s="240"/>
      <c r="G3681" s="241"/>
      <c r="H3681" s="238"/>
      <c r="I3681" s="238"/>
    </row>
    <row r="3682">
      <c r="A3682" s="238"/>
      <c r="B3682" s="238"/>
      <c r="C3682" s="238"/>
      <c r="D3682" s="239"/>
      <c r="E3682" s="239"/>
      <c r="F3682" s="240"/>
      <c r="G3682" s="241"/>
      <c r="H3682" s="238"/>
      <c r="I3682" s="238"/>
    </row>
    <row r="3683">
      <c r="A3683" s="238"/>
      <c r="B3683" s="238"/>
      <c r="C3683" s="238"/>
      <c r="D3683" s="239"/>
      <c r="E3683" s="239"/>
      <c r="F3683" s="240"/>
      <c r="G3683" s="241"/>
      <c r="H3683" s="238"/>
      <c r="I3683" s="238"/>
    </row>
    <row r="3684">
      <c r="A3684" s="238"/>
      <c r="B3684" s="238"/>
      <c r="C3684" s="238"/>
      <c r="D3684" s="239"/>
      <c r="E3684" s="239"/>
      <c r="F3684" s="240"/>
      <c r="G3684" s="241"/>
      <c r="H3684" s="238"/>
      <c r="I3684" s="238"/>
    </row>
    <row r="3685">
      <c r="A3685" s="238"/>
      <c r="B3685" s="238"/>
      <c r="C3685" s="238"/>
      <c r="D3685" s="239"/>
      <c r="E3685" s="239"/>
      <c r="F3685" s="240"/>
      <c r="G3685" s="241"/>
      <c r="H3685" s="238"/>
      <c r="I3685" s="238"/>
    </row>
    <row r="3686">
      <c r="A3686" s="238"/>
      <c r="B3686" s="238"/>
      <c r="C3686" s="238"/>
      <c r="D3686" s="239"/>
      <c r="E3686" s="239"/>
      <c r="F3686" s="240"/>
      <c r="G3686" s="241"/>
      <c r="H3686" s="238"/>
      <c r="I3686" s="238"/>
    </row>
    <row r="3687">
      <c r="A3687" s="238"/>
      <c r="B3687" s="238"/>
      <c r="C3687" s="238"/>
      <c r="D3687" s="239"/>
      <c r="E3687" s="239"/>
      <c r="F3687" s="240"/>
      <c r="G3687" s="241"/>
      <c r="H3687" s="238"/>
      <c r="I3687" s="238"/>
    </row>
    <row r="3688">
      <c r="A3688" s="238"/>
      <c r="B3688" s="238"/>
      <c r="C3688" s="238"/>
      <c r="D3688" s="239"/>
      <c r="E3688" s="239"/>
      <c r="F3688" s="240"/>
      <c r="G3688" s="241"/>
      <c r="H3688" s="238"/>
      <c r="I3688" s="238"/>
    </row>
    <row r="3689">
      <c r="A3689" s="238"/>
      <c r="B3689" s="238"/>
      <c r="C3689" s="238"/>
      <c r="D3689" s="239"/>
      <c r="E3689" s="239"/>
      <c r="F3689" s="240"/>
      <c r="G3689" s="241"/>
      <c r="H3689" s="238"/>
      <c r="I3689" s="238"/>
    </row>
    <row r="3690">
      <c r="A3690" s="238"/>
      <c r="B3690" s="238"/>
      <c r="C3690" s="238"/>
      <c r="D3690" s="239"/>
      <c r="E3690" s="239"/>
      <c r="F3690" s="240"/>
      <c r="G3690" s="241"/>
      <c r="H3690" s="238"/>
      <c r="I3690" s="238"/>
    </row>
    <row r="3691">
      <c r="A3691" s="238"/>
      <c r="B3691" s="238"/>
      <c r="C3691" s="238"/>
      <c r="D3691" s="239"/>
      <c r="E3691" s="239"/>
      <c r="F3691" s="240"/>
      <c r="G3691" s="241"/>
      <c r="H3691" s="238"/>
      <c r="I3691" s="238"/>
    </row>
    <row r="3692">
      <c r="A3692" s="238"/>
      <c r="B3692" s="238"/>
      <c r="C3692" s="238"/>
      <c r="D3692" s="239"/>
      <c r="E3692" s="239"/>
      <c r="F3692" s="240"/>
      <c r="G3692" s="241"/>
      <c r="H3692" s="238"/>
      <c r="I3692" s="238"/>
    </row>
    <row r="3693">
      <c r="A3693" s="238"/>
      <c r="B3693" s="238"/>
      <c r="C3693" s="238"/>
      <c r="D3693" s="239"/>
      <c r="E3693" s="239"/>
      <c r="F3693" s="240"/>
      <c r="G3693" s="241"/>
      <c r="H3693" s="238"/>
      <c r="I3693" s="238"/>
    </row>
    <row r="3694">
      <c r="A3694" s="238"/>
      <c r="B3694" s="238"/>
      <c r="C3694" s="238"/>
      <c r="D3694" s="239"/>
      <c r="E3694" s="239"/>
      <c r="F3694" s="240"/>
      <c r="G3694" s="241"/>
      <c r="H3694" s="238"/>
      <c r="I3694" s="238"/>
    </row>
    <row r="3695">
      <c r="A3695" s="238"/>
      <c r="B3695" s="238"/>
      <c r="C3695" s="238"/>
      <c r="D3695" s="239"/>
      <c r="E3695" s="239"/>
      <c r="F3695" s="240"/>
      <c r="G3695" s="241"/>
      <c r="H3695" s="238"/>
      <c r="I3695" s="238"/>
    </row>
    <row r="3696">
      <c r="A3696" s="238"/>
      <c r="B3696" s="238"/>
      <c r="C3696" s="238"/>
      <c r="D3696" s="239"/>
      <c r="E3696" s="239"/>
      <c r="F3696" s="240"/>
      <c r="G3696" s="241"/>
      <c r="H3696" s="238"/>
      <c r="I3696" s="238"/>
    </row>
    <row r="3697">
      <c r="A3697" s="238"/>
      <c r="B3697" s="238"/>
      <c r="C3697" s="238"/>
      <c r="D3697" s="239"/>
      <c r="E3697" s="239"/>
      <c r="F3697" s="240"/>
      <c r="G3697" s="241"/>
      <c r="H3697" s="238"/>
      <c r="I3697" s="238"/>
    </row>
    <row r="3698">
      <c r="A3698" s="238"/>
      <c r="B3698" s="238"/>
      <c r="C3698" s="238"/>
      <c r="D3698" s="239"/>
      <c r="E3698" s="239"/>
      <c r="F3698" s="240"/>
      <c r="G3698" s="241"/>
      <c r="H3698" s="238"/>
      <c r="I3698" s="238"/>
    </row>
    <row r="3699">
      <c r="A3699" s="238"/>
      <c r="B3699" s="238"/>
      <c r="C3699" s="238"/>
      <c r="D3699" s="239"/>
      <c r="E3699" s="239"/>
      <c r="F3699" s="240"/>
      <c r="G3699" s="241"/>
      <c r="H3699" s="238"/>
      <c r="I3699" s="238"/>
    </row>
    <row r="3700">
      <c r="A3700" s="238"/>
      <c r="B3700" s="238"/>
      <c r="C3700" s="238"/>
      <c r="D3700" s="239"/>
      <c r="E3700" s="239"/>
      <c r="F3700" s="240"/>
      <c r="G3700" s="241"/>
      <c r="H3700" s="238"/>
      <c r="I3700" s="238"/>
    </row>
    <row r="3701">
      <c r="A3701" s="238"/>
      <c r="B3701" s="238"/>
      <c r="C3701" s="238"/>
      <c r="D3701" s="239"/>
      <c r="E3701" s="239"/>
      <c r="F3701" s="240"/>
      <c r="G3701" s="241"/>
      <c r="H3701" s="238"/>
      <c r="I3701" s="238"/>
    </row>
    <row r="3702">
      <c r="A3702" s="238"/>
      <c r="B3702" s="238"/>
      <c r="C3702" s="238"/>
      <c r="D3702" s="239"/>
      <c r="E3702" s="239"/>
      <c r="F3702" s="240"/>
      <c r="G3702" s="241"/>
      <c r="H3702" s="238"/>
      <c r="I3702" s="238"/>
    </row>
    <row r="3703">
      <c r="A3703" s="238"/>
      <c r="B3703" s="238"/>
      <c r="C3703" s="238"/>
      <c r="D3703" s="239"/>
      <c r="E3703" s="239"/>
      <c r="F3703" s="240"/>
      <c r="G3703" s="241"/>
      <c r="H3703" s="238"/>
      <c r="I3703" s="238"/>
    </row>
    <row r="3704">
      <c r="A3704" s="238"/>
      <c r="B3704" s="238"/>
      <c r="C3704" s="238"/>
      <c r="D3704" s="239"/>
      <c r="E3704" s="239"/>
      <c r="F3704" s="240"/>
      <c r="G3704" s="241"/>
      <c r="H3704" s="238"/>
      <c r="I3704" s="238"/>
    </row>
    <row r="3705">
      <c r="A3705" s="238"/>
      <c r="B3705" s="238"/>
      <c r="C3705" s="238"/>
      <c r="D3705" s="239"/>
      <c r="E3705" s="239"/>
      <c r="F3705" s="240"/>
      <c r="G3705" s="241"/>
      <c r="H3705" s="238"/>
      <c r="I3705" s="238"/>
    </row>
    <row r="3706">
      <c r="A3706" s="238"/>
      <c r="B3706" s="238"/>
      <c r="C3706" s="238"/>
      <c r="D3706" s="239"/>
      <c r="E3706" s="239"/>
      <c r="F3706" s="240"/>
      <c r="G3706" s="241"/>
      <c r="H3706" s="238"/>
      <c r="I3706" s="238"/>
    </row>
    <row r="3707">
      <c r="A3707" s="238"/>
      <c r="B3707" s="238"/>
      <c r="C3707" s="238"/>
      <c r="D3707" s="239"/>
      <c r="E3707" s="239"/>
      <c r="F3707" s="240"/>
      <c r="G3707" s="241"/>
      <c r="H3707" s="238"/>
      <c r="I3707" s="238"/>
    </row>
    <row r="3708">
      <c r="A3708" s="238"/>
      <c r="B3708" s="238"/>
      <c r="C3708" s="238"/>
      <c r="D3708" s="239"/>
      <c r="E3708" s="239"/>
      <c r="F3708" s="240"/>
      <c r="G3708" s="241"/>
      <c r="H3708" s="238"/>
      <c r="I3708" s="238"/>
    </row>
    <row r="3709">
      <c r="A3709" s="238"/>
      <c r="B3709" s="238"/>
      <c r="C3709" s="238"/>
      <c r="D3709" s="239"/>
      <c r="E3709" s="239"/>
      <c r="F3709" s="240"/>
      <c r="G3709" s="241"/>
      <c r="H3709" s="238"/>
      <c r="I3709" s="238"/>
    </row>
    <row r="3710">
      <c r="A3710" s="238"/>
      <c r="B3710" s="238"/>
      <c r="C3710" s="238"/>
      <c r="D3710" s="239"/>
      <c r="E3710" s="239"/>
      <c r="F3710" s="240"/>
      <c r="G3710" s="241"/>
      <c r="H3710" s="238"/>
      <c r="I3710" s="238"/>
    </row>
    <row r="3711">
      <c r="A3711" s="238"/>
      <c r="B3711" s="238"/>
      <c r="C3711" s="238"/>
      <c r="D3711" s="239"/>
      <c r="E3711" s="239"/>
      <c r="F3711" s="240"/>
      <c r="G3711" s="241"/>
      <c r="H3711" s="238"/>
      <c r="I3711" s="238"/>
    </row>
    <row r="3712">
      <c r="A3712" s="238"/>
      <c r="B3712" s="238"/>
      <c r="C3712" s="238"/>
      <c r="D3712" s="239"/>
      <c r="E3712" s="239"/>
      <c r="F3712" s="240"/>
      <c r="G3712" s="241"/>
      <c r="H3712" s="238"/>
      <c r="I3712" s="238"/>
    </row>
    <row r="3713">
      <c r="A3713" s="238"/>
      <c r="B3713" s="238"/>
      <c r="C3713" s="238"/>
      <c r="D3713" s="239"/>
      <c r="E3713" s="239"/>
      <c r="F3713" s="240"/>
      <c r="G3713" s="241"/>
      <c r="H3713" s="238"/>
      <c r="I3713" s="238"/>
    </row>
    <row r="3714">
      <c r="A3714" s="238"/>
      <c r="B3714" s="238"/>
      <c r="C3714" s="238"/>
      <c r="D3714" s="239"/>
      <c r="E3714" s="239"/>
      <c r="F3714" s="240"/>
      <c r="G3714" s="241"/>
      <c r="H3714" s="238"/>
      <c r="I3714" s="238"/>
    </row>
    <row r="3715">
      <c r="A3715" s="238"/>
      <c r="B3715" s="238"/>
      <c r="C3715" s="238"/>
      <c r="D3715" s="239"/>
      <c r="E3715" s="239"/>
      <c r="F3715" s="240"/>
      <c r="G3715" s="241"/>
      <c r="H3715" s="238"/>
      <c r="I3715" s="238"/>
    </row>
    <row r="3716">
      <c r="A3716" s="238"/>
      <c r="B3716" s="238"/>
      <c r="C3716" s="238"/>
      <c r="D3716" s="239"/>
      <c r="E3716" s="239"/>
      <c r="F3716" s="240"/>
      <c r="G3716" s="241"/>
      <c r="H3716" s="238"/>
      <c r="I3716" s="238"/>
    </row>
    <row r="3717">
      <c r="A3717" s="238"/>
      <c r="B3717" s="238"/>
      <c r="C3717" s="238"/>
      <c r="D3717" s="239"/>
      <c r="E3717" s="239"/>
      <c r="F3717" s="240"/>
      <c r="G3717" s="241"/>
      <c r="H3717" s="238"/>
      <c r="I3717" s="238"/>
    </row>
    <row r="3718">
      <c r="A3718" s="238"/>
      <c r="B3718" s="238"/>
      <c r="C3718" s="238"/>
      <c r="D3718" s="239"/>
      <c r="E3718" s="239"/>
      <c r="F3718" s="240"/>
      <c r="G3718" s="241"/>
      <c r="H3718" s="238"/>
      <c r="I3718" s="238"/>
    </row>
    <row r="3719">
      <c r="A3719" s="238"/>
      <c r="B3719" s="238"/>
      <c r="C3719" s="238"/>
      <c r="D3719" s="239"/>
      <c r="E3719" s="239"/>
      <c r="F3719" s="240"/>
      <c r="G3719" s="241"/>
      <c r="H3719" s="238"/>
      <c r="I3719" s="238"/>
    </row>
    <row r="3720">
      <c r="A3720" s="238"/>
      <c r="B3720" s="238"/>
      <c r="C3720" s="238"/>
      <c r="D3720" s="239"/>
      <c r="E3720" s="239"/>
      <c r="F3720" s="240"/>
      <c r="G3720" s="241"/>
      <c r="H3720" s="238"/>
      <c r="I3720" s="238"/>
    </row>
    <row r="3721">
      <c r="A3721" s="238"/>
      <c r="B3721" s="238"/>
      <c r="C3721" s="238"/>
      <c r="D3721" s="239"/>
      <c r="E3721" s="239"/>
      <c r="F3721" s="240"/>
      <c r="G3721" s="241"/>
      <c r="H3721" s="238"/>
      <c r="I3721" s="238"/>
    </row>
    <row r="3722">
      <c r="A3722" s="238"/>
      <c r="B3722" s="238"/>
      <c r="C3722" s="238"/>
      <c r="D3722" s="239"/>
      <c r="E3722" s="239"/>
      <c r="F3722" s="240"/>
      <c r="G3722" s="241"/>
      <c r="H3722" s="238"/>
      <c r="I3722" s="238"/>
    </row>
    <row r="3723">
      <c r="A3723" s="238"/>
      <c r="B3723" s="238"/>
      <c r="C3723" s="238"/>
      <c r="D3723" s="239"/>
      <c r="E3723" s="239"/>
      <c r="F3723" s="240"/>
      <c r="G3723" s="241"/>
      <c r="H3723" s="238"/>
      <c r="I3723" s="238"/>
    </row>
    <row r="3724">
      <c r="A3724" s="238"/>
      <c r="B3724" s="238"/>
      <c r="C3724" s="238"/>
      <c r="D3724" s="239"/>
      <c r="E3724" s="239"/>
      <c r="F3724" s="240"/>
      <c r="G3724" s="241"/>
      <c r="H3724" s="238"/>
      <c r="I3724" s="238"/>
    </row>
    <row r="3725">
      <c r="A3725" s="238"/>
      <c r="B3725" s="238"/>
      <c r="C3725" s="238"/>
      <c r="D3725" s="239"/>
      <c r="E3725" s="239"/>
      <c r="F3725" s="240"/>
      <c r="G3725" s="241"/>
      <c r="H3725" s="238"/>
      <c r="I3725" s="238"/>
    </row>
    <row r="3726">
      <c r="A3726" s="238"/>
      <c r="B3726" s="238"/>
      <c r="C3726" s="238"/>
      <c r="D3726" s="239"/>
      <c r="E3726" s="239"/>
      <c r="F3726" s="240"/>
      <c r="G3726" s="241"/>
      <c r="H3726" s="238"/>
      <c r="I3726" s="238"/>
    </row>
    <row r="3727">
      <c r="A3727" s="238"/>
      <c r="B3727" s="238"/>
      <c r="C3727" s="238"/>
      <c r="D3727" s="239"/>
      <c r="E3727" s="239"/>
      <c r="F3727" s="240"/>
      <c r="G3727" s="241"/>
      <c r="H3727" s="238"/>
      <c r="I3727" s="238"/>
    </row>
    <row r="3728">
      <c r="A3728" s="238"/>
      <c r="B3728" s="238"/>
      <c r="C3728" s="238"/>
      <c r="D3728" s="239"/>
      <c r="E3728" s="239"/>
      <c r="F3728" s="240"/>
      <c r="G3728" s="241"/>
      <c r="H3728" s="238"/>
      <c r="I3728" s="238"/>
    </row>
    <row r="3729">
      <c r="A3729" s="238"/>
      <c r="B3729" s="238"/>
      <c r="C3729" s="238"/>
      <c r="D3729" s="239"/>
      <c r="E3729" s="239"/>
      <c r="F3729" s="240"/>
      <c r="G3729" s="241"/>
      <c r="H3729" s="238"/>
      <c r="I3729" s="238"/>
    </row>
    <row r="3730">
      <c r="A3730" s="238"/>
      <c r="B3730" s="238"/>
      <c r="C3730" s="238"/>
      <c r="D3730" s="239"/>
      <c r="E3730" s="239"/>
      <c r="F3730" s="240"/>
      <c r="G3730" s="241"/>
      <c r="H3730" s="238"/>
      <c r="I3730" s="238"/>
    </row>
    <row r="3731">
      <c r="A3731" s="238"/>
      <c r="B3731" s="238"/>
      <c r="C3731" s="238"/>
      <c r="D3731" s="239"/>
      <c r="E3731" s="239"/>
      <c r="F3731" s="240"/>
      <c r="G3731" s="241"/>
      <c r="H3731" s="238"/>
      <c r="I3731" s="238"/>
    </row>
    <row r="3732">
      <c r="A3732" s="238"/>
      <c r="B3732" s="238"/>
      <c r="C3732" s="238"/>
      <c r="D3732" s="239"/>
      <c r="E3732" s="239"/>
      <c r="F3732" s="240"/>
      <c r="G3732" s="241"/>
      <c r="H3732" s="238"/>
      <c r="I3732" s="238"/>
    </row>
    <row r="3733">
      <c r="A3733" s="238"/>
      <c r="B3733" s="238"/>
      <c r="C3733" s="238"/>
      <c r="D3733" s="239"/>
      <c r="E3733" s="239"/>
      <c r="F3733" s="240"/>
      <c r="G3733" s="241"/>
      <c r="H3733" s="238"/>
      <c r="I3733" s="238"/>
    </row>
    <row r="3734">
      <c r="A3734" s="238"/>
      <c r="B3734" s="238"/>
      <c r="C3734" s="238"/>
      <c r="D3734" s="239"/>
      <c r="E3734" s="239"/>
      <c r="F3734" s="240"/>
      <c r="G3734" s="241"/>
      <c r="H3734" s="238"/>
      <c r="I3734" s="238"/>
    </row>
    <row r="3735">
      <c r="A3735" s="238"/>
      <c r="B3735" s="238"/>
      <c r="C3735" s="238"/>
      <c r="D3735" s="239"/>
      <c r="E3735" s="239"/>
      <c r="F3735" s="240"/>
      <c r="G3735" s="241"/>
      <c r="H3735" s="238"/>
      <c r="I3735" s="238"/>
    </row>
    <row r="3736">
      <c r="A3736" s="238"/>
      <c r="B3736" s="238"/>
      <c r="C3736" s="238"/>
      <c r="D3736" s="239"/>
      <c r="E3736" s="239"/>
      <c r="F3736" s="240"/>
      <c r="G3736" s="241"/>
      <c r="H3736" s="238"/>
      <c r="I3736" s="238"/>
    </row>
    <row r="3737">
      <c r="A3737" s="238"/>
      <c r="B3737" s="238"/>
      <c r="C3737" s="238"/>
      <c r="D3737" s="239"/>
      <c r="E3737" s="239"/>
      <c r="F3737" s="240"/>
      <c r="G3737" s="241"/>
      <c r="H3737" s="238"/>
      <c r="I3737" s="238"/>
    </row>
    <row r="3738">
      <c r="A3738" s="238"/>
      <c r="B3738" s="238"/>
      <c r="C3738" s="238"/>
      <c r="D3738" s="239"/>
      <c r="E3738" s="239"/>
      <c r="F3738" s="240"/>
      <c r="G3738" s="241"/>
      <c r="H3738" s="238"/>
      <c r="I3738" s="238"/>
    </row>
    <row r="3739">
      <c r="A3739" s="238"/>
      <c r="B3739" s="238"/>
      <c r="C3739" s="238"/>
      <c r="D3739" s="239"/>
      <c r="E3739" s="239"/>
      <c r="F3739" s="240"/>
      <c r="G3739" s="241"/>
      <c r="H3739" s="238"/>
      <c r="I3739" s="238"/>
    </row>
    <row r="3740">
      <c r="A3740" s="238"/>
      <c r="B3740" s="238"/>
      <c r="C3740" s="238"/>
      <c r="D3740" s="239"/>
      <c r="E3740" s="239"/>
      <c r="F3740" s="240"/>
      <c r="G3740" s="241"/>
      <c r="H3740" s="238"/>
      <c r="I3740" s="238"/>
    </row>
    <row r="3741">
      <c r="A3741" s="238"/>
      <c r="B3741" s="238"/>
      <c r="C3741" s="238"/>
      <c r="D3741" s="239"/>
      <c r="E3741" s="239"/>
      <c r="F3741" s="240"/>
      <c r="G3741" s="241"/>
      <c r="H3741" s="238"/>
      <c r="I3741" s="238"/>
    </row>
    <row r="3742">
      <c r="A3742" s="238"/>
      <c r="B3742" s="238"/>
      <c r="C3742" s="238"/>
      <c r="D3742" s="239"/>
      <c r="E3742" s="239"/>
      <c r="F3742" s="240"/>
      <c r="G3742" s="241"/>
      <c r="H3742" s="238"/>
      <c r="I3742" s="238"/>
    </row>
    <row r="3743">
      <c r="A3743" s="238"/>
      <c r="B3743" s="238"/>
      <c r="C3743" s="238"/>
      <c r="D3743" s="239"/>
      <c r="E3743" s="239"/>
      <c r="F3743" s="240"/>
      <c r="G3743" s="241"/>
      <c r="H3743" s="238"/>
      <c r="I3743" s="238"/>
    </row>
    <row r="3744">
      <c r="A3744" s="238"/>
      <c r="B3744" s="238"/>
      <c r="C3744" s="238"/>
      <c r="D3744" s="239"/>
      <c r="E3744" s="239"/>
      <c r="F3744" s="240"/>
      <c r="G3744" s="241"/>
      <c r="H3744" s="238"/>
      <c r="I3744" s="238"/>
    </row>
    <row r="3745">
      <c r="A3745" s="238"/>
      <c r="B3745" s="238"/>
      <c r="C3745" s="238"/>
      <c r="D3745" s="239"/>
      <c r="E3745" s="239"/>
      <c r="F3745" s="240"/>
      <c r="G3745" s="241"/>
      <c r="H3745" s="238"/>
      <c r="I3745" s="238"/>
    </row>
    <row r="3746">
      <c r="A3746" s="238"/>
      <c r="B3746" s="238"/>
      <c r="C3746" s="238"/>
      <c r="D3746" s="239"/>
      <c r="E3746" s="239"/>
      <c r="F3746" s="240"/>
      <c r="G3746" s="241"/>
      <c r="H3746" s="238"/>
      <c r="I3746" s="238"/>
    </row>
    <row r="3747">
      <c r="A3747" s="238"/>
      <c r="B3747" s="238"/>
      <c r="C3747" s="238"/>
      <c r="D3747" s="239"/>
      <c r="E3747" s="239"/>
      <c r="F3747" s="240"/>
      <c r="G3747" s="241"/>
      <c r="H3747" s="238"/>
      <c r="I3747" s="238"/>
    </row>
    <row r="3748">
      <c r="A3748" s="238"/>
      <c r="B3748" s="238"/>
      <c r="C3748" s="238"/>
      <c r="D3748" s="239"/>
      <c r="E3748" s="239"/>
      <c r="F3748" s="240"/>
      <c r="G3748" s="241"/>
      <c r="H3748" s="238"/>
      <c r="I3748" s="238"/>
    </row>
    <row r="3749">
      <c r="A3749" s="238"/>
      <c r="B3749" s="238"/>
      <c r="C3749" s="238"/>
      <c r="D3749" s="239"/>
      <c r="E3749" s="239"/>
      <c r="F3749" s="240"/>
      <c r="G3749" s="241"/>
      <c r="H3749" s="238"/>
      <c r="I3749" s="238"/>
    </row>
    <row r="3750">
      <c r="A3750" s="238"/>
      <c r="B3750" s="238"/>
      <c r="C3750" s="238"/>
      <c r="D3750" s="239"/>
      <c r="E3750" s="239"/>
      <c r="F3750" s="240"/>
      <c r="G3750" s="241"/>
      <c r="H3750" s="238"/>
      <c r="I3750" s="238"/>
    </row>
    <row r="3751">
      <c r="A3751" s="238"/>
      <c r="B3751" s="238"/>
      <c r="C3751" s="238"/>
      <c r="D3751" s="239"/>
      <c r="E3751" s="239"/>
      <c r="F3751" s="240"/>
      <c r="G3751" s="241"/>
      <c r="H3751" s="238"/>
      <c r="I3751" s="238"/>
    </row>
    <row r="3752">
      <c r="A3752" s="238"/>
      <c r="B3752" s="238"/>
      <c r="C3752" s="238"/>
      <c r="D3752" s="239"/>
      <c r="E3752" s="239"/>
      <c r="F3752" s="240"/>
      <c r="G3752" s="241"/>
      <c r="H3752" s="238"/>
      <c r="I3752" s="238"/>
    </row>
    <row r="3753">
      <c r="A3753" s="238"/>
      <c r="B3753" s="238"/>
      <c r="C3753" s="238"/>
      <c r="D3753" s="239"/>
      <c r="E3753" s="239"/>
      <c r="F3753" s="240"/>
      <c r="G3753" s="241"/>
      <c r="H3753" s="238"/>
      <c r="I3753" s="238"/>
    </row>
    <row r="3754">
      <c r="A3754" s="238"/>
      <c r="B3754" s="238"/>
      <c r="C3754" s="238"/>
      <c r="D3754" s="239"/>
      <c r="E3754" s="239"/>
      <c r="F3754" s="240"/>
      <c r="G3754" s="241"/>
      <c r="H3754" s="238"/>
      <c r="I3754" s="238"/>
    </row>
    <row r="3755">
      <c r="A3755" s="238"/>
      <c r="B3755" s="238"/>
      <c r="C3755" s="238"/>
      <c r="D3755" s="239"/>
      <c r="E3755" s="239"/>
      <c r="F3755" s="240"/>
      <c r="G3755" s="241"/>
      <c r="H3755" s="238"/>
      <c r="I3755" s="238"/>
    </row>
    <row r="3756">
      <c r="A3756" s="238"/>
      <c r="B3756" s="238"/>
      <c r="C3756" s="238"/>
      <c r="D3756" s="239"/>
      <c r="E3756" s="239"/>
      <c r="F3756" s="240"/>
      <c r="G3756" s="241"/>
      <c r="H3756" s="238"/>
      <c r="I3756" s="238"/>
    </row>
    <row r="3757">
      <c r="A3757" s="238"/>
      <c r="B3757" s="238"/>
      <c r="C3757" s="238"/>
      <c r="D3757" s="239"/>
      <c r="E3757" s="239"/>
      <c r="F3757" s="240"/>
      <c r="G3757" s="241"/>
      <c r="H3757" s="238"/>
      <c r="I3757" s="238"/>
    </row>
    <row r="3758">
      <c r="A3758" s="238"/>
      <c r="B3758" s="238"/>
      <c r="C3758" s="238"/>
      <c r="D3758" s="239"/>
      <c r="E3758" s="239"/>
      <c r="F3758" s="240"/>
      <c r="G3758" s="241"/>
      <c r="H3758" s="238"/>
      <c r="I3758" s="238"/>
    </row>
    <row r="3759">
      <c r="A3759" s="238"/>
      <c r="B3759" s="238"/>
      <c r="C3759" s="238"/>
      <c r="D3759" s="239"/>
      <c r="E3759" s="239"/>
      <c r="F3759" s="240"/>
      <c r="G3759" s="241"/>
      <c r="H3759" s="238"/>
      <c r="I3759" s="238"/>
    </row>
    <row r="3760">
      <c r="A3760" s="238"/>
      <c r="B3760" s="238"/>
      <c r="C3760" s="238"/>
      <c r="D3760" s="239"/>
      <c r="E3760" s="239"/>
      <c r="F3760" s="240"/>
      <c r="G3760" s="241"/>
      <c r="H3760" s="238"/>
      <c r="I3760" s="238"/>
    </row>
    <row r="3761">
      <c r="A3761" s="238"/>
      <c r="B3761" s="238"/>
      <c r="C3761" s="238"/>
      <c r="D3761" s="239"/>
      <c r="E3761" s="239"/>
      <c r="F3761" s="240"/>
      <c r="G3761" s="241"/>
      <c r="H3761" s="238"/>
      <c r="I3761" s="238"/>
    </row>
    <row r="3762">
      <c r="A3762" s="238"/>
      <c r="B3762" s="238"/>
      <c r="C3762" s="238"/>
      <c r="D3762" s="239"/>
      <c r="E3762" s="239"/>
      <c r="F3762" s="240"/>
      <c r="G3762" s="241"/>
      <c r="H3762" s="238"/>
      <c r="I3762" s="238"/>
    </row>
    <row r="3763">
      <c r="A3763" s="238"/>
      <c r="B3763" s="238"/>
      <c r="C3763" s="238"/>
      <c r="D3763" s="239"/>
      <c r="E3763" s="239"/>
      <c r="F3763" s="240"/>
      <c r="G3763" s="241"/>
      <c r="H3763" s="238"/>
      <c r="I3763" s="238"/>
    </row>
    <row r="3764">
      <c r="A3764" s="238"/>
      <c r="B3764" s="238"/>
      <c r="C3764" s="238"/>
      <c r="D3764" s="239"/>
      <c r="E3764" s="239"/>
      <c r="F3764" s="240"/>
      <c r="G3764" s="241"/>
      <c r="H3764" s="238"/>
      <c r="I3764" s="238"/>
    </row>
    <row r="3765">
      <c r="A3765" s="238"/>
      <c r="B3765" s="238"/>
      <c r="C3765" s="238"/>
      <c r="D3765" s="239"/>
      <c r="E3765" s="239"/>
      <c r="F3765" s="240"/>
      <c r="G3765" s="241"/>
      <c r="H3765" s="238"/>
      <c r="I3765" s="238"/>
    </row>
    <row r="3766">
      <c r="A3766" s="238"/>
      <c r="B3766" s="238"/>
      <c r="C3766" s="238"/>
      <c r="D3766" s="239"/>
      <c r="E3766" s="239"/>
      <c r="F3766" s="240"/>
      <c r="G3766" s="241"/>
      <c r="H3766" s="238"/>
      <c r="I3766" s="238"/>
    </row>
    <row r="3767">
      <c r="A3767" s="238"/>
      <c r="B3767" s="238"/>
      <c r="C3767" s="238"/>
      <c r="D3767" s="239"/>
      <c r="E3767" s="239"/>
      <c r="F3767" s="240"/>
      <c r="G3767" s="241"/>
      <c r="H3767" s="238"/>
      <c r="I3767" s="238"/>
    </row>
    <row r="3768">
      <c r="A3768" s="238"/>
      <c r="B3768" s="238"/>
      <c r="C3768" s="238"/>
      <c r="D3768" s="239"/>
      <c r="E3768" s="239"/>
      <c r="F3768" s="240"/>
      <c r="G3768" s="241"/>
      <c r="H3768" s="238"/>
      <c r="I3768" s="238"/>
    </row>
    <row r="3769">
      <c r="A3769" s="238"/>
      <c r="B3769" s="238"/>
      <c r="C3769" s="238"/>
      <c r="D3769" s="239"/>
      <c r="E3769" s="239"/>
      <c r="F3769" s="240"/>
      <c r="G3769" s="241"/>
      <c r="H3769" s="238"/>
      <c r="I3769" s="238"/>
    </row>
    <row r="3770">
      <c r="A3770" s="238"/>
      <c r="B3770" s="238"/>
      <c r="C3770" s="238"/>
      <c r="D3770" s="239"/>
      <c r="E3770" s="239"/>
      <c r="F3770" s="240"/>
      <c r="G3770" s="241"/>
      <c r="H3770" s="238"/>
      <c r="I3770" s="238"/>
    </row>
    <row r="3771">
      <c r="A3771" s="238"/>
      <c r="B3771" s="238"/>
      <c r="C3771" s="238"/>
      <c r="D3771" s="239"/>
      <c r="E3771" s="239"/>
      <c r="F3771" s="240"/>
      <c r="G3771" s="241"/>
      <c r="H3771" s="238"/>
      <c r="I3771" s="238"/>
    </row>
    <row r="3772">
      <c r="A3772" s="238"/>
      <c r="B3772" s="238"/>
      <c r="C3772" s="238"/>
      <c r="D3772" s="239"/>
      <c r="E3772" s="239"/>
      <c r="F3772" s="240"/>
      <c r="G3772" s="241"/>
      <c r="H3772" s="238"/>
      <c r="I3772" s="238"/>
    </row>
    <row r="3773">
      <c r="A3773" s="238"/>
      <c r="B3773" s="238"/>
      <c r="C3773" s="238"/>
      <c r="D3773" s="239"/>
      <c r="E3773" s="239"/>
      <c r="F3773" s="240"/>
      <c r="G3773" s="241"/>
      <c r="H3773" s="238"/>
      <c r="I3773" s="238"/>
    </row>
    <row r="3774">
      <c r="A3774" s="238"/>
      <c r="B3774" s="238"/>
      <c r="C3774" s="238"/>
      <c r="D3774" s="239"/>
      <c r="E3774" s="239"/>
      <c r="F3774" s="240"/>
      <c r="G3774" s="241"/>
      <c r="H3774" s="238"/>
      <c r="I3774" s="238"/>
    </row>
    <row r="3775">
      <c r="A3775" s="238"/>
      <c r="B3775" s="238"/>
      <c r="C3775" s="238"/>
      <c r="D3775" s="239"/>
      <c r="E3775" s="239"/>
      <c r="F3775" s="240"/>
      <c r="G3775" s="241"/>
      <c r="H3775" s="238"/>
      <c r="I3775" s="238"/>
    </row>
    <row r="3776">
      <c r="A3776" s="238"/>
      <c r="B3776" s="238"/>
      <c r="C3776" s="238"/>
      <c r="D3776" s="239"/>
      <c r="E3776" s="239"/>
      <c r="F3776" s="240"/>
      <c r="G3776" s="241"/>
      <c r="H3776" s="238"/>
      <c r="I3776" s="238"/>
    </row>
    <row r="3777">
      <c r="A3777" s="238"/>
      <c r="B3777" s="238"/>
      <c r="C3777" s="238"/>
      <c r="D3777" s="239"/>
      <c r="E3777" s="239"/>
      <c r="F3777" s="240"/>
      <c r="G3777" s="241"/>
      <c r="H3777" s="238"/>
      <c r="I3777" s="238"/>
    </row>
    <row r="3778">
      <c r="A3778" s="238"/>
      <c r="B3778" s="238"/>
      <c r="C3778" s="238"/>
      <c r="D3778" s="239"/>
      <c r="E3778" s="239"/>
      <c r="F3778" s="240"/>
      <c r="G3778" s="241"/>
      <c r="H3778" s="238"/>
      <c r="I3778" s="238"/>
    </row>
    <row r="3779">
      <c r="A3779" s="238"/>
      <c r="B3779" s="238"/>
      <c r="C3779" s="238"/>
      <c r="D3779" s="239"/>
      <c r="E3779" s="239"/>
      <c r="F3779" s="240"/>
      <c r="G3779" s="241"/>
      <c r="H3779" s="238"/>
      <c r="I3779" s="238"/>
    </row>
    <row r="3780">
      <c r="A3780" s="238"/>
      <c r="B3780" s="238"/>
      <c r="C3780" s="238"/>
      <c r="D3780" s="239"/>
      <c r="E3780" s="239"/>
      <c r="F3780" s="240"/>
      <c r="G3780" s="241"/>
      <c r="H3780" s="238"/>
      <c r="I3780" s="238"/>
    </row>
    <row r="3781">
      <c r="A3781" s="238"/>
      <c r="B3781" s="238"/>
      <c r="C3781" s="238"/>
      <c r="D3781" s="239"/>
      <c r="E3781" s="239"/>
      <c r="F3781" s="240"/>
      <c r="G3781" s="241"/>
      <c r="H3781" s="238"/>
      <c r="I3781" s="238"/>
    </row>
    <row r="3782">
      <c r="A3782" s="238"/>
      <c r="B3782" s="238"/>
      <c r="C3782" s="238"/>
      <c r="D3782" s="239"/>
      <c r="E3782" s="239"/>
      <c r="F3782" s="240"/>
      <c r="G3782" s="241"/>
      <c r="H3782" s="238"/>
      <c r="I3782" s="238"/>
    </row>
    <row r="3783">
      <c r="A3783" s="238"/>
      <c r="B3783" s="238"/>
      <c r="C3783" s="238"/>
      <c r="D3783" s="239"/>
      <c r="E3783" s="239"/>
      <c r="F3783" s="240"/>
      <c r="G3783" s="241"/>
      <c r="H3783" s="238"/>
      <c r="I3783" s="238"/>
    </row>
    <row r="3784">
      <c r="A3784" s="238"/>
      <c r="B3784" s="238"/>
      <c r="C3784" s="238"/>
      <c r="D3784" s="239"/>
      <c r="E3784" s="239"/>
      <c r="F3784" s="240"/>
      <c r="G3784" s="241"/>
      <c r="H3784" s="238"/>
      <c r="I3784" s="238"/>
    </row>
    <row r="3785">
      <c r="A3785" s="238"/>
      <c r="B3785" s="238"/>
      <c r="C3785" s="238"/>
      <c r="D3785" s="239"/>
      <c r="E3785" s="239"/>
      <c r="F3785" s="240"/>
      <c r="G3785" s="241"/>
      <c r="H3785" s="238"/>
      <c r="I3785" s="238"/>
    </row>
    <row r="3786">
      <c r="A3786" s="238"/>
      <c r="B3786" s="238"/>
      <c r="C3786" s="238"/>
      <c r="D3786" s="239"/>
      <c r="E3786" s="239"/>
      <c r="F3786" s="240"/>
      <c r="G3786" s="241"/>
      <c r="H3786" s="238"/>
      <c r="I3786" s="238"/>
    </row>
    <row r="3787">
      <c r="A3787" s="238"/>
      <c r="B3787" s="238"/>
      <c r="C3787" s="238"/>
      <c r="D3787" s="239"/>
      <c r="E3787" s="239"/>
      <c r="F3787" s="240"/>
      <c r="G3787" s="241"/>
      <c r="H3787" s="238"/>
      <c r="I3787" s="238"/>
    </row>
    <row r="3788">
      <c r="A3788" s="238"/>
      <c r="B3788" s="238"/>
      <c r="C3788" s="238"/>
      <c r="D3788" s="239"/>
      <c r="E3788" s="239"/>
      <c r="F3788" s="240"/>
      <c r="G3788" s="241"/>
      <c r="H3788" s="238"/>
      <c r="I3788" s="238"/>
    </row>
    <row r="3789">
      <c r="A3789" s="238"/>
      <c r="B3789" s="238"/>
      <c r="C3789" s="238"/>
      <c r="D3789" s="239"/>
      <c r="E3789" s="239"/>
      <c r="F3789" s="240"/>
      <c r="G3789" s="241"/>
      <c r="H3789" s="238"/>
      <c r="I3789" s="238"/>
    </row>
    <row r="3790">
      <c r="A3790" s="238"/>
      <c r="B3790" s="238"/>
      <c r="C3790" s="238"/>
      <c r="D3790" s="239"/>
      <c r="E3790" s="239"/>
      <c r="F3790" s="240"/>
      <c r="G3790" s="241"/>
      <c r="H3790" s="238"/>
      <c r="I3790" s="238"/>
    </row>
    <row r="3791">
      <c r="A3791" s="238"/>
      <c r="B3791" s="238"/>
      <c r="C3791" s="238"/>
      <c r="D3791" s="239"/>
      <c r="E3791" s="239"/>
      <c r="F3791" s="240"/>
      <c r="G3791" s="241"/>
      <c r="H3791" s="238"/>
      <c r="I3791" s="238"/>
    </row>
    <row r="3792">
      <c r="A3792" s="238"/>
      <c r="B3792" s="238"/>
      <c r="C3792" s="238"/>
      <c r="D3792" s="239"/>
      <c r="E3792" s="239"/>
      <c r="F3792" s="240"/>
      <c r="G3792" s="241"/>
      <c r="H3792" s="238"/>
      <c r="I3792" s="238"/>
    </row>
    <row r="3793">
      <c r="A3793" s="238"/>
      <c r="B3793" s="238"/>
      <c r="C3793" s="238"/>
      <c r="D3793" s="239"/>
      <c r="E3793" s="239"/>
      <c r="F3793" s="240"/>
      <c r="G3793" s="241"/>
      <c r="H3793" s="238"/>
      <c r="I3793" s="238"/>
    </row>
    <row r="3794">
      <c r="A3794" s="238"/>
      <c r="B3794" s="238"/>
      <c r="C3794" s="238"/>
      <c r="D3794" s="239"/>
      <c r="E3794" s="239"/>
      <c r="F3794" s="240"/>
      <c r="G3794" s="241"/>
      <c r="H3794" s="238"/>
      <c r="I3794" s="238"/>
    </row>
    <row r="3795">
      <c r="A3795" s="238"/>
      <c r="B3795" s="238"/>
      <c r="C3795" s="238"/>
      <c r="D3795" s="239"/>
      <c r="E3795" s="239"/>
      <c r="F3795" s="240"/>
      <c r="G3795" s="241"/>
      <c r="H3795" s="238"/>
      <c r="I3795" s="238"/>
    </row>
    <row r="3796">
      <c r="A3796" s="238"/>
      <c r="B3796" s="238"/>
      <c r="C3796" s="238"/>
      <c r="D3796" s="239"/>
      <c r="E3796" s="239"/>
      <c r="F3796" s="240"/>
      <c r="G3796" s="241"/>
      <c r="H3796" s="238"/>
      <c r="I3796" s="238"/>
    </row>
    <row r="3797">
      <c r="A3797" s="238"/>
      <c r="B3797" s="238"/>
      <c r="C3797" s="238"/>
      <c r="D3797" s="239"/>
      <c r="E3797" s="239"/>
      <c r="F3797" s="240"/>
      <c r="G3797" s="241"/>
      <c r="H3797" s="238"/>
      <c r="I3797" s="238"/>
    </row>
    <row r="3798">
      <c r="A3798" s="238"/>
      <c r="B3798" s="238"/>
      <c r="C3798" s="238"/>
      <c r="D3798" s="239"/>
      <c r="E3798" s="239"/>
      <c r="F3798" s="240"/>
      <c r="G3798" s="241"/>
      <c r="H3798" s="238"/>
      <c r="I3798" s="238"/>
    </row>
    <row r="3799">
      <c r="A3799" s="238"/>
      <c r="B3799" s="238"/>
      <c r="C3799" s="238"/>
      <c r="D3799" s="239"/>
      <c r="E3799" s="239"/>
      <c r="F3799" s="240"/>
      <c r="G3799" s="241"/>
      <c r="H3799" s="238"/>
      <c r="I3799" s="238"/>
    </row>
    <row r="3800">
      <c r="A3800" s="238"/>
      <c r="B3800" s="238"/>
      <c r="C3800" s="238"/>
      <c r="D3800" s="239"/>
      <c r="E3800" s="239"/>
      <c r="F3800" s="240"/>
      <c r="G3800" s="241"/>
      <c r="H3800" s="238"/>
      <c r="I3800" s="238"/>
    </row>
    <row r="3801">
      <c r="A3801" s="238"/>
      <c r="B3801" s="238"/>
      <c r="C3801" s="238"/>
      <c r="D3801" s="239"/>
      <c r="E3801" s="239"/>
      <c r="F3801" s="240"/>
      <c r="G3801" s="241"/>
      <c r="H3801" s="238"/>
      <c r="I3801" s="238"/>
    </row>
    <row r="3802">
      <c r="A3802" s="238"/>
      <c r="B3802" s="238"/>
      <c r="C3802" s="238"/>
      <c r="D3802" s="239"/>
      <c r="E3802" s="239"/>
      <c r="F3802" s="240"/>
      <c r="G3802" s="241"/>
      <c r="H3802" s="238"/>
      <c r="I3802" s="238"/>
    </row>
    <row r="3803">
      <c r="A3803" s="238"/>
      <c r="B3803" s="238"/>
      <c r="C3803" s="238"/>
      <c r="D3803" s="239"/>
      <c r="E3803" s="239"/>
      <c r="F3803" s="240"/>
      <c r="G3803" s="241"/>
      <c r="H3803" s="238"/>
      <c r="I3803" s="238"/>
    </row>
    <row r="3804">
      <c r="A3804" s="238"/>
      <c r="B3804" s="238"/>
      <c r="C3804" s="238"/>
      <c r="D3804" s="239"/>
      <c r="E3804" s="239"/>
      <c r="F3804" s="240"/>
      <c r="G3804" s="241"/>
      <c r="H3804" s="238"/>
      <c r="I3804" s="238"/>
    </row>
    <row r="3805">
      <c r="A3805" s="238"/>
      <c r="B3805" s="238"/>
      <c r="C3805" s="238"/>
      <c r="D3805" s="239"/>
      <c r="E3805" s="239"/>
      <c r="F3805" s="240"/>
      <c r="G3805" s="241"/>
      <c r="H3805" s="238"/>
      <c r="I3805" s="238"/>
    </row>
    <row r="3806">
      <c r="A3806" s="238"/>
      <c r="B3806" s="238"/>
      <c r="C3806" s="238"/>
      <c r="D3806" s="239"/>
      <c r="E3806" s="239"/>
      <c r="F3806" s="240"/>
      <c r="G3806" s="241"/>
      <c r="H3806" s="238"/>
      <c r="I3806" s="238"/>
    </row>
    <row r="3807">
      <c r="A3807" s="238"/>
      <c r="B3807" s="238"/>
      <c r="C3807" s="238"/>
      <c r="D3807" s="239"/>
      <c r="E3807" s="239"/>
      <c r="F3807" s="240"/>
      <c r="G3807" s="241"/>
      <c r="H3807" s="238"/>
      <c r="I3807" s="238"/>
    </row>
    <row r="3808">
      <c r="A3808" s="238"/>
      <c r="B3808" s="238"/>
      <c r="C3808" s="238"/>
      <c r="D3808" s="239"/>
      <c r="E3808" s="239"/>
      <c r="F3808" s="240"/>
      <c r="G3808" s="241"/>
      <c r="H3808" s="238"/>
      <c r="I3808" s="238"/>
    </row>
    <row r="3809">
      <c r="A3809" s="238"/>
      <c r="B3809" s="238"/>
      <c r="C3809" s="238"/>
      <c r="D3809" s="239"/>
      <c r="E3809" s="239"/>
      <c r="F3809" s="240"/>
      <c r="G3809" s="241"/>
      <c r="H3809" s="238"/>
      <c r="I3809" s="238"/>
    </row>
    <row r="3810">
      <c r="A3810" s="238"/>
      <c r="B3810" s="238"/>
      <c r="C3810" s="238"/>
      <c r="D3810" s="239"/>
      <c r="E3810" s="239"/>
      <c r="F3810" s="240"/>
      <c r="G3810" s="241"/>
      <c r="H3810" s="238"/>
      <c r="I3810" s="238"/>
    </row>
    <row r="3811">
      <c r="A3811" s="238"/>
      <c r="B3811" s="238"/>
      <c r="C3811" s="238"/>
      <c r="D3811" s="239"/>
      <c r="E3811" s="239"/>
      <c r="F3811" s="240"/>
      <c r="G3811" s="241"/>
      <c r="H3811" s="238"/>
      <c r="I3811" s="238"/>
    </row>
    <row r="3812">
      <c r="A3812" s="238"/>
      <c r="B3812" s="238"/>
      <c r="C3812" s="238"/>
      <c r="D3812" s="239"/>
      <c r="E3812" s="239"/>
      <c r="F3812" s="240"/>
      <c r="G3812" s="241"/>
      <c r="H3812" s="238"/>
      <c r="I3812" s="238"/>
    </row>
    <row r="3813">
      <c r="A3813" s="238"/>
      <c r="B3813" s="238"/>
      <c r="C3813" s="238"/>
      <c r="D3813" s="239"/>
      <c r="E3813" s="239"/>
      <c r="F3813" s="240"/>
      <c r="G3813" s="241"/>
      <c r="H3813" s="238"/>
      <c r="I3813" s="238"/>
    </row>
    <row r="3814">
      <c r="A3814" s="238"/>
      <c r="B3814" s="238"/>
      <c r="C3814" s="238"/>
      <c r="D3814" s="239"/>
      <c r="E3814" s="239"/>
      <c r="F3814" s="240"/>
      <c r="G3814" s="241"/>
      <c r="H3814" s="238"/>
      <c r="I3814" s="238"/>
    </row>
    <row r="3815">
      <c r="A3815" s="238"/>
      <c r="B3815" s="238"/>
      <c r="C3815" s="238"/>
      <c r="D3815" s="239"/>
      <c r="E3815" s="239"/>
      <c r="F3815" s="240"/>
      <c r="G3815" s="241"/>
      <c r="H3815" s="238"/>
      <c r="I3815" s="238"/>
    </row>
    <row r="3816">
      <c r="A3816" s="238"/>
      <c r="B3816" s="238"/>
      <c r="C3816" s="238"/>
      <c r="D3816" s="239"/>
      <c r="E3816" s="239"/>
      <c r="F3816" s="240"/>
      <c r="G3816" s="241"/>
      <c r="H3816" s="238"/>
      <c r="I3816" s="238"/>
    </row>
    <row r="3817">
      <c r="A3817" s="238"/>
      <c r="B3817" s="238"/>
      <c r="C3817" s="238"/>
      <c r="D3817" s="239"/>
      <c r="E3817" s="239"/>
      <c r="F3817" s="240"/>
      <c r="G3817" s="241"/>
      <c r="H3817" s="238"/>
      <c r="I3817" s="238"/>
    </row>
    <row r="3818">
      <c r="A3818" s="238"/>
      <c r="B3818" s="238"/>
      <c r="C3818" s="238"/>
      <c r="D3818" s="239"/>
      <c r="E3818" s="239"/>
      <c r="F3818" s="240"/>
      <c r="G3818" s="241"/>
      <c r="H3818" s="238"/>
      <c r="I3818" s="238"/>
    </row>
    <row r="3819">
      <c r="A3819" s="238"/>
      <c r="B3819" s="238"/>
      <c r="C3819" s="238"/>
      <c r="D3819" s="239"/>
      <c r="E3819" s="239"/>
      <c r="F3819" s="240"/>
      <c r="G3819" s="241"/>
      <c r="H3819" s="238"/>
      <c r="I3819" s="238"/>
    </row>
    <row r="3820">
      <c r="A3820" s="238"/>
      <c r="B3820" s="238"/>
      <c r="C3820" s="238"/>
      <c r="D3820" s="239"/>
      <c r="E3820" s="239"/>
      <c r="F3820" s="240"/>
      <c r="G3820" s="241"/>
      <c r="H3820" s="238"/>
      <c r="I3820" s="238"/>
    </row>
    <row r="3821">
      <c r="A3821" s="238"/>
      <c r="B3821" s="238"/>
      <c r="C3821" s="238"/>
      <c r="D3821" s="239"/>
      <c r="E3821" s="239"/>
      <c r="F3821" s="240"/>
      <c r="G3821" s="241"/>
      <c r="H3821" s="238"/>
      <c r="I3821" s="238"/>
    </row>
    <row r="3822">
      <c r="A3822" s="238"/>
      <c r="B3822" s="238"/>
      <c r="C3822" s="238"/>
      <c r="D3822" s="239"/>
      <c r="E3822" s="239"/>
      <c r="F3822" s="240"/>
      <c r="G3822" s="241"/>
      <c r="H3822" s="238"/>
      <c r="I3822" s="238"/>
    </row>
    <row r="3823">
      <c r="A3823" s="238"/>
      <c r="B3823" s="238"/>
      <c r="C3823" s="238"/>
      <c r="D3823" s="239"/>
      <c r="E3823" s="239"/>
      <c r="F3823" s="240"/>
      <c r="G3823" s="241"/>
      <c r="H3823" s="238"/>
      <c r="I3823" s="238"/>
    </row>
    <row r="3824">
      <c r="A3824" s="238"/>
      <c r="B3824" s="238"/>
      <c r="C3824" s="238"/>
      <c r="D3824" s="239"/>
      <c r="E3824" s="239"/>
      <c r="F3824" s="240"/>
      <c r="G3824" s="241"/>
      <c r="H3824" s="238"/>
      <c r="I3824" s="238"/>
    </row>
    <row r="3825">
      <c r="A3825" s="238"/>
      <c r="B3825" s="238"/>
      <c r="C3825" s="238"/>
      <c r="D3825" s="239"/>
      <c r="E3825" s="239"/>
      <c r="F3825" s="240"/>
      <c r="G3825" s="241"/>
      <c r="H3825" s="238"/>
      <c r="I3825" s="238"/>
    </row>
    <row r="3826">
      <c r="A3826" s="238"/>
      <c r="B3826" s="238"/>
      <c r="C3826" s="238"/>
      <c r="D3826" s="239"/>
      <c r="E3826" s="239"/>
      <c r="F3826" s="240"/>
      <c r="G3826" s="241"/>
      <c r="H3826" s="238"/>
      <c r="I3826" s="238"/>
    </row>
    <row r="3827">
      <c r="A3827" s="238"/>
      <c r="B3827" s="238"/>
      <c r="C3827" s="238"/>
      <c r="D3827" s="239"/>
      <c r="E3827" s="239"/>
      <c r="F3827" s="240"/>
      <c r="G3827" s="241"/>
      <c r="H3827" s="238"/>
      <c r="I3827" s="238"/>
    </row>
    <row r="3828">
      <c r="A3828" s="238"/>
      <c r="B3828" s="238"/>
      <c r="C3828" s="238"/>
      <c r="D3828" s="239"/>
      <c r="E3828" s="239"/>
      <c r="F3828" s="240"/>
      <c r="G3828" s="241"/>
      <c r="H3828" s="238"/>
      <c r="I3828" s="238"/>
    </row>
    <row r="3829">
      <c r="A3829" s="238"/>
      <c r="B3829" s="238"/>
      <c r="C3829" s="238"/>
      <c r="D3829" s="239"/>
      <c r="E3829" s="239"/>
      <c r="F3829" s="240"/>
      <c r="G3829" s="241"/>
      <c r="H3829" s="238"/>
      <c r="I3829" s="238"/>
    </row>
    <row r="3830">
      <c r="A3830" s="238"/>
      <c r="B3830" s="238"/>
      <c r="C3830" s="238"/>
      <c r="D3830" s="239"/>
      <c r="E3830" s="239"/>
      <c r="F3830" s="240"/>
      <c r="G3830" s="241"/>
      <c r="H3830" s="238"/>
      <c r="I3830" s="238"/>
    </row>
    <row r="3831">
      <c r="A3831" s="238"/>
      <c r="B3831" s="238"/>
      <c r="C3831" s="238"/>
      <c r="D3831" s="239"/>
      <c r="E3831" s="239"/>
      <c r="F3831" s="240"/>
      <c r="G3831" s="241"/>
      <c r="H3831" s="238"/>
      <c r="I3831" s="238"/>
    </row>
    <row r="3832">
      <c r="A3832" s="238"/>
      <c r="B3832" s="238"/>
      <c r="C3832" s="238"/>
      <c r="D3832" s="239"/>
      <c r="E3832" s="239"/>
      <c r="F3832" s="240"/>
      <c r="G3832" s="241"/>
      <c r="H3832" s="238"/>
      <c r="I3832" s="238"/>
    </row>
    <row r="3833">
      <c r="A3833" s="238"/>
      <c r="B3833" s="238"/>
      <c r="C3833" s="238"/>
      <c r="D3833" s="239"/>
      <c r="E3833" s="239"/>
      <c r="F3833" s="240"/>
      <c r="G3833" s="241"/>
      <c r="H3833" s="238"/>
      <c r="I3833" s="238"/>
    </row>
    <row r="3834">
      <c r="A3834" s="238"/>
      <c r="B3834" s="238"/>
      <c r="C3834" s="238"/>
      <c r="D3834" s="239"/>
      <c r="E3834" s="239"/>
      <c r="F3834" s="240"/>
      <c r="G3834" s="241"/>
      <c r="H3834" s="238"/>
      <c r="I3834" s="238"/>
    </row>
    <row r="3835">
      <c r="A3835" s="238"/>
      <c r="B3835" s="238"/>
      <c r="C3835" s="238"/>
      <c r="D3835" s="239"/>
      <c r="E3835" s="239"/>
      <c r="F3835" s="240"/>
      <c r="G3835" s="241"/>
      <c r="H3835" s="238"/>
      <c r="I3835" s="238"/>
    </row>
    <row r="3836">
      <c r="A3836" s="238"/>
      <c r="B3836" s="238"/>
      <c r="C3836" s="238"/>
      <c r="D3836" s="239"/>
      <c r="E3836" s="239"/>
      <c r="F3836" s="240"/>
      <c r="G3836" s="241"/>
      <c r="H3836" s="238"/>
      <c r="I3836" s="238"/>
    </row>
    <row r="3837">
      <c r="A3837" s="238"/>
      <c r="B3837" s="238"/>
      <c r="C3837" s="238"/>
      <c r="D3837" s="239"/>
      <c r="E3837" s="239"/>
      <c r="F3837" s="240"/>
      <c r="G3837" s="241"/>
      <c r="H3837" s="238"/>
      <c r="I3837" s="238"/>
    </row>
    <row r="3838">
      <c r="A3838" s="238"/>
      <c r="B3838" s="238"/>
      <c r="C3838" s="238"/>
      <c r="D3838" s="239"/>
      <c r="E3838" s="239"/>
      <c r="F3838" s="240"/>
      <c r="G3838" s="241"/>
      <c r="H3838" s="238"/>
      <c r="I3838" s="238"/>
    </row>
    <row r="3839">
      <c r="A3839" s="238"/>
      <c r="B3839" s="238"/>
      <c r="C3839" s="238"/>
      <c r="D3839" s="239"/>
      <c r="E3839" s="239"/>
      <c r="F3839" s="240"/>
      <c r="G3839" s="241"/>
      <c r="H3839" s="238"/>
      <c r="I3839" s="238"/>
    </row>
    <row r="3840">
      <c r="A3840" s="238"/>
      <c r="B3840" s="238"/>
      <c r="C3840" s="238"/>
      <c r="D3840" s="239"/>
      <c r="E3840" s="239"/>
      <c r="F3840" s="240"/>
      <c r="G3840" s="241"/>
      <c r="H3840" s="238"/>
      <c r="I3840" s="238"/>
    </row>
    <row r="3841">
      <c r="A3841" s="238"/>
      <c r="B3841" s="238"/>
      <c r="C3841" s="238"/>
      <c r="D3841" s="239"/>
      <c r="E3841" s="239"/>
      <c r="F3841" s="240"/>
      <c r="G3841" s="241"/>
      <c r="H3841" s="238"/>
      <c r="I3841" s="238"/>
    </row>
    <row r="3842">
      <c r="A3842" s="238"/>
      <c r="B3842" s="238"/>
      <c r="C3842" s="238"/>
      <c r="D3842" s="239"/>
      <c r="E3842" s="239"/>
      <c r="F3842" s="240"/>
      <c r="G3842" s="241"/>
      <c r="H3842" s="238"/>
      <c r="I3842" s="238"/>
    </row>
    <row r="3843">
      <c r="A3843" s="238"/>
      <c r="B3843" s="238"/>
      <c r="C3843" s="238"/>
      <c r="D3843" s="239"/>
      <c r="E3843" s="239"/>
      <c r="F3843" s="240"/>
      <c r="G3843" s="241"/>
      <c r="H3843" s="238"/>
      <c r="I3843" s="238"/>
    </row>
    <row r="3844">
      <c r="A3844" s="238"/>
      <c r="B3844" s="238"/>
      <c r="C3844" s="238"/>
      <c r="D3844" s="239"/>
      <c r="E3844" s="239"/>
      <c r="F3844" s="240"/>
      <c r="G3844" s="241"/>
      <c r="H3844" s="238"/>
      <c r="I3844" s="238"/>
    </row>
    <row r="3845">
      <c r="A3845" s="238"/>
      <c r="B3845" s="238"/>
      <c r="C3845" s="238"/>
      <c r="D3845" s="239"/>
      <c r="E3845" s="239"/>
      <c r="F3845" s="240"/>
      <c r="G3845" s="241"/>
      <c r="H3845" s="238"/>
      <c r="I3845" s="238"/>
    </row>
    <row r="3846">
      <c r="A3846" s="238"/>
      <c r="B3846" s="238"/>
      <c r="C3846" s="238"/>
      <c r="D3846" s="239"/>
      <c r="E3846" s="239"/>
      <c r="F3846" s="240"/>
      <c r="G3846" s="241"/>
      <c r="H3846" s="238"/>
      <c r="I3846" s="238"/>
    </row>
    <row r="3847">
      <c r="A3847" s="238"/>
      <c r="B3847" s="238"/>
      <c r="C3847" s="238"/>
      <c r="D3847" s="239"/>
      <c r="E3847" s="239"/>
      <c r="F3847" s="240"/>
      <c r="G3847" s="241"/>
      <c r="H3847" s="238"/>
      <c r="I3847" s="238"/>
    </row>
    <row r="3848">
      <c r="A3848" s="238"/>
      <c r="B3848" s="238"/>
      <c r="C3848" s="238"/>
      <c r="D3848" s="239"/>
      <c r="E3848" s="239"/>
      <c r="F3848" s="240"/>
      <c r="G3848" s="241"/>
      <c r="H3848" s="238"/>
      <c r="I3848" s="238"/>
    </row>
    <row r="3849">
      <c r="A3849" s="238"/>
      <c r="B3849" s="238"/>
      <c r="C3849" s="238"/>
      <c r="D3849" s="239"/>
      <c r="E3849" s="239"/>
      <c r="F3849" s="240"/>
      <c r="G3849" s="241"/>
      <c r="H3849" s="238"/>
      <c r="I3849" s="238"/>
    </row>
    <row r="3850">
      <c r="A3850" s="238"/>
      <c r="B3850" s="238"/>
      <c r="C3850" s="238"/>
      <c r="D3850" s="239"/>
      <c r="E3850" s="239"/>
      <c r="F3850" s="240"/>
      <c r="G3850" s="241"/>
      <c r="H3850" s="238"/>
      <c r="I3850" s="238"/>
    </row>
    <row r="3851">
      <c r="A3851" s="238"/>
      <c r="B3851" s="238"/>
      <c r="C3851" s="238"/>
      <c r="D3851" s="239"/>
      <c r="E3851" s="239"/>
      <c r="F3851" s="240"/>
      <c r="G3851" s="241"/>
      <c r="H3851" s="238"/>
      <c r="I3851" s="238"/>
    </row>
    <row r="3852">
      <c r="A3852" s="238"/>
      <c r="B3852" s="238"/>
      <c r="C3852" s="238"/>
      <c r="D3852" s="239"/>
      <c r="E3852" s="239"/>
      <c r="F3852" s="240"/>
      <c r="G3852" s="241"/>
      <c r="H3852" s="238"/>
      <c r="I3852" s="238"/>
    </row>
    <row r="3853">
      <c r="A3853" s="238"/>
      <c r="B3853" s="238"/>
      <c r="C3853" s="238"/>
      <c r="D3853" s="239"/>
      <c r="E3853" s="239"/>
      <c r="F3853" s="240"/>
      <c r="G3853" s="241"/>
      <c r="H3853" s="238"/>
      <c r="I3853" s="238"/>
    </row>
    <row r="3854">
      <c r="A3854" s="238"/>
      <c r="B3854" s="238"/>
      <c r="C3854" s="238"/>
      <c r="D3854" s="239"/>
      <c r="E3854" s="239"/>
      <c r="F3854" s="240"/>
      <c r="G3854" s="241"/>
      <c r="H3854" s="238"/>
      <c r="I3854" s="238"/>
    </row>
    <row r="3855">
      <c r="A3855" s="238"/>
      <c r="B3855" s="238"/>
      <c r="C3855" s="238"/>
      <c r="D3855" s="239"/>
      <c r="E3855" s="239"/>
      <c r="F3855" s="240"/>
      <c r="G3855" s="241"/>
      <c r="H3855" s="238"/>
      <c r="I3855" s="238"/>
    </row>
    <row r="3856">
      <c r="A3856" s="238"/>
      <c r="B3856" s="238"/>
      <c r="C3856" s="238"/>
      <c r="D3856" s="239"/>
      <c r="E3856" s="239"/>
      <c r="F3856" s="240"/>
      <c r="G3856" s="241"/>
      <c r="H3856" s="238"/>
      <c r="I3856" s="238"/>
    </row>
    <row r="3857">
      <c r="A3857" s="238"/>
      <c r="B3857" s="238"/>
      <c r="C3857" s="238"/>
      <c r="D3857" s="239"/>
      <c r="E3857" s="239"/>
      <c r="F3857" s="240"/>
      <c r="G3857" s="241"/>
      <c r="H3857" s="238"/>
      <c r="I3857" s="238"/>
    </row>
    <row r="3858">
      <c r="A3858" s="238"/>
      <c r="B3858" s="238"/>
      <c r="C3858" s="238"/>
      <c r="D3858" s="239"/>
      <c r="E3858" s="239"/>
      <c r="F3858" s="240"/>
      <c r="G3858" s="241"/>
      <c r="H3858" s="238"/>
      <c r="I3858" s="238"/>
    </row>
    <row r="3859">
      <c r="A3859" s="238"/>
      <c r="B3859" s="238"/>
      <c r="C3859" s="238"/>
      <c r="D3859" s="239"/>
      <c r="E3859" s="239"/>
      <c r="F3859" s="240"/>
      <c r="G3859" s="241"/>
      <c r="H3859" s="238"/>
      <c r="I3859" s="238"/>
    </row>
    <row r="3860">
      <c r="A3860" s="238"/>
      <c r="B3860" s="238"/>
      <c r="C3860" s="238"/>
      <c r="D3860" s="239"/>
      <c r="E3860" s="239"/>
      <c r="F3860" s="240"/>
      <c r="G3860" s="241"/>
      <c r="H3860" s="238"/>
      <c r="I3860" s="238"/>
    </row>
    <row r="3861">
      <c r="A3861" s="238"/>
      <c r="B3861" s="238"/>
      <c r="C3861" s="238"/>
      <c r="D3861" s="239"/>
      <c r="E3861" s="239"/>
      <c r="F3861" s="240"/>
      <c r="G3861" s="241"/>
      <c r="H3861" s="238"/>
      <c r="I3861" s="238"/>
    </row>
    <row r="3862">
      <c r="A3862" s="238"/>
      <c r="B3862" s="238"/>
      <c r="C3862" s="238"/>
      <c r="D3862" s="239"/>
      <c r="E3862" s="239"/>
      <c r="F3862" s="240"/>
      <c r="G3862" s="241"/>
      <c r="H3862" s="238"/>
      <c r="I3862" s="238"/>
    </row>
    <row r="3863">
      <c r="A3863" s="238"/>
      <c r="B3863" s="238"/>
      <c r="C3863" s="238"/>
      <c r="D3863" s="239"/>
      <c r="E3863" s="239"/>
      <c r="F3863" s="240"/>
      <c r="G3863" s="241"/>
      <c r="H3863" s="238"/>
      <c r="I3863" s="238"/>
    </row>
    <row r="3864">
      <c r="A3864" s="238"/>
      <c r="B3864" s="238"/>
      <c r="C3864" s="238"/>
      <c r="D3864" s="239"/>
      <c r="E3864" s="239"/>
      <c r="F3864" s="240"/>
      <c r="G3864" s="241"/>
      <c r="H3864" s="238"/>
      <c r="I3864" s="238"/>
    </row>
    <row r="3865">
      <c r="A3865" s="238"/>
      <c r="B3865" s="238"/>
      <c r="C3865" s="238"/>
      <c r="D3865" s="239"/>
      <c r="E3865" s="239"/>
      <c r="F3865" s="240"/>
      <c r="G3865" s="241"/>
      <c r="H3865" s="238"/>
      <c r="I3865" s="238"/>
    </row>
    <row r="3866">
      <c r="A3866" s="238"/>
      <c r="B3866" s="238"/>
      <c r="C3866" s="238"/>
      <c r="D3866" s="239"/>
      <c r="E3866" s="239"/>
      <c r="F3866" s="240"/>
      <c r="G3866" s="241"/>
      <c r="H3866" s="238"/>
      <c r="I3866" s="238"/>
    </row>
    <row r="3867">
      <c r="A3867" s="238"/>
      <c r="B3867" s="238"/>
      <c r="C3867" s="238"/>
      <c r="D3867" s="239"/>
      <c r="E3867" s="239"/>
      <c r="F3867" s="240"/>
      <c r="G3867" s="241"/>
      <c r="H3867" s="238"/>
      <c r="I3867" s="238"/>
    </row>
    <row r="3868">
      <c r="A3868" s="238"/>
      <c r="B3868" s="238"/>
      <c r="C3868" s="238"/>
      <c r="D3868" s="239"/>
      <c r="E3868" s="239"/>
      <c r="F3868" s="240"/>
      <c r="G3868" s="241"/>
      <c r="H3868" s="238"/>
      <c r="I3868" s="238"/>
    </row>
    <row r="3869">
      <c r="A3869" s="238"/>
      <c r="B3869" s="238"/>
      <c r="C3869" s="238"/>
      <c r="D3869" s="239"/>
      <c r="E3869" s="239"/>
      <c r="F3869" s="240"/>
      <c r="G3869" s="241"/>
      <c r="H3869" s="238"/>
      <c r="I3869" s="238"/>
    </row>
    <row r="3870">
      <c r="A3870" s="238"/>
      <c r="B3870" s="238"/>
      <c r="C3870" s="238"/>
      <c r="D3870" s="239"/>
      <c r="E3870" s="239"/>
      <c r="F3870" s="240"/>
      <c r="G3870" s="241"/>
      <c r="H3870" s="238"/>
      <c r="I3870" s="238"/>
    </row>
    <row r="3871">
      <c r="A3871" s="238"/>
      <c r="B3871" s="238"/>
      <c r="C3871" s="238"/>
      <c r="D3871" s="239"/>
      <c r="E3871" s="239"/>
      <c r="F3871" s="240"/>
      <c r="G3871" s="241"/>
      <c r="H3871" s="238"/>
      <c r="I3871" s="238"/>
    </row>
    <row r="3872">
      <c r="A3872" s="238"/>
      <c r="B3872" s="238"/>
      <c r="C3872" s="238"/>
      <c r="D3872" s="239"/>
      <c r="E3872" s="239"/>
      <c r="F3872" s="240"/>
      <c r="G3872" s="241"/>
      <c r="H3872" s="238"/>
      <c r="I3872" s="238"/>
    </row>
    <row r="3873">
      <c r="A3873" s="238"/>
      <c r="B3873" s="238"/>
      <c r="C3873" s="238"/>
      <c r="D3873" s="239"/>
      <c r="E3873" s="239"/>
      <c r="F3873" s="240"/>
      <c r="G3873" s="241"/>
      <c r="H3873" s="238"/>
      <c r="I3873" s="238"/>
    </row>
    <row r="3874">
      <c r="A3874" s="238"/>
      <c r="B3874" s="238"/>
      <c r="C3874" s="238"/>
      <c r="D3874" s="239"/>
      <c r="E3874" s="239"/>
      <c r="F3874" s="240"/>
      <c r="G3874" s="241"/>
      <c r="H3874" s="238"/>
      <c r="I3874" s="238"/>
    </row>
    <row r="3875">
      <c r="A3875" s="238"/>
      <c r="B3875" s="238"/>
      <c r="C3875" s="238"/>
      <c r="D3875" s="239"/>
      <c r="E3875" s="239"/>
      <c r="F3875" s="240"/>
      <c r="G3875" s="241"/>
      <c r="H3875" s="238"/>
      <c r="I3875" s="238"/>
    </row>
    <row r="3876">
      <c r="A3876" s="238"/>
      <c r="B3876" s="238"/>
      <c r="C3876" s="238"/>
      <c r="D3876" s="239"/>
      <c r="E3876" s="239"/>
      <c r="F3876" s="240"/>
      <c r="G3876" s="241"/>
      <c r="H3876" s="238"/>
      <c r="I3876" s="238"/>
    </row>
    <row r="3877">
      <c r="A3877" s="238"/>
      <c r="B3877" s="238"/>
      <c r="C3877" s="238"/>
      <c r="D3877" s="239"/>
      <c r="E3877" s="239"/>
      <c r="F3877" s="240"/>
      <c r="G3877" s="241"/>
      <c r="H3877" s="238"/>
      <c r="I3877" s="238"/>
    </row>
    <row r="3878">
      <c r="A3878" s="238"/>
      <c r="B3878" s="238"/>
      <c r="C3878" s="238"/>
      <c r="D3878" s="239"/>
      <c r="E3878" s="239"/>
      <c r="F3878" s="240"/>
      <c r="G3878" s="241"/>
      <c r="H3878" s="238"/>
      <c r="I3878" s="238"/>
    </row>
    <row r="3879">
      <c r="A3879" s="238"/>
      <c r="B3879" s="238"/>
      <c r="C3879" s="238"/>
      <c r="D3879" s="239"/>
      <c r="E3879" s="239"/>
      <c r="F3879" s="240"/>
      <c r="G3879" s="241"/>
      <c r="H3879" s="238"/>
      <c r="I3879" s="238"/>
    </row>
    <row r="3880">
      <c r="A3880" s="238"/>
      <c r="B3880" s="238"/>
      <c r="C3880" s="238"/>
      <c r="D3880" s="239"/>
      <c r="E3880" s="239"/>
      <c r="F3880" s="240"/>
      <c r="G3880" s="241"/>
      <c r="H3880" s="238"/>
      <c r="I3880" s="238"/>
    </row>
    <row r="3881">
      <c r="A3881" s="238"/>
      <c r="B3881" s="238"/>
      <c r="C3881" s="238"/>
      <c r="D3881" s="239"/>
      <c r="E3881" s="239"/>
      <c r="F3881" s="240"/>
      <c r="G3881" s="241"/>
      <c r="H3881" s="238"/>
      <c r="I3881" s="238"/>
    </row>
    <row r="3882">
      <c r="A3882" s="238"/>
      <c r="B3882" s="238"/>
      <c r="C3882" s="238"/>
      <c r="D3882" s="239"/>
      <c r="E3882" s="239"/>
      <c r="F3882" s="240"/>
      <c r="G3882" s="241"/>
      <c r="H3882" s="238"/>
      <c r="I3882" s="238"/>
    </row>
    <row r="3883">
      <c r="A3883" s="238"/>
      <c r="B3883" s="238"/>
      <c r="C3883" s="238"/>
      <c r="D3883" s="239"/>
      <c r="E3883" s="239"/>
      <c r="F3883" s="240"/>
      <c r="G3883" s="241"/>
      <c r="H3883" s="238"/>
      <c r="I3883" s="238"/>
    </row>
    <row r="3884">
      <c r="A3884" s="238"/>
      <c r="B3884" s="238"/>
      <c r="C3884" s="238"/>
      <c r="D3884" s="239"/>
      <c r="E3884" s="239"/>
      <c r="F3884" s="240"/>
      <c r="G3884" s="241"/>
      <c r="H3884" s="238"/>
      <c r="I3884" s="238"/>
    </row>
    <row r="3885">
      <c r="A3885" s="238"/>
      <c r="B3885" s="238"/>
      <c r="C3885" s="238"/>
      <c r="D3885" s="239"/>
      <c r="E3885" s="239"/>
      <c r="F3885" s="240"/>
      <c r="G3885" s="241"/>
      <c r="H3885" s="238"/>
      <c r="I3885" s="238"/>
    </row>
    <row r="3886">
      <c r="A3886" s="238"/>
      <c r="B3886" s="238"/>
      <c r="C3886" s="238"/>
      <c r="D3886" s="239"/>
      <c r="E3886" s="239"/>
      <c r="F3886" s="240"/>
      <c r="G3886" s="241"/>
      <c r="H3886" s="238"/>
      <c r="I3886" s="238"/>
    </row>
    <row r="3887">
      <c r="A3887" s="238"/>
      <c r="B3887" s="238"/>
      <c r="C3887" s="238"/>
      <c r="D3887" s="239"/>
      <c r="E3887" s="239"/>
      <c r="F3887" s="240"/>
      <c r="G3887" s="241"/>
      <c r="H3887" s="238"/>
      <c r="I3887" s="238"/>
    </row>
    <row r="3888">
      <c r="A3888" s="238"/>
      <c r="B3888" s="238"/>
      <c r="C3888" s="238"/>
      <c r="D3888" s="239"/>
      <c r="E3888" s="239"/>
      <c r="F3888" s="240"/>
      <c r="G3888" s="241"/>
      <c r="H3888" s="238"/>
      <c r="I3888" s="238"/>
    </row>
    <row r="3889">
      <c r="A3889" s="238"/>
      <c r="B3889" s="238"/>
      <c r="C3889" s="238"/>
      <c r="D3889" s="239"/>
      <c r="E3889" s="239"/>
      <c r="F3889" s="240"/>
      <c r="G3889" s="241"/>
      <c r="H3889" s="238"/>
      <c r="I3889" s="238"/>
    </row>
    <row r="3890">
      <c r="A3890" s="238"/>
      <c r="B3890" s="238"/>
      <c r="C3890" s="238"/>
      <c r="D3890" s="239"/>
      <c r="E3890" s="239"/>
      <c r="F3890" s="240"/>
      <c r="G3890" s="241"/>
      <c r="H3890" s="238"/>
      <c r="I3890" s="238"/>
    </row>
    <row r="3891">
      <c r="A3891" s="238"/>
      <c r="B3891" s="238"/>
      <c r="C3891" s="238"/>
      <c r="D3891" s="239"/>
      <c r="E3891" s="239"/>
      <c r="F3891" s="240"/>
      <c r="G3891" s="241"/>
      <c r="H3891" s="238"/>
      <c r="I3891" s="238"/>
    </row>
    <row r="3892">
      <c r="A3892" s="238"/>
      <c r="B3892" s="238"/>
      <c r="C3892" s="238"/>
      <c r="D3892" s="239"/>
      <c r="E3892" s="239"/>
      <c r="F3892" s="240"/>
      <c r="G3892" s="241"/>
      <c r="H3892" s="238"/>
      <c r="I3892" s="238"/>
    </row>
    <row r="3893">
      <c r="A3893" s="238"/>
      <c r="B3893" s="238"/>
      <c r="C3893" s="238"/>
      <c r="D3893" s="239"/>
      <c r="E3893" s="239"/>
      <c r="F3893" s="240"/>
      <c r="G3893" s="241"/>
      <c r="H3893" s="238"/>
      <c r="I3893" s="238"/>
    </row>
    <row r="3894">
      <c r="A3894" s="238"/>
      <c r="B3894" s="238"/>
      <c r="C3894" s="238"/>
      <c r="D3894" s="239"/>
      <c r="E3894" s="239"/>
      <c r="F3894" s="240"/>
      <c r="G3894" s="241"/>
      <c r="H3894" s="238"/>
      <c r="I3894" s="238"/>
    </row>
    <row r="3895">
      <c r="A3895" s="238"/>
      <c r="B3895" s="238"/>
      <c r="C3895" s="238"/>
      <c r="D3895" s="239"/>
      <c r="E3895" s="239"/>
      <c r="F3895" s="240"/>
      <c r="G3895" s="241"/>
      <c r="H3895" s="238"/>
      <c r="I3895" s="238"/>
    </row>
    <row r="3896">
      <c r="A3896" s="238"/>
      <c r="B3896" s="238"/>
      <c r="C3896" s="238"/>
      <c r="D3896" s="239"/>
      <c r="E3896" s="239"/>
      <c r="F3896" s="240"/>
      <c r="G3896" s="241"/>
      <c r="H3896" s="238"/>
      <c r="I3896" s="238"/>
    </row>
    <row r="3897">
      <c r="A3897" s="238"/>
      <c r="B3897" s="238"/>
      <c r="C3897" s="238"/>
      <c r="D3897" s="239"/>
      <c r="E3897" s="239"/>
      <c r="F3897" s="240"/>
      <c r="G3897" s="241"/>
      <c r="H3897" s="238"/>
      <c r="I3897" s="238"/>
    </row>
    <row r="3898">
      <c r="A3898" s="238"/>
      <c r="B3898" s="238"/>
      <c r="C3898" s="238"/>
      <c r="D3898" s="239"/>
      <c r="E3898" s="239"/>
      <c r="F3898" s="240"/>
      <c r="G3898" s="241"/>
      <c r="H3898" s="238"/>
      <c r="I3898" s="238"/>
    </row>
    <row r="3899">
      <c r="A3899" s="238"/>
      <c r="B3899" s="238"/>
      <c r="C3899" s="238"/>
      <c r="D3899" s="239"/>
      <c r="E3899" s="239"/>
      <c r="F3899" s="240"/>
      <c r="G3899" s="241"/>
      <c r="H3899" s="238"/>
      <c r="I3899" s="238"/>
    </row>
    <row r="3900">
      <c r="A3900" s="238"/>
      <c r="B3900" s="238"/>
      <c r="C3900" s="238"/>
      <c r="D3900" s="239"/>
      <c r="E3900" s="239"/>
      <c r="F3900" s="240"/>
      <c r="G3900" s="241"/>
      <c r="H3900" s="238"/>
      <c r="I3900" s="238"/>
    </row>
    <row r="3901">
      <c r="A3901" s="238"/>
      <c r="B3901" s="238"/>
      <c r="C3901" s="238"/>
      <c r="D3901" s="239"/>
      <c r="E3901" s="239"/>
      <c r="F3901" s="240"/>
      <c r="G3901" s="241"/>
      <c r="H3901" s="238"/>
      <c r="I3901" s="238"/>
    </row>
    <row r="3902">
      <c r="A3902" s="238"/>
      <c r="B3902" s="238"/>
      <c r="C3902" s="238"/>
      <c r="D3902" s="239"/>
      <c r="E3902" s="239"/>
      <c r="F3902" s="240"/>
      <c r="G3902" s="241"/>
      <c r="H3902" s="238"/>
      <c r="I3902" s="238"/>
    </row>
    <row r="3903">
      <c r="A3903" s="238"/>
      <c r="B3903" s="238"/>
      <c r="C3903" s="238"/>
      <c r="D3903" s="239"/>
      <c r="E3903" s="239"/>
      <c r="F3903" s="240"/>
      <c r="G3903" s="241"/>
      <c r="H3903" s="238"/>
      <c r="I3903" s="238"/>
    </row>
    <row r="3904">
      <c r="A3904" s="238"/>
      <c r="B3904" s="238"/>
      <c r="C3904" s="238"/>
      <c r="D3904" s="239"/>
      <c r="E3904" s="239"/>
      <c r="F3904" s="240"/>
      <c r="G3904" s="241"/>
      <c r="H3904" s="238"/>
      <c r="I3904" s="238"/>
    </row>
    <row r="3905">
      <c r="A3905" s="238"/>
      <c r="B3905" s="238"/>
      <c r="C3905" s="238"/>
      <c r="D3905" s="239"/>
      <c r="E3905" s="239"/>
      <c r="F3905" s="240"/>
      <c r="G3905" s="241"/>
      <c r="H3905" s="238"/>
      <c r="I3905" s="238"/>
    </row>
    <row r="3906">
      <c r="A3906" s="238"/>
      <c r="B3906" s="238"/>
      <c r="C3906" s="238"/>
      <c r="D3906" s="239"/>
      <c r="E3906" s="239"/>
      <c r="F3906" s="240"/>
      <c r="G3906" s="241"/>
      <c r="H3906" s="238"/>
      <c r="I3906" s="238"/>
    </row>
    <row r="3907">
      <c r="A3907" s="238"/>
      <c r="B3907" s="238"/>
      <c r="C3907" s="238"/>
      <c r="D3907" s="239"/>
      <c r="E3907" s="239"/>
      <c r="F3907" s="240"/>
      <c r="G3907" s="241"/>
      <c r="H3907" s="238"/>
      <c r="I3907" s="238"/>
    </row>
    <row r="3908">
      <c r="A3908" s="238"/>
      <c r="B3908" s="238"/>
      <c r="C3908" s="238"/>
      <c r="D3908" s="239"/>
      <c r="E3908" s="239"/>
      <c r="F3908" s="240"/>
      <c r="G3908" s="241"/>
      <c r="H3908" s="238"/>
      <c r="I3908" s="238"/>
    </row>
    <row r="3909">
      <c r="A3909" s="238"/>
      <c r="B3909" s="238"/>
      <c r="C3909" s="238"/>
      <c r="D3909" s="239"/>
      <c r="E3909" s="239"/>
      <c r="F3909" s="240"/>
      <c r="G3909" s="241"/>
      <c r="H3909" s="238"/>
      <c r="I3909" s="238"/>
    </row>
    <row r="3910">
      <c r="A3910" s="238"/>
      <c r="B3910" s="238"/>
      <c r="C3910" s="238"/>
      <c r="D3910" s="239"/>
      <c r="E3910" s="239"/>
      <c r="F3910" s="240"/>
      <c r="G3910" s="241"/>
      <c r="H3910" s="238"/>
      <c r="I3910" s="238"/>
    </row>
    <row r="3911">
      <c r="A3911" s="238"/>
      <c r="B3911" s="238"/>
      <c r="C3911" s="238"/>
      <c r="D3911" s="239"/>
      <c r="E3911" s="239"/>
      <c r="F3911" s="240"/>
      <c r="G3911" s="241"/>
      <c r="H3911" s="238"/>
      <c r="I3911" s="238"/>
    </row>
    <row r="3912">
      <c r="A3912" s="238"/>
      <c r="B3912" s="238"/>
      <c r="C3912" s="238"/>
      <c r="D3912" s="239"/>
      <c r="E3912" s="239"/>
      <c r="F3912" s="240"/>
      <c r="G3912" s="241"/>
      <c r="H3912" s="238"/>
      <c r="I3912" s="238"/>
    </row>
    <row r="3913">
      <c r="A3913" s="238"/>
      <c r="B3913" s="238"/>
      <c r="C3913" s="238"/>
      <c r="D3913" s="239"/>
      <c r="E3913" s="239"/>
      <c r="F3913" s="240"/>
      <c r="G3913" s="241"/>
      <c r="H3913" s="238"/>
      <c r="I3913" s="238"/>
    </row>
    <row r="3914">
      <c r="A3914" s="238"/>
      <c r="B3914" s="238"/>
      <c r="C3914" s="238"/>
      <c r="D3914" s="239"/>
      <c r="E3914" s="239"/>
      <c r="F3914" s="240"/>
      <c r="G3914" s="241"/>
      <c r="H3914" s="238"/>
      <c r="I3914" s="238"/>
    </row>
    <row r="3915">
      <c r="A3915" s="238"/>
      <c r="B3915" s="238"/>
      <c r="C3915" s="238"/>
      <c r="D3915" s="239"/>
      <c r="E3915" s="239"/>
      <c r="F3915" s="240"/>
      <c r="G3915" s="241"/>
      <c r="H3915" s="238"/>
      <c r="I3915" s="238"/>
    </row>
    <row r="3916">
      <c r="A3916" s="238"/>
      <c r="B3916" s="238"/>
      <c r="C3916" s="238"/>
      <c r="D3916" s="239"/>
      <c r="E3916" s="239"/>
      <c r="F3916" s="240"/>
      <c r="G3916" s="241"/>
      <c r="H3916" s="238"/>
      <c r="I3916" s="238"/>
    </row>
    <row r="3917">
      <c r="A3917" s="238"/>
      <c r="B3917" s="238"/>
      <c r="C3917" s="238"/>
      <c r="D3917" s="239"/>
      <c r="E3917" s="239"/>
      <c r="F3917" s="240"/>
      <c r="G3917" s="241"/>
      <c r="H3917" s="238"/>
      <c r="I3917" s="238"/>
    </row>
    <row r="3918">
      <c r="A3918" s="238"/>
      <c r="B3918" s="238"/>
      <c r="C3918" s="238"/>
      <c r="D3918" s="239"/>
      <c r="E3918" s="239"/>
      <c r="F3918" s="240"/>
      <c r="G3918" s="241"/>
      <c r="H3918" s="238"/>
      <c r="I3918" s="238"/>
    </row>
    <row r="3919">
      <c r="A3919" s="238"/>
      <c r="B3919" s="238"/>
      <c r="C3919" s="238"/>
      <c r="D3919" s="239"/>
      <c r="E3919" s="239"/>
      <c r="F3919" s="240"/>
      <c r="G3919" s="241"/>
      <c r="H3919" s="238"/>
      <c r="I3919" s="238"/>
    </row>
    <row r="3920">
      <c r="A3920" s="238"/>
      <c r="B3920" s="238"/>
      <c r="C3920" s="238"/>
      <c r="D3920" s="239"/>
      <c r="E3920" s="239"/>
      <c r="F3920" s="240"/>
      <c r="G3920" s="241"/>
      <c r="H3920" s="238"/>
      <c r="I3920" s="238"/>
    </row>
    <row r="3921">
      <c r="A3921" s="238"/>
      <c r="B3921" s="238"/>
      <c r="C3921" s="238"/>
      <c r="D3921" s="239"/>
      <c r="E3921" s="239"/>
      <c r="F3921" s="240"/>
      <c r="G3921" s="241"/>
      <c r="H3921" s="238"/>
      <c r="I3921" s="238"/>
    </row>
    <row r="3922">
      <c r="A3922" s="238"/>
      <c r="B3922" s="238"/>
      <c r="C3922" s="238"/>
      <c r="D3922" s="239"/>
      <c r="E3922" s="239"/>
      <c r="F3922" s="240"/>
      <c r="G3922" s="241"/>
      <c r="H3922" s="238"/>
      <c r="I3922" s="238"/>
    </row>
    <row r="3923">
      <c r="A3923" s="238"/>
      <c r="B3923" s="238"/>
      <c r="C3923" s="238"/>
      <c r="D3923" s="239"/>
      <c r="E3923" s="239"/>
      <c r="F3923" s="240"/>
      <c r="G3923" s="241"/>
      <c r="H3923" s="238"/>
      <c r="I3923" s="238"/>
    </row>
    <row r="3924">
      <c r="A3924" s="238"/>
      <c r="B3924" s="238"/>
      <c r="C3924" s="238"/>
      <c r="D3924" s="239"/>
      <c r="E3924" s="239"/>
      <c r="F3924" s="240"/>
      <c r="G3924" s="241"/>
      <c r="H3924" s="238"/>
      <c r="I3924" s="238"/>
    </row>
    <row r="3925">
      <c r="A3925" s="238"/>
      <c r="B3925" s="238"/>
      <c r="C3925" s="238"/>
      <c r="D3925" s="239"/>
      <c r="E3925" s="239"/>
      <c r="F3925" s="240"/>
      <c r="G3925" s="241"/>
      <c r="H3925" s="238"/>
      <c r="I3925" s="238"/>
    </row>
    <row r="3926">
      <c r="A3926" s="238"/>
      <c r="B3926" s="238"/>
      <c r="C3926" s="238"/>
      <c r="D3926" s="239"/>
      <c r="E3926" s="239"/>
      <c r="F3926" s="240"/>
      <c r="G3926" s="241"/>
      <c r="H3926" s="238"/>
      <c r="I3926" s="238"/>
    </row>
    <row r="3927">
      <c r="A3927" s="238"/>
      <c r="B3927" s="238"/>
      <c r="C3927" s="238"/>
      <c r="D3927" s="239"/>
      <c r="E3927" s="239"/>
      <c r="F3927" s="240"/>
      <c r="G3927" s="241"/>
      <c r="H3927" s="238"/>
      <c r="I3927" s="238"/>
    </row>
    <row r="3928">
      <c r="A3928" s="238"/>
      <c r="B3928" s="238"/>
      <c r="C3928" s="238"/>
      <c r="D3928" s="239"/>
      <c r="E3928" s="239"/>
      <c r="F3928" s="240"/>
      <c r="G3928" s="241"/>
      <c r="H3928" s="238"/>
      <c r="I3928" s="238"/>
    </row>
    <row r="3929">
      <c r="A3929" s="238"/>
      <c r="B3929" s="238"/>
      <c r="C3929" s="238"/>
      <c r="D3929" s="239"/>
      <c r="E3929" s="239"/>
      <c r="F3929" s="240"/>
      <c r="G3929" s="241"/>
      <c r="H3929" s="238"/>
      <c r="I3929" s="238"/>
    </row>
    <row r="3930">
      <c r="A3930" s="238"/>
      <c r="B3930" s="238"/>
      <c r="C3930" s="238"/>
      <c r="D3930" s="239"/>
      <c r="E3930" s="239"/>
      <c r="F3930" s="240"/>
      <c r="G3930" s="241"/>
      <c r="H3930" s="238"/>
      <c r="I3930" s="238"/>
    </row>
    <row r="3931">
      <c r="A3931" s="238"/>
      <c r="B3931" s="238"/>
      <c r="C3931" s="238"/>
      <c r="D3931" s="239"/>
      <c r="E3931" s="239"/>
      <c r="F3931" s="240"/>
      <c r="G3931" s="241"/>
      <c r="H3931" s="238"/>
      <c r="I3931" s="238"/>
    </row>
    <row r="3932">
      <c r="A3932" s="238"/>
      <c r="B3932" s="238"/>
      <c r="C3932" s="238"/>
      <c r="D3932" s="239"/>
      <c r="E3932" s="239"/>
      <c r="F3932" s="240"/>
      <c r="G3932" s="241"/>
      <c r="H3932" s="238"/>
      <c r="I3932" s="238"/>
    </row>
    <row r="3933">
      <c r="A3933" s="238"/>
      <c r="B3933" s="238"/>
      <c r="C3933" s="238"/>
      <c r="D3933" s="239"/>
      <c r="E3933" s="239"/>
      <c r="F3933" s="240"/>
      <c r="G3933" s="241"/>
      <c r="H3933" s="238"/>
      <c r="I3933" s="238"/>
    </row>
    <row r="3934">
      <c r="A3934" s="238"/>
      <c r="B3934" s="238"/>
      <c r="C3934" s="238"/>
      <c r="D3934" s="239"/>
      <c r="E3934" s="239"/>
      <c r="F3934" s="240"/>
      <c r="G3934" s="241"/>
      <c r="H3934" s="238"/>
      <c r="I3934" s="238"/>
    </row>
    <row r="3935">
      <c r="A3935" s="238"/>
      <c r="B3935" s="238"/>
      <c r="C3935" s="238"/>
      <c r="D3935" s="239"/>
      <c r="E3935" s="239"/>
      <c r="F3935" s="240"/>
      <c r="G3935" s="241"/>
      <c r="H3935" s="238"/>
      <c r="I3935" s="238"/>
    </row>
    <row r="3936">
      <c r="A3936" s="238"/>
      <c r="B3936" s="238"/>
      <c r="C3936" s="238"/>
      <c r="D3936" s="239"/>
      <c r="E3936" s="239"/>
      <c r="F3936" s="240"/>
      <c r="G3936" s="241"/>
      <c r="H3936" s="238"/>
      <c r="I3936" s="238"/>
    </row>
    <row r="3937">
      <c r="A3937" s="238"/>
      <c r="B3937" s="238"/>
      <c r="C3937" s="238"/>
      <c r="D3937" s="239"/>
      <c r="E3937" s="239"/>
      <c r="F3937" s="240"/>
      <c r="G3937" s="241"/>
      <c r="H3937" s="238"/>
      <c r="I3937" s="238"/>
    </row>
    <row r="3938">
      <c r="A3938" s="238"/>
      <c r="B3938" s="238"/>
      <c r="C3938" s="238"/>
      <c r="D3938" s="239"/>
      <c r="E3938" s="239"/>
      <c r="F3938" s="240"/>
      <c r="G3938" s="241"/>
      <c r="H3938" s="238"/>
      <c r="I3938" s="238"/>
    </row>
    <row r="3939">
      <c r="A3939" s="238"/>
      <c r="B3939" s="238"/>
      <c r="C3939" s="238"/>
      <c r="D3939" s="239"/>
      <c r="E3939" s="239"/>
      <c r="F3939" s="240"/>
      <c r="G3939" s="241"/>
      <c r="H3939" s="238"/>
      <c r="I3939" s="238"/>
    </row>
    <row r="3940">
      <c r="A3940" s="238"/>
      <c r="B3940" s="238"/>
      <c r="C3940" s="238"/>
      <c r="D3940" s="239"/>
      <c r="E3940" s="239"/>
      <c r="F3940" s="240"/>
      <c r="G3940" s="241"/>
      <c r="H3940" s="238"/>
      <c r="I3940" s="238"/>
    </row>
    <row r="3941">
      <c r="A3941" s="238"/>
      <c r="B3941" s="238"/>
      <c r="C3941" s="238"/>
      <c r="D3941" s="239"/>
      <c r="E3941" s="239"/>
      <c r="F3941" s="240"/>
      <c r="G3941" s="241"/>
      <c r="H3941" s="238"/>
      <c r="I3941" s="238"/>
    </row>
    <row r="3942">
      <c r="A3942" s="238"/>
      <c r="B3942" s="238"/>
      <c r="C3942" s="238"/>
      <c r="D3942" s="239"/>
      <c r="E3942" s="239"/>
      <c r="F3942" s="240"/>
      <c r="G3942" s="241"/>
      <c r="H3942" s="238"/>
      <c r="I3942" s="238"/>
    </row>
    <row r="3943">
      <c r="A3943" s="238"/>
      <c r="B3943" s="238"/>
      <c r="C3943" s="238"/>
      <c r="D3943" s="239"/>
      <c r="E3943" s="239"/>
      <c r="F3943" s="240"/>
      <c r="G3943" s="241"/>
      <c r="H3943" s="238"/>
      <c r="I3943" s="238"/>
    </row>
    <row r="3944">
      <c r="A3944" s="238"/>
      <c r="B3944" s="238"/>
      <c r="C3944" s="238"/>
      <c r="D3944" s="239"/>
      <c r="E3944" s="239"/>
      <c r="F3944" s="240"/>
      <c r="G3944" s="241"/>
      <c r="H3944" s="238"/>
      <c r="I3944" s="238"/>
    </row>
    <row r="3945">
      <c r="A3945" s="238"/>
      <c r="B3945" s="238"/>
      <c r="C3945" s="238"/>
      <c r="D3945" s="239"/>
      <c r="E3945" s="239"/>
      <c r="F3945" s="240"/>
      <c r="G3945" s="241"/>
      <c r="H3945" s="238"/>
      <c r="I3945" s="238"/>
    </row>
    <row r="3946">
      <c r="A3946" s="238"/>
      <c r="B3946" s="238"/>
      <c r="C3946" s="238"/>
      <c r="D3946" s="239"/>
      <c r="E3946" s="239"/>
      <c r="F3946" s="240"/>
      <c r="G3946" s="241"/>
      <c r="H3946" s="238"/>
      <c r="I3946" s="238"/>
    </row>
    <row r="3947">
      <c r="A3947" s="238"/>
      <c r="B3947" s="238"/>
      <c r="C3947" s="238"/>
      <c r="D3947" s="239"/>
      <c r="E3947" s="239"/>
      <c r="F3947" s="240"/>
      <c r="G3947" s="241"/>
      <c r="H3947" s="238"/>
      <c r="I3947" s="238"/>
    </row>
    <row r="3948">
      <c r="A3948" s="238"/>
      <c r="B3948" s="238"/>
      <c r="C3948" s="238"/>
      <c r="D3948" s="239"/>
      <c r="E3948" s="239"/>
      <c r="F3948" s="240"/>
      <c r="G3948" s="241"/>
      <c r="H3948" s="238"/>
      <c r="I3948" s="238"/>
    </row>
    <row r="3949">
      <c r="A3949" s="238"/>
      <c r="B3949" s="238"/>
      <c r="C3949" s="238"/>
      <c r="D3949" s="239"/>
      <c r="E3949" s="239"/>
      <c r="F3949" s="240"/>
      <c r="G3949" s="241"/>
      <c r="H3949" s="238"/>
      <c r="I3949" s="238"/>
    </row>
    <row r="3950">
      <c r="A3950" s="238"/>
      <c r="B3950" s="238"/>
      <c r="C3950" s="238"/>
      <c r="D3950" s="239"/>
      <c r="E3950" s="239"/>
      <c r="F3950" s="240"/>
      <c r="G3950" s="241"/>
      <c r="H3950" s="238"/>
      <c r="I3950" s="238"/>
    </row>
    <row r="3951">
      <c r="A3951" s="238"/>
      <c r="B3951" s="238"/>
      <c r="C3951" s="238"/>
      <c r="D3951" s="239"/>
      <c r="E3951" s="239"/>
      <c r="F3951" s="240"/>
      <c r="G3951" s="241"/>
      <c r="H3951" s="238"/>
      <c r="I3951" s="238"/>
    </row>
    <row r="3952">
      <c r="A3952" s="238"/>
      <c r="B3952" s="238"/>
      <c r="C3952" s="238"/>
      <c r="D3952" s="239"/>
      <c r="E3952" s="239"/>
      <c r="F3952" s="240"/>
      <c r="G3952" s="241"/>
      <c r="H3952" s="238"/>
      <c r="I3952" s="238"/>
    </row>
    <row r="3953">
      <c r="A3953" s="238"/>
      <c r="B3953" s="238"/>
      <c r="C3953" s="238"/>
      <c r="D3953" s="239"/>
      <c r="E3953" s="239"/>
      <c r="F3953" s="240"/>
      <c r="G3953" s="241"/>
      <c r="H3953" s="238"/>
      <c r="I3953" s="238"/>
    </row>
    <row r="3954">
      <c r="A3954" s="238"/>
      <c r="B3954" s="238"/>
      <c r="C3954" s="238"/>
      <c r="D3954" s="239"/>
      <c r="E3954" s="239"/>
      <c r="F3954" s="240"/>
      <c r="G3954" s="241"/>
      <c r="H3954" s="238"/>
      <c r="I3954" s="238"/>
    </row>
    <row r="3955">
      <c r="A3955" s="238"/>
      <c r="B3955" s="238"/>
      <c r="C3955" s="238"/>
      <c r="D3955" s="239"/>
      <c r="E3955" s="239"/>
      <c r="F3955" s="240"/>
      <c r="G3955" s="241"/>
      <c r="H3955" s="238"/>
      <c r="I3955" s="238"/>
    </row>
    <row r="3956">
      <c r="A3956" s="238"/>
      <c r="B3956" s="238"/>
      <c r="C3956" s="238"/>
      <c r="D3956" s="239"/>
      <c r="E3956" s="239"/>
      <c r="F3956" s="240"/>
      <c r="G3956" s="241"/>
      <c r="H3956" s="238"/>
      <c r="I3956" s="238"/>
    </row>
    <row r="3957">
      <c r="A3957" s="238"/>
      <c r="B3957" s="238"/>
      <c r="C3957" s="238"/>
      <c r="D3957" s="239"/>
      <c r="E3957" s="239"/>
      <c r="F3957" s="240"/>
      <c r="G3957" s="241"/>
      <c r="H3957" s="238"/>
      <c r="I3957" s="238"/>
    </row>
    <row r="3958">
      <c r="A3958" s="238"/>
      <c r="B3958" s="238"/>
      <c r="C3958" s="238"/>
      <c r="D3958" s="239"/>
      <c r="E3958" s="239"/>
      <c r="F3958" s="240"/>
      <c r="G3958" s="241"/>
      <c r="H3958" s="238"/>
      <c r="I3958" s="238"/>
    </row>
    <row r="3959">
      <c r="A3959" s="238"/>
      <c r="B3959" s="238"/>
      <c r="C3959" s="238"/>
      <c r="D3959" s="239"/>
      <c r="E3959" s="239"/>
      <c r="F3959" s="240"/>
      <c r="G3959" s="241"/>
      <c r="H3959" s="238"/>
      <c r="I3959" s="238"/>
    </row>
    <row r="3960">
      <c r="A3960" s="238"/>
      <c r="B3960" s="238"/>
      <c r="C3960" s="238"/>
      <c r="D3960" s="239"/>
      <c r="E3960" s="239"/>
      <c r="F3960" s="240"/>
      <c r="G3960" s="241"/>
      <c r="H3960" s="238"/>
      <c r="I3960" s="238"/>
    </row>
    <row r="3961">
      <c r="A3961" s="238"/>
      <c r="B3961" s="238"/>
      <c r="C3961" s="238"/>
      <c r="D3961" s="239"/>
      <c r="E3961" s="239"/>
      <c r="F3961" s="240"/>
      <c r="G3961" s="241"/>
      <c r="H3961" s="238"/>
      <c r="I3961" s="238"/>
    </row>
    <row r="3962">
      <c r="A3962" s="238"/>
      <c r="B3962" s="238"/>
      <c r="C3962" s="238"/>
      <c r="D3962" s="239"/>
      <c r="E3962" s="239"/>
      <c r="F3962" s="240"/>
      <c r="G3962" s="241"/>
      <c r="H3962" s="238"/>
      <c r="I3962" s="238"/>
    </row>
    <row r="3963">
      <c r="A3963" s="238"/>
      <c r="B3963" s="238"/>
      <c r="C3963" s="238"/>
      <c r="D3963" s="239"/>
      <c r="E3963" s="239"/>
      <c r="F3963" s="240"/>
      <c r="G3963" s="241"/>
      <c r="H3963" s="238"/>
      <c r="I3963" s="238"/>
    </row>
    <row r="3964">
      <c r="A3964" s="238"/>
      <c r="B3964" s="238"/>
      <c r="C3964" s="238"/>
      <c r="D3964" s="239"/>
      <c r="E3964" s="239"/>
      <c r="F3964" s="240"/>
      <c r="G3964" s="241"/>
      <c r="H3964" s="238"/>
      <c r="I3964" s="238"/>
    </row>
    <row r="3965">
      <c r="A3965" s="238"/>
      <c r="B3965" s="238"/>
      <c r="C3965" s="238"/>
      <c r="D3965" s="239"/>
      <c r="E3965" s="239"/>
      <c r="F3965" s="240"/>
      <c r="G3965" s="241"/>
      <c r="H3965" s="238"/>
      <c r="I3965" s="238"/>
    </row>
    <row r="3966">
      <c r="A3966" s="238"/>
      <c r="B3966" s="238"/>
      <c r="C3966" s="238"/>
      <c r="D3966" s="239"/>
      <c r="E3966" s="239"/>
      <c r="F3966" s="240"/>
      <c r="G3966" s="241"/>
      <c r="H3966" s="238"/>
      <c r="I3966" s="238"/>
    </row>
    <row r="3967">
      <c r="A3967" s="238"/>
      <c r="B3967" s="238"/>
      <c r="C3967" s="238"/>
      <c r="D3967" s="239"/>
      <c r="E3967" s="239"/>
      <c r="F3967" s="240"/>
      <c r="G3967" s="241"/>
      <c r="H3967" s="238"/>
      <c r="I3967" s="238"/>
    </row>
    <row r="3968">
      <c r="A3968" s="238"/>
      <c r="B3968" s="238"/>
      <c r="C3968" s="238"/>
      <c r="D3968" s="239"/>
      <c r="E3968" s="239"/>
      <c r="F3968" s="240"/>
      <c r="G3968" s="241"/>
      <c r="H3968" s="238"/>
      <c r="I3968" s="238"/>
    </row>
    <row r="3969">
      <c r="A3969" s="238"/>
      <c r="B3969" s="238"/>
      <c r="C3969" s="238"/>
      <c r="D3969" s="239"/>
      <c r="E3969" s="239"/>
      <c r="F3969" s="240"/>
      <c r="G3969" s="241"/>
      <c r="H3969" s="238"/>
      <c r="I3969" s="238"/>
    </row>
    <row r="3970">
      <c r="A3970" s="238"/>
      <c r="B3970" s="238"/>
      <c r="C3970" s="238"/>
      <c r="D3970" s="239"/>
      <c r="E3970" s="239"/>
      <c r="F3970" s="240"/>
      <c r="G3970" s="241"/>
      <c r="H3970" s="238"/>
      <c r="I3970" s="238"/>
    </row>
    <row r="3971">
      <c r="A3971" s="238"/>
      <c r="B3971" s="238"/>
      <c r="C3971" s="238"/>
      <c r="D3971" s="239"/>
      <c r="E3971" s="239"/>
      <c r="F3971" s="240"/>
      <c r="G3971" s="241"/>
      <c r="H3971" s="238"/>
      <c r="I3971" s="238"/>
    </row>
    <row r="3972">
      <c r="A3972" s="238"/>
      <c r="B3972" s="238"/>
      <c r="C3972" s="238"/>
      <c r="D3972" s="239"/>
      <c r="E3972" s="239"/>
      <c r="F3972" s="240"/>
      <c r="G3972" s="241"/>
      <c r="H3972" s="238"/>
      <c r="I3972" s="238"/>
    </row>
    <row r="3973">
      <c r="A3973" s="238"/>
      <c r="B3973" s="238"/>
      <c r="C3973" s="238"/>
      <c r="D3973" s="239"/>
      <c r="E3973" s="239"/>
      <c r="F3973" s="240"/>
      <c r="G3973" s="241"/>
      <c r="H3973" s="238"/>
      <c r="I3973" s="238"/>
    </row>
    <row r="3974">
      <c r="A3974" s="238"/>
      <c r="B3974" s="238"/>
      <c r="C3974" s="238"/>
      <c r="D3974" s="239"/>
      <c r="E3974" s="239"/>
      <c r="F3974" s="240"/>
      <c r="G3974" s="241"/>
      <c r="H3974" s="238"/>
      <c r="I3974" s="238"/>
    </row>
    <row r="3975">
      <c r="A3975" s="238"/>
      <c r="B3975" s="238"/>
      <c r="C3975" s="238"/>
      <c r="D3975" s="239"/>
      <c r="E3975" s="239"/>
      <c r="F3975" s="240"/>
      <c r="G3975" s="241"/>
      <c r="H3975" s="238"/>
      <c r="I3975" s="238"/>
    </row>
    <row r="3976">
      <c r="A3976" s="238"/>
      <c r="B3976" s="238"/>
      <c r="C3976" s="238"/>
      <c r="D3976" s="239"/>
      <c r="E3976" s="239"/>
      <c r="F3976" s="240"/>
      <c r="G3976" s="241"/>
      <c r="H3976" s="238"/>
      <c r="I3976" s="238"/>
    </row>
    <row r="3977">
      <c r="A3977" s="238"/>
      <c r="B3977" s="238"/>
      <c r="C3977" s="238"/>
      <c r="D3977" s="239"/>
      <c r="E3977" s="239"/>
      <c r="F3977" s="240"/>
      <c r="G3977" s="241"/>
      <c r="H3977" s="238"/>
      <c r="I3977" s="238"/>
    </row>
    <row r="3978">
      <c r="A3978" s="238"/>
      <c r="B3978" s="238"/>
      <c r="C3978" s="238"/>
      <c r="D3978" s="239"/>
      <c r="E3978" s="239"/>
      <c r="F3978" s="240"/>
      <c r="G3978" s="241"/>
      <c r="H3978" s="238"/>
      <c r="I3978" s="238"/>
    </row>
    <row r="3979">
      <c r="A3979" s="238"/>
      <c r="B3979" s="238"/>
      <c r="C3979" s="238"/>
      <c r="D3979" s="239"/>
      <c r="E3979" s="239"/>
      <c r="F3979" s="240"/>
      <c r="G3979" s="241"/>
      <c r="H3979" s="238"/>
      <c r="I3979" s="238"/>
    </row>
    <row r="3980">
      <c r="A3980" s="238"/>
      <c r="B3980" s="238"/>
      <c r="C3980" s="238"/>
      <c r="D3980" s="239"/>
      <c r="E3980" s="239"/>
      <c r="F3980" s="240"/>
      <c r="G3980" s="241"/>
      <c r="H3980" s="238"/>
      <c r="I3980" s="238"/>
    </row>
    <row r="3981">
      <c r="A3981" s="238"/>
      <c r="B3981" s="238"/>
      <c r="C3981" s="238"/>
      <c r="D3981" s="239"/>
      <c r="E3981" s="239"/>
      <c r="F3981" s="240"/>
      <c r="G3981" s="241"/>
      <c r="H3981" s="238"/>
      <c r="I3981" s="238"/>
    </row>
    <row r="3982">
      <c r="A3982" s="238"/>
      <c r="B3982" s="238"/>
      <c r="C3982" s="238"/>
      <c r="D3982" s="239"/>
      <c r="E3982" s="239"/>
      <c r="F3982" s="240"/>
      <c r="G3982" s="241"/>
      <c r="H3982" s="238"/>
      <c r="I3982" s="238"/>
    </row>
    <row r="3983">
      <c r="A3983" s="238"/>
      <c r="B3983" s="238"/>
      <c r="C3983" s="238"/>
      <c r="D3983" s="239"/>
      <c r="E3983" s="239"/>
      <c r="F3983" s="240"/>
      <c r="G3983" s="241"/>
      <c r="H3983" s="238"/>
      <c r="I3983" s="238"/>
    </row>
    <row r="3984">
      <c r="A3984" s="238"/>
      <c r="B3984" s="238"/>
      <c r="C3984" s="238"/>
      <c r="D3984" s="239"/>
      <c r="E3984" s="239"/>
      <c r="F3984" s="240"/>
      <c r="G3984" s="241"/>
      <c r="H3984" s="238"/>
      <c r="I3984" s="238"/>
    </row>
    <row r="3985">
      <c r="A3985" s="238"/>
      <c r="B3985" s="238"/>
      <c r="C3985" s="238"/>
      <c r="D3985" s="239"/>
      <c r="E3985" s="239"/>
      <c r="F3985" s="240"/>
      <c r="G3985" s="241"/>
      <c r="H3985" s="238"/>
      <c r="I3985" s="238"/>
    </row>
    <row r="3986">
      <c r="A3986" s="238"/>
      <c r="B3986" s="238"/>
      <c r="C3986" s="238"/>
      <c r="D3986" s="239"/>
      <c r="E3986" s="239"/>
      <c r="F3986" s="240"/>
      <c r="G3986" s="241"/>
      <c r="H3986" s="238"/>
      <c r="I3986" s="238"/>
    </row>
    <row r="3987">
      <c r="A3987" s="238"/>
      <c r="B3987" s="238"/>
      <c r="C3987" s="238"/>
      <c r="D3987" s="239"/>
      <c r="E3987" s="239"/>
      <c r="F3987" s="240"/>
      <c r="G3987" s="241"/>
      <c r="H3987" s="238"/>
      <c r="I3987" s="238"/>
    </row>
    <row r="3988">
      <c r="A3988" s="238"/>
      <c r="B3988" s="238"/>
      <c r="C3988" s="238"/>
      <c r="D3988" s="239"/>
      <c r="E3988" s="239"/>
      <c r="F3988" s="240"/>
      <c r="G3988" s="241"/>
      <c r="H3988" s="238"/>
      <c r="I3988" s="238"/>
    </row>
    <row r="3989">
      <c r="A3989" s="238"/>
      <c r="B3989" s="238"/>
      <c r="C3989" s="238"/>
      <c r="D3989" s="239"/>
      <c r="E3989" s="239"/>
      <c r="F3989" s="240"/>
      <c r="G3989" s="241"/>
      <c r="H3989" s="238"/>
      <c r="I3989" s="238"/>
    </row>
    <row r="3990">
      <c r="A3990" s="238"/>
      <c r="B3990" s="238"/>
      <c r="C3990" s="238"/>
      <c r="D3990" s="239"/>
      <c r="E3990" s="239"/>
      <c r="F3990" s="240"/>
      <c r="G3990" s="241"/>
      <c r="H3990" s="238"/>
      <c r="I3990" s="238"/>
    </row>
    <row r="3991">
      <c r="A3991" s="238"/>
      <c r="B3991" s="238"/>
      <c r="C3991" s="238"/>
      <c r="D3991" s="239"/>
      <c r="E3991" s="239"/>
      <c r="F3991" s="240"/>
      <c r="G3991" s="241"/>
      <c r="H3991" s="238"/>
      <c r="I3991" s="238"/>
    </row>
    <row r="3992">
      <c r="A3992" s="238"/>
      <c r="B3992" s="238"/>
      <c r="C3992" s="238"/>
      <c r="D3992" s="239"/>
      <c r="E3992" s="239"/>
      <c r="F3992" s="240"/>
      <c r="G3992" s="241"/>
      <c r="H3992" s="238"/>
      <c r="I3992" s="238"/>
    </row>
    <row r="3993">
      <c r="A3993" s="238"/>
      <c r="B3993" s="238"/>
      <c r="C3993" s="238"/>
      <c r="D3993" s="239"/>
      <c r="E3993" s="239"/>
      <c r="F3993" s="240"/>
      <c r="G3993" s="241"/>
      <c r="H3993" s="238"/>
      <c r="I3993" s="238"/>
    </row>
    <row r="3994">
      <c r="A3994" s="238"/>
      <c r="B3994" s="238"/>
      <c r="C3994" s="238"/>
      <c r="D3994" s="239"/>
      <c r="E3994" s="239"/>
      <c r="F3994" s="240"/>
      <c r="G3994" s="241"/>
      <c r="H3994" s="238"/>
      <c r="I3994" s="238"/>
    </row>
    <row r="3995">
      <c r="A3995" s="238"/>
      <c r="B3995" s="238"/>
      <c r="C3995" s="238"/>
      <c r="D3995" s="239"/>
      <c r="E3995" s="239"/>
      <c r="F3995" s="240"/>
      <c r="G3995" s="241"/>
      <c r="H3995" s="238"/>
      <c r="I3995" s="238"/>
    </row>
    <row r="3996">
      <c r="A3996" s="238"/>
      <c r="B3996" s="238"/>
      <c r="C3996" s="238"/>
      <c r="D3996" s="239"/>
      <c r="E3996" s="239"/>
      <c r="F3996" s="240"/>
      <c r="G3996" s="241"/>
      <c r="H3996" s="238"/>
      <c r="I3996" s="238"/>
    </row>
    <row r="3997">
      <c r="A3997" s="238"/>
      <c r="B3997" s="238"/>
      <c r="C3997" s="238"/>
      <c r="D3997" s="239"/>
      <c r="E3997" s="239"/>
      <c r="F3997" s="240"/>
      <c r="G3997" s="241"/>
      <c r="H3997" s="238"/>
      <c r="I3997" s="238"/>
    </row>
    <row r="3998">
      <c r="A3998" s="238"/>
      <c r="B3998" s="238"/>
      <c r="C3998" s="238"/>
      <c r="D3998" s="239"/>
      <c r="E3998" s="239"/>
      <c r="F3998" s="240"/>
      <c r="G3998" s="241"/>
      <c r="H3998" s="238"/>
      <c r="I3998" s="238"/>
    </row>
    <row r="3999">
      <c r="A3999" s="238"/>
      <c r="B3999" s="238"/>
      <c r="C3999" s="238"/>
      <c r="D3999" s="239"/>
      <c r="E3999" s="239"/>
      <c r="F3999" s="240"/>
      <c r="G3999" s="241"/>
      <c r="H3999" s="238"/>
      <c r="I3999" s="238"/>
    </row>
    <row r="4000">
      <c r="A4000" s="238"/>
      <c r="B4000" s="238"/>
      <c r="C4000" s="238"/>
      <c r="D4000" s="239"/>
      <c r="E4000" s="239"/>
      <c r="F4000" s="240"/>
      <c r="G4000" s="241"/>
      <c r="H4000" s="238"/>
      <c r="I4000" s="238"/>
    </row>
    <row r="4001">
      <c r="A4001" s="238"/>
      <c r="B4001" s="238"/>
      <c r="C4001" s="238"/>
      <c r="D4001" s="239"/>
      <c r="E4001" s="239"/>
      <c r="F4001" s="240"/>
      <c r="G4001" s="241"/>
      <c r="H4001" s="238"/>
      <c r="I4001" s="238"/>
    </row>
    <row r="4002">
      <c r="A4002" s="238"/>
      <c r="B4002" s="238"/>
      <c r="C4002" s="238"/>
      <c r="D4002" s="239"/>
      <c r="E4002" s="239"/>
      <c r="F4002" s="240"/>
      <c r="G4002" s="241"/>
      <c r="H4002" s="238"/>
      <c r="I4002" s="238"/>
    </row>
    <row r="4003">
      <c r="A4003" s="238"/>
      <c r="B4003" s="238"/>
      <c r="C4003" s="238"/>
      <c r="D4003" s="239"/>
      <c r="E4003" s="239"/>
      <c r="F4003" s="240"/>
      <c r="G4003" s="241"/>
      <c r="H4003" s="238"/>
      <c r="I4003" s="238"/>
    </row>
    <row r="4004">
      <c r="A4004" s="238"/>
      <c r="B4004" s="238"/>
      <c r="C4004" s="238"/>
      <c r="D4004" s="239"/>
      <c r="E4004" s="239"/>
      <c r="F4004" s="240"/>
      <c r="G4004" s="241"/>
      <c r="H4004" s="238"/>
      <c r="I4004" s="238"/>
    </row>
    <row r="4005">
      <c r="A4005" s="238"/>
      <c r="B4005" s="238"/>
      <c r="C4005" s="238"/>
      <c r="D4005" s="239"/>
      <c r="E4005" s="239"/>
      <c r="F4005" s="240"/>
      <c r="G4005" s="241"/>
      <c r="H4005" s="238"/>
      <c r="I4005" s="238"/>
    </row>
    <row r="4006">
      <c r="A4006" s="238"/>
      <c r="B4006" s="238"/>
      <c r="C4006" s="238"/>
      <c r="D4006" s="239"/>
      <c r="E4006" s="239"/>
      <c r="F4006" s="240"/>
      <c r="G4006" s="241"/>
      <c r="H4006" s="238"/>
      <c r="I4006" s="238"/>
    </row>
    <row r="4007">
      <c r="A4007" s="238"/>
      <c r="B4007" s="238"/>
      <c r="C4007" s="238"/>
      <c r="D4007" s="239"/>
      <c r="E4007" s="239"/>
      <c r="F4007" s="240"/>
      <c r="G4007" s="241"/>
      <c r="H4007" s="238"/>
      <c r="I4007" s="238"/>
    </row>
    <row r="4008">
      <c r="A4008" s="238"/>
      <c r="B4008" s="238"/>
      <c r="C4008" s="238"/>
      <c r="D4008" s="239"/>
      <c r="E4008" s="239"/>
      <c r="F4008" s="240"/>
      <c r="G4008" s="241"/>
      <c r="H4008" s="238"/>
      <c r="I4008" s="238"/>
    </row>
    <row r="4009">
      <c r="A4009" s="238"/>
      <c r="B4009" s="238"/>
      <c r="C4009" s="238"/>
      <c r="D4009" s="239"/>
      <c r="E4009" s="239"/>
      <c r="F4009" s="240"/>
      <c r="G4009" s="241"/>
      <c r="H4009" s="238"/>
      <c r="I4009" s="238"/>
    </row>
    <row r="4010">
      <c r="A4010" s="238"/>
      <c r="B4010" s="238"/>
      <c r="C4010" s="238"/>
      <c r="D4010" s="239"/>
      <c r="E4010" s="239"/>
      <c r="F4010" s="240"/>
      <c r="G4010" s="241"/>
      <c r="H4010" s="238"/>
      <c r="I4010" s="238"/>
    </row>
    <row r="4011">
      <c r="A4011" s="238"/>
      <c r="B4011" s="238"/>
      <c r="C4011" s="238"/>
      <c r="D4011" s="239"/>
      <c r="E4011" s="239"/>
      <c r="F4011" s="240"/>
      <c r="G4011" s="241"/>
      <c r="H4011" s="238"/>
      <c r="I4011" s="238"/>
    </row>
    <row r="4012">
      <c r="A4012" s="238"/>
      <c r="B4012" s="238"/>
      <c r="C4012" s="238"/>
      <c r="D4012" s="239"/>
      <c r="E4012" s="239"/>
      <c r="F4012" s="240"/>
      <c r="G4012" s="241"/>
      <c r="H4012" s="238"/>
      <c r="I4012" s="238"/>
    </row>
    <row r="4013">
      <c r="A4013" s="238"/>
      <c r="B4013" s="238"/>
      <c r="C4013" s="238"/>
      <c r="D4013" s="239"/>
      <c r="E4013" s="239"/>
      <c r="F4013" s="240"/>
      <c r="G4013" s="241"/>
      <c r="H4013" s="238"/>
      <c r="I4013" s="238"/>
    </row>
    <row r="4014">
      <c r="A4014" s="238"/>
      <c r="B4014" s="238"/>
      <c r="C4014" s="238"/>
      <c r="D4014" s="239"/>
      <c r="E4014" s="239"/>
      <c r="F4014" s="240"/>
      <c r="G4014" s="241"/>
      <c r="H4014" s="238"/>
      <c r="I4014" s="238"/>
    </row>
    <row r="4015">
      <c r="A4015" s="238"/>
      <c r="B4015" s="238"/>
      <c r="C4015" s="238"/>
      <c r="D4015" s="239"/>
      <c r="E4015" s="239"/>
      <c r="F4015" s="240"/>
      <c r="G4015" s="241"/>
      <c r="H4015" s="238"/>
      <c r="I4015" s="238"/>
    </row>
    <row r="4016">
      <c r="A4016" s="238"/>
      <c r="B4016" s="238"/>
      <c r="C4016" s="238"/>
      <c r="D4016" s="239"/>
      <c r="E4016" s="239"/>
      <c r="F4016" s="240"/>
      <c r="G4016" s="241"/>
      <c r="H4016" s="238"/>
      <c r="I4016" s="238"/>
    </row>
    <row r="4017">
      <c r="A4017" s="238"/>
      <c r="B4017" s="238"/>
      <c r="C4017" s="238"/>
      <c r="D4017" s="239"/>
      <c r="E4017" s="239"/>
      <c r="F4017" s="240"/>
      <c r="G4017" s="241"/>
      <c r="H4017" s="238"/>
      <c r="I4017" s="238"/>
    </row>
    <row r="4018">
      <c r="A4018" s="238"/>
      <c r="B4018" s="238"/>
      <c r="C4018" s="238"/>
      <c r="D4018" s="239"/>
      <c r="E4018" s="239"/>
      <c r="F4018" s="240"/>
      <c r="G4018" s="241"/>
      <c r="H4018" s="238"/>
      <c r="I4018" s="238"/>
    </row>
    <row r="4019">
      <c r="A4019" s="238"/>
      <c r="B4019" s="238"/>
      <c r="C4019" s="238"/>
      <c r="D4019" s="239"/>
      <c r="E4019" s="239"/>
      <c r="F4019" s="240"/>
      <c r="G4019" s="241"/>
      <c r="H4019" s="238"/>
      <c r="I4019" s="238"/>
    </row>
    <row r="4020">
      <c r="A4020" s="238"/>
      <c r="B4020" s="238"/>
      <c r="C4020" s="238"/>
      <c r="D4020" s="239"/>
      <c r="E4020" s="239"/>
      <c r="F4020" s="240"/>
      <c r="G4020" s="241"/>
      <c r="H4020" s="238"/>
      <c r="I4020" s="238"/>
    </row>
    <row r="4021">
      <c r="A4021" s="238"/>
      <c r="B4021" s="238"/>
      <c r="C4021" s="238"/>
      <c r="D4021" s="239"/>
      <c r="E4021" s="239"/>
      <c r="F4021" s="240"/>
      <c r="G4021" s="241"/>
      <c r="H4021" s="238"/>
      <c r="I4021" s="238"/>
    </row>
    <row r="4022">
      <c r="A4022" s="238"/>
      <c r="B4022" s="238"/>
      <c r="C4022" s="238"/>
      <c r="D4022" s="239"/>
      <c r="E4022" s="239"/>
      <c r="F4022" s="240"/>
      <c r="G4022" s="241"/>
      <c r="H4022" s="238"/>
      <c r="I4022" s="238"/>
    </row>
    <row r="4023">
      <c r="A4023" s="238"/>
      <c r="B4023" s="238"/>
      <c r="C4023" s="238"/>
      <c r="D4023" s="239"/>
      <c r="E4023" s="239"/>
      <c r="F4023" s="240"/>
      <c r="G4023" s="241"/>
      <c r="H4023" s="238"/>
      <c r="I4023" s="238"/>
    </row>
    <row r="4024">
      <c r="A4024" s="238"/>
      <c r="B4024" s="238"/>
      <c r="C4024" s="238"/>
      <c r="D4024" s="239"/>
      <c r="E4024" s="239"/>
      <c r="F4024" s="240"/>
      <c r="G4024" s="241"/>
      <c r="H4024" s="238"/>
      <c r="I4024" s="238"/>
    </row>
    <row r="4025">
      <c r="A4025" s="238"/>
      <c r="B4025" s="238"/>
      <c r="C4025" s="238"/>
      <c r="D4025" s="239"/>
      <c r="E4025" s="239"/>
      <c r="F4025" s="240"/>
      <c r="G4025" s="241"/>
      <c r="H4025" s="238"/>
      <c r="I4025" s="238"/>
    </row>
    <row r="4026">
      <c r="A4026" s="238"/>
      <c r="B4026" s="238"/>
      <c r="C4026" s="238"/>
      <c r="D4026" s="239"/>
      <c r="E4026" s="239"/>
      <c r="F4026" s="240"/>
      <c r="G4026" s="241"/>
      <c r="H4026" s="238"/>
      <c r="I4026" s="238"/>
    </row>
    <row r="4027">
      <c r="A4027" s="238"/>
      <c r="B4027" s="238"/>
      <c r="C4027" s="238"/>
      <c r="D4027" s="239"/>
      <c r="E4027" s="239"/>
      <c r="F4027" s="240"/>
      <c r="G4027" s="241"/>
      <c r="H4027" s="238"/>
      <c r="I4027" s="238"/>
    </row>
    <row r="4028">
      <c r="A4028" s="238"/>
      <c r="B4028" s="238"/>
      <c r="C4028" s="238"/>
      <c r="D4028" s="239"/>
      <c r="E4028" s="239"/>
      <c r="F4028" s="240"/>
      <c r="G4028" s="241"/>
      <c r="H4028" s="238"/>
      <c r="I4028" s="238"/>
    </row>
    <row r="4029">
      <c r="A4029" s="238"/>
      <c r="B4029" s="238"/>
      <c r="C4029" s="238"/>
      <c r="D4029" s="239"/>
      <c r="E4029" s="239"/>
      <c r="F4029" s="240"/>
      <c r="G4029" s="241"/>
      <c r="H4029" s="238"/>
      <c r="I4029" s="238"/>
    </row>
    <row r="4030">
      <c r="A4030" s="238"/>
      <c r="B4030" s="238"/>
      <c r="C4030" s="238"/>
      <c r="D4030" s="239"/>
      <c r="E4030" s="239"/>
      <c r="F4030" s="240"/>
      <c r="G4030" s="241"/>
      <c r="H4030" s="238"/>
      <c r="I4030" s="238"/>
    </row>
    <row r="4031">
      <c r="A4031" s="238"/>
      <c r="B4031" s="238"/>
      <c r="C4031" s="238"/>
      <c r="D4031" s="239"/>
      <c r="E4031" s="239"/>
      <c r="F4031" s="240"/>
      <c r="G4031" s="241"/>
      <c r="H4031" s="238"/>
      <c r="I4031" s="238"/>
    </row>
    <row r="4032">
      <c r="A4032" s="238"/>
      <c r="B4032" s="238"/>
      <c r="C4032" s="238"/>
      <c r="D4032" s="239"/>
      <c r="E4032" s="239"/>
      <c r="F4032" s="240"/>
      <c r="G4032" s="241"/>
      <c r="H4032" s="238"/>
      <c r="I4032" s="238"/>
    </row>
    <row r="4033">
      <c r="A4033" s="238"/>
      <c r="B4033" s="238"/>
      <c r="C4033" s="238"/>
      <c r="D4033" s="239"/>
      <c r="E4033" s="239"/>
      <c r="F4033" s="240"/>
      <c r="G4033" s="241"/>
      <c r="H4033" s="238"/>
      <c r="I4033" s="238"/>
    </row>
    <row r="4034">
      <c r="A4034" s="238"/>
      <c r="B4034" s="238"/>
      <c r="C4034" s="238"/>
      <c r="D4034" s="239"/>
      <c r="E4034" s="239"/>
      <c r="F4034" s="240"/>
      <c r="G4034" s="241"/>
      <c r="H4034" s="238"/>
      <c r="I4034" s="238"/>
    </row>
    <row r="4035">
      <c r="A4035" s="238"/>
      <c r="B4035" s="238"/>
      <c r="C4035" s="238"/>
      <c r="D4035" s="239"/>
      <c r="E4035" s="239"/>
      <c r="F4035" s="240"/>
      <c r="G4035" s="241"/>
      <c r="H4035" s="238"/>
      <c r="I4035" s="238"/>
    </row>
    <row r="4036">
      <c r="A4036" s="238"/>
      <c r="B4036" s="238"/>
      <c r="C4036" s="238"/>
      <c r="D4036" s="239"/>
      <c r="E4036" s="239"/>
      <c r="F4036" s="240"/>
      <c r="G4036" s="241"/>
      <c r="H4036" s="238"/>
      <c r="I4036" s="238"/>
    </row>
    <row r="4037">
      <c r="A4037" s="238"/>
      <c r="B4037" s="238"/>
      <c r="C4037" s="238"/>
      <c r="D4037" s="239"/>
      <c r="E4037" s="239"/>
      <c r="F4037" s="240"/>
      <c r="G4037" s="241"/>
      <c r="H4037" s="238"/>
      <c r="I4037" s="238"/>
    </row>
    <row r="4038">
      <c r="A4038" s="238"/>
      <c r="B4038" s="238"/>
      <c r="C4038" s="238"/>
      <c r="D4038" s="239"/>
      <c r="E4038" s="239"/>
      <c r="F4038" s="240"/>
      <c r="G4038" s="241"/>
      <c r="H4038" s="238"/>
      <c r="I4038" s="238"/>
    </row>
    <row r="4039">
      <c r="A4039" s="238"/>
      <c r="B4039" s="238"/>
      <c r="C4039" s="238"/>
      <c r="D4039" s="239"/>
      <c r="E4039" s="239"/>
      <c r="F4039" s="240"/>
      <c r="G4039" s="241"/>
      <c r="H4039" s="238"/>
      <c r="I4039" s="238"/>
    </row>
    <row r="4040">
      <c r="A4040" s="238"/>
      <c r="B4040" s="238"/>
      <c r="C4040" s="238"/>
      <c r="D4040" s="239"/>
      <c r="E4040" s="239"/>
      <c r="F4040" s="240"/>
      <c r="G4040" s="241"/>
      <c r="H4040" s="238"/>
      <c r="I4040" s="238"/>
    </row>
    <row r="4041">
      <c r="A4041" s="238"/>
      <c r="B4041" s="238"/>
      <c r="C4041" s="238"/>
      <c r="D4041" s="239"/>
      <c r="E4041" s="239"/>
      <c r="F4041" s="240"/>
      <c r="G4041" s="241"/>
      <c r="H4041" s="238"/>
      <c r="I4041" s="238"/>
    </row>
    <row r="4042">
      <c r="A4042" s="238"/>
      <c r="B4042" s="238"/>
      <c r="C4042" s="238"/>
      <c r="D4042" s="239"/>
      <c r="E4042" s="239"/>
      <c r="F4042" s="240"/>
      <c r="G4042" s="241"/>
      <c r="H4042" s="238"/>
      <c r="I4042" s="238"/>
    </row>
    <row r="4043">
      <c r="A4043" s="238"/>
      <c r="B4043" s="238"/>
      <c r="C4043" s="238"/>
      <c r="D4043" s="239"/>
      <c r="E4043" s="239"/>
      <c r="F4043" s="240"/>
      <c r="G4043" s="241"/>
      <c r="H4043" s="238"/>
      <c r="I4043" s="238"/>
    </row>
    <row r="4044">
      <c r="A4044" s="238"/>
      <c r="B4044" s="238"/>
      <c r="C4044" s="238"/>
      <c r="D4044" s="239"/>
      <c r="E4044" s="239"/>
      <c r="F4044" s="240"/>
      <c r="G4044" s="241"/>
      <c r="H4044" s="238"/>
      <c r="I4044" s="238"/>
    </row>
    <row r="4045">
      <c r="A4045" s="238"/>
      <c r="B4045" s="238"/>
      <c r="C4045" s="238"/>
      <c r="D4045" s="239"/>
      <c r="E4045" s="239"/>
      <c r="F4045" s="240"/>
      <c r="G4045" s="241"/>
      <c r="H4045" s="238"/>
      <c r="I4045" s="238"/>
    </row>
    <row r="4046">
      <c r="A4046" s="238"/>
      <c r="B4046" s="238"/>
      <c r="C4046" s="238"/>
      <c r="D4046" s="239"/>
      <c r="E4046" s="239"/>
      <c r="F4046" s="240"/>
      <c r="G4046" s="241"/>
      <c r="H4046" s="238"/>
      <c r="I4046" s="238"/>
    </row>
    <row r="4047">
      <c r="A4047" s="238"/>
      <c r="B4047" s="238"/>
      <c r="C4047" s="238"/>
      <c r="D4047" s="239"/>
      <c r="E4047" s="239"/>
      <c r="F4047" s="240"/>
      <c r="G4047" s="241"/>
      <c r="H4047" s="238"/>
      <c r="I4047" s="238"/>
    </row>
    <row r="4048">
      <c r="A4048" s="238"/>
      <c r="B4048" s="238"/>
      <c r="C4048" s="238"/>
      <c r="D4048" s="239"/>
      <c r="E4048" s="239"/>
      <c r="F4048" s="240"/>
      <c r="G4048" s="241"/>
      <c r="H4048" s="238"/>
      <c r="I4048" s="238"/>
    </row>
    <row r="4049">
      <c r="A4049" s="238"/>
      <c r="B4049" s="238"/>
      <c r="C4049" s="238"/>
      <c r="D4049" s="239"/>
      <c r="E4049" s="239"/>
      <c r="F4049" s="240"/>
      <c r="G4049" s="241"/>
      <c r="H4049" s="238"/>
      <c r="I4049" s="238"/>
    </row>
    <row r="4050">
      <c r="A4050" s="238"/>
      <c r="B4050" s="238"/>
      <c r="C4050" s="238"/>
      <c r="D4050" s="239"/>
      <c r="E4050" s="239"/>
      <c r="F4050" s="240"/>
      <c r="G4050" s="241"/>
      <c r="H4050" s="238"/>
      <c r="I4050" s="238"/>
    </row>
    <row r="4051">
      <c r="A4051" s="238"/>
      <c r="B4051" s="238"/>
      <c r="C4051" s="238"/>
      <c r="D4051" s="239"/>
      <c r="E4051" s="239"/>
      <c r="F4051" s="240"/>
      <c r="G4051" s="241"/>
      <c r="H4051" s="238"/>
      <c r="I4051" s="238"/>
    </row>
    <row r="4052">
      <c r="A4052" s="238"/>
      <c r="B4052" s="238"/>
      <c r="C4052" s="238"/>
      <c r="D4052" s="239"/>
      <c r="E4052" s="239"/>
      <c r="F4052" s="240"/>
      <c r="G4052" s="241"/>
      <c r="H4052" s="238"/>
      <c r="I4052" s="238"/>
    </row>
    <row r="4053">
      <c r="A4053" s="238"/>
      <c r="B4053" s="238"/>
      <c r="C4053" s="238"/>
      <c r="D4053" s="239"/>
      <c r="E4053" s="239"/>
      <c r="F4053" s="240"/>
      <c r="G4053" s="241"/>
      <c r="H4053" s="238"/>
      <c r="I4053" s="238"/>
    </row>
    <row r="4054">
      <c r="A4054" s="238"/>
      <c r="B4054" s="238"/>
      <c r="C4054" s="238"/>
      <c r="D4054" s="239"/>
      <c r="E4054" s="239"/>
      <c r="F4054" s="240"/>
      <c r="G4054" s="241"/>
      <c r="H4054" s="238"/>
      <c r="I4054" s="238"/>
    </row>
    <row r="4055">
      <c r="A4055" s="238"/>
      <c r="B4055" s="238"/>
      <c r="C4055" s="238"/>
      <c r="D4055" s="239"/>
      <c r="E4055" s="239"/>
      <c r="F4055" s="240"/>
      <c r="G4055" s="241"/>
      <c r="H4055" s="238"/>
      <c r="I4055" s="238"/>
    </row>
    <row r="4056">
      <c r="A4056" s="238"/>
      <c r="B4056" s="238"/>
      <c r="C4056" s="238"/>
      <c r="D4056" s="239"/>
      <c r="E4056" s="239"/>
      <c r="F4056" s="240"/>
      <c r="G4056" s="241"/>
      <c r="H4056" s="238"/>
      <c r="I4056" s="238"/>
    </row>
    <row r="4057">
      <c r="A4057" s="238"/>
      <c r="B4057" s="238"/>
      <c r="C4057" s="238"/>
      <c r="D4057" s="239"/>
      <c r="E4057" s="239"/>
      <c r="F4057" s="240"/>
      <c r="G4057" s="241"/>
      <c r="H4057" s="238"/>
      <c r="I4057" s="238"/>
    </row>
    <row r="4058">
      <c r="A4058" s="238"/>
      <c r="B4058" s="238"/>
      <c r="C4058" s="238"/>
      <c r="D4058" s="239"/>
      <c r="E4058" s="239"/>
      <c r="F4058" s="240"/>
      <c r="G4058" s="241"/>
      <c r="H4058" s="238"/>
      <c r="I4058" s="238"/>
    </row>
    <row r="4059">
      <c r="A4059" s="238"/>
      <c r="B4059" s="238"/>
      <c r="C4059" s="238"/>
      <c r="D4059" s="239"/>
      <c r="E4059" s="239"/>
      <c r="F4059" s="240"/>
      <c r="G4059" s="241"/>
      <c r="H4059" s="238"/>
      <c r="I4059" s="238"/>
    </row>
    <row r="4060">
      <c r="A4060" s="238"/>
      <c r="B4060" s="238"/>
      <c r="C4060" s="238"/>
      <c r="D4060" s="239"/>
      <c r="E4060" s="239"/>
      <c r="F4060" s="240"/>
      <c r="G4060" s="241"/>
      <c r="H4060" s="238"/>
      <c r="I4060" s="238"/>
    </row>
    <row r="4061">
      <c r="A4061" s="238"/>
      <c r="B4061" s="238"/>
      <c r="C4061" s="238"/>
      <c r="D4061" s="239"/>
      <c r="E4061" s="239"/>
      <c r="F4061" s="240"/>
      <c r="G4061" s="241"/>
      <c r="H4061" s="238"/>
      <c r="I4061" s="238"/>
    </row>
    <row r="4062">
      <c r="A4062" s="238"/>
      <c r="B4062" s="238"/>
      <c r="C4062" s="238"/>
      <c r="D4062" s="239"/>
      <c r="E4062" s="239"/>
      <c r="F4062" s="240"/>
      <c r="G4062" s="241"/>
      <c r="H4062" s="238"/>
      <c r="I4062" s="238"/>
    </row>
    <row r="4063">
      <c r="A4063" s="238"/>
      <c r="B4063" s="238"/>
      <c r="C4063" s="238"/>
      <c r="D4063" s="239"/>
      <c r="E4063" s="239"/>
      <c r="F4063" s="240"/>
      <c r="G4063" s="241"/>
      <c r="H4063" s="238"/>
      <c r="I4063" s="238"/>
    </row>
    <row r="4064">
      <c r="A4064" s="238"/>
      <c r="B4064" s="238"/>
      <c r="C4064" s="238"/>
      <c r="D4064" s="239"/>
      <c r="E4064" s="239"/>
      <c r="F4064" s="240"/>
      <c r="G4064" s="241"/>
      <c r="H4064" s="238"/>
      <c r="I4064" s="238"/>
    </row>
    <row r="4065">
      <c r="A4065" s="238"/>
      <c r="B4065" s="238"/>
      <c r="C4065" s="238"/>
      <c r="D4065" s="239"/>
      <c r="E4065" s="239"/>
      <c r="F4065" s="240"/>
      <c r="G4065" s="241"/>
      <c r="H4065" s="238"/>
      <c r="I4065" s="238"/>
    </row>
    <row r="4066">
      <c r="A4066" s="238"/>
      <c r="B4066" s="238"/>
      <c r="C4066" s="238"/>
      <c r="D4066" s="239"/>
      <c r="E4066" s="239"/>
      <c r="F4066" s="240"/>
      <c r="G4066" s="241"/>
      <c r="H4066" s="238"/>
      <c r="I4066" s="238"/>
    </row>
    <row r="4067">
      <c r="A4067" s="238"/>
      <c r="B4067" s="238"/>
      <c r="C4067" s="238"/>
      <c r="D4067" s="239"/>
      <c r="E4067" s="239"/>
      <c r="F4067" s="240"/>
      <c r="G4067" s="241"/>
      <c r="H4067" s="238"/>
      <c r="I4067" s="238"/>
    </row>
    <row r="4068">
      <c r="A4068" s="238"/>
      <c r="B4068" s="238"/>
      <c r="C4068" s="238"/>
      <c r="D4068" s="239"/>
      <c r="E4068" s="239"/>
      <c r="F4068" s="240"/>
      <c r="G4068" s="241"/>
      <c r="H4068" s="238"/>
      <c r="I4068" s="238"/>
    </row>
    <row r="4069">
      <c r="A4069" s="238"/>
      <c r="B4069" s="238"/>
      <c r="C4069" s="238"/>
      <c r="D4069" s="239"/>
      <c r="E4069" s="239"/>
      <c r="F4069" s="240"/>
      <c r="G4069" s="241"/>
      <c r="H4069" s="238"/>
      <c r="I4069" s="238"/>
    </row>
    <row r="4070">
      <c r="A4070" s="238"/>
      <c r="B4070" s="238"/>
      <c r="C4070" s="238"/>
      <c r="D4070" s="239"/>
      <c r="E4070" s="239"/>
      <c r="F4070" s="240"/>
      <c r="G4070" s="241"/>
      <c r="H4070" s="238"/>
      <c r="I4070" s="238"/>
    </row>
    <row r="4071">
      <c r="A4071" s="238"/>
      <c r="B4071" s="238"/>
      <c r="C4071" s="238"/>
      <c r="D4071" s="239"/>
      <c r="E4071" s="239"/>
      <c r="F4071" s="240"/>
      <c r="G4071" s="241"/>
      <c r="H4071" s="238"/>
      <c r="I4071" s="238"/>
    </row>
    <row r="4072">
      <c r="A4072" s="238"/>
      <c r="B4072" s="238"/>
      <c r="C4072" s="238"/>
      <c r="D4072" s="239"/>
      <c r="E4072" s="239"/>
      <c r="F4072" s="240"/>
      <c r="G4072" s="241"/>
      <c r="H4072" s="238"/>
      <c r="I4072" s="238"/>
    </row>
    <row r="4073">
      <c r="A4073" s="238"/>
      <c r="B4073" s="238"/>
      <c r="C4073" s="238"/>
      <c r="D4073" s="239"/>
      <c r="E4073" s="239"/>
      <c r="F4073" s="240"/>
      <c r="G4073" s="241"/>
      <c r="H4073" s="238"/>
      <c r="I4073" s="238"/>
    </row>
    <row r="4074">
      <c r="A4074" s="238"/>
      <c r="B4074" s="238"/>
      <c r="C4074" s="238"/>
      <c r="D4074" s="239"/>
      <c r="E4074" s="239"/>
      <c r="F4074" s="240"/>
      <c r="G4074" s="241"/>
      <c r="H4074" s="238"/>
      <c r="I4074" s="238"/>
    </row>
    <row r="4075">
      <c r="A4075" s="238"/>
      <c r="B4075" s="238"/>
      <c r="C4075" s="238"/>
      <c r="D4075" s="239"/>
      <c r="E4075" s="239"/>
      <c r="F4075" s="240"/>
      <c r="G4075" s="241"/>
      <c r="H4075" s="238"/>
      <c r="I4075" s="238"/>
    </row>
    <row r="4076">
      <c r="A4076" s="238"/>
      <c r="B4076" s="238"/>
      <c r="C4076" s="238"/>
      <c r="D4076" s="239"/>
      <c r="E4076" s="239"/>
      <c r="F4076" s="240"/>
      <c r="G4076" s="241"/>
      <c r="H4076" s="238"/>
      <c r="I4076" s="238"/>
    </row>
    <row r="4077">
      <c r="A4077" s="238"/>
      <c r="B4077" s="238"/>
      <c r="C4077" s="238"/>
      <c r="D4077" s="239"/>
      <c r="E4077" s="239"/>
      <c r="F4077" s="240"/>
      <c r="G4077" s="241"/>
      <c r="H4077" s="238"/>
      <c r="I4077" s="238"/>
    </row>
    <row r="4078">
      <c r="A4078" s="238"/>
      <c r="B4078" s="238"/>
      <c r="C4078" s="238"/>
      <c r="D4078" s="239"/>
      <c r="E4078" s="239"/>
      <c r="F4078" s="240"/>
      <c r="G4078" s="241"/>
      <c r="H4078" s="238"/>
      <c r="I4078" s="238"/>
    </row>
    <row r="4079">
      <c r="A4079" s="238"/>
      <c r="B4079" s="238"/>
      <c r="C4079" s="238"/>
      <c r="D4079" s="239"/>
      <c r="E4079" s="239"/>
      <c r="F4079" s="240"/>
      <c r="G4079" s="241"/>
      <c r="H4079" s="238"/>
      <c r="I4079" s="238"/>
    </row>
    <row r="4080">
      <c r="A4080" s="238"/>
      <c r="B4080" s="238"/>
      <c r="C4080" s="238"/>
      <c r="D4080" s="239"/>
      <c r="E4080" s="239"/>
      <c r="F4080" s="240"/>
      <c r="G4080" s="241"/>
      <c r="H4080" s="238"/>
      <c r="I4080" s="238"/>
    </row>
    <row r="4081">
      <c r="A4081" s="238"/>
      <c r="B4081" s="238"/>
      <c r="C4081" s="238"/>
      <c r="D4081" s="239"/>
      <c r="E4081" s="239"/>
      <c r="F4081" s="240"/>
      <c r="G4081" s="241"/>
      <c r="H4081" s="238"/>
      <c r="I4081" s="238"/>
    </row>
    <row r="4082">
      <c r="A4082" s="238"/>
      <c r="B4082" s="238"/>
      <c r="C4082" s="238"/>
      <c r="D4082" s="239"/>
      <c r="E4082" s="239"/>
      <c r="F4082" s="240"/>
      <c r="G4082" s="241"/>
      <c r="H4082" s="238"/>
      <c r="I4082" s="238"/>
    </row>
    <row r="4083">
      <c r="A4083" s="238"/>
      <c r="B4083" s="238"/>
      <c r="C4083" s="238"/>
      <c r="D4083" s="239"/>
      <c r="E4083" s="239"/>
      <c r="F4083" s="240"/>
      <c r="G4083" s="241"/>
      <c r="H4083" s="238"/>
      <c r="I4083" s="238"/>
    </row>
    <row r="4084">
      <c r="A4084" s="238"/>
      <c r="B4084" s="238"/>
      <c r="C4084" s="238"/>
      <c r="D4084" s="239"/>
      <c r="E4084" s="239"/>
      <c r="F4084" s="240"/>
      <c r="G4084" s="241"/>
      <c r="H4084" s="238"/>
      <c r="I4084" s="238"/>
    </row>
    <row r="4085">
      <c r="A4085" s="238"/>
      <c r="B4085" s="238"/>
      <c r="C4085" s="238"/>
      <c r="D4085" s="239"/>
      <c r="E4085" s="239"/>
      <c r="F4085" s="240"/>
      <c r="G4085" s="241"/>
      <c r="H4085" s="238"/>
      <c r="I4085" s="238"/>
    </row>
    <row r="4086">
      <c r="A4086" s="238"/>
      <c r="B4086" s="238"/>
      <c r="C4086" s="238"/>
      <c r="D4086" s="239"/>
      <c r="E4086" s="239"/>
      <c r="F4086" s="240"/>
      <c r="G4086" s="241"/>
      <c r="H4086" s="238"/>
      <c r="I4086" s="238"/>
    </row>
    <row r="4087">
      <c r="A4087" s="238"/>
      <c r="B4087" s="238"/>
      <c r="C4087" s="238"/>
      <c r="D4087" s="239"/>
      <c r="E4087" s="239"/>
      <c r="F4087" s="240"/>
      <c r="G4087" s="241"/>
      <c r="H4087" s="238"/>
      <c r="I4087" s="238"/>
    </row>
    <row r="4088">
      <c r="A4088" s="238"/>
      <c r="B4088" s="238"/>
      <c r="C4088" s="238"/>
      <c r="D4088" s="239"/>
      <c r="E4088" s="239"/>
      <c r="F4088" s="240"/>
      <c r="G4088" s="241"/>
      <c r="H4088" s="238"/>
      <c r="I4088" s="238"/>
    </row>
    <row r="4089">
      <c r="A4089" s="238"/>
      <c r="B4089" s="238"/>
      <c r="C4089" s="238"/>
      <c r="D4089" s="239"/>
      <c r="E4089" s="239"/>
      <c r="F4089" s="240"/>
      <c r="G4089" s="241"/>
      <c r="H4089" s="238"/>
      <c r="I4089" s="238"/>
    </row>
    <row r="4090">
      <c r="A4090" s="238"/>
      <c r="B4090" s="238"/>
      <c r="C4090" s="238"/>
      <c r="D4090" s="239"/>
      <c r="E4090" s="239"/>
      <c r="F4090" s="240"/>
      <c r="G4090" s="241"/>
      <c r="H4090" s="238"/>
      <c r="I4090" s="238"/>
    </row>
    <row r="4091">
      <c r="A4091" s="238"/>
      <c r="B4091" s="238"/>
      <c r="C4091" s="238"/>
      <c r="D4091" s="239"/>
      <c r="E4091" s="239"/>
      <c r="F4091" s="240"/>
      <c r="G4091" s="241"/>
      <c r="H4091" s="238"/>
      <c r="I4091" s="238"/>
    </row>
    <row r="4092">
      <c r="A4092" s="238"/>
      <c r="B4092" s="238"/>
      <c r="C4092" s="238"/>
      <c r="D4092" s="239"/>
      <c r="E4092" s="239"/>
      <c r="F4092" s="240"/>
      <c r="G4092" s="241"/>
      <c r="H4092" s="238"/>
      <c r="I4092" s="238"/>
    </row>
    <row r="4093">
      <c r="A4093" s="238"/>
      <c r="B4093" s="238"/>
      <c r="C4093" s="238"/>
      <c r="D4093" s="239"/>
      <c r="E4093" s="239"/>
      <c r="F4093" s="240"/>
      <c r="G4093" s="241"/>
      <c r="H4093" s="238"/>
      <c r="I4093" s="238"/>
    </row>
    <row r="4094">
      <c r="A4094" s="238"/>
      <c r="B4094" s="238"/>
      <c r="C4094" s="238"/>
      <c r="D4094" s="239"/>
      <c r="E4094" s="239"/>
      <c r="F4094" s="240"/>
      <c r="G4094" s="241"/>
      <c r="H4094" s="238"/>
      <c r="I4094" s="238"/>
    </row>
    <row r="4095">
      <c r="A4095" s="238"/>
      <c r="B4095" s="238"/>
      <c r="C4095" s="238"/>
      <c r="D4095" s="239"/>
      <c r="E4095" s="239"/>
      <c r="F4095" s="240"/>
      <c r="G4095" s="241"/>
      <c r="H4095" s="238"/>
      <c r="I4095" s="238"/>
    </row>
    <row r="4096">
      <c r="A4096" s="238"/>
      <c r="B4096" s="238"/>
      <c r="C4096" s="238"/>
      <c r="D4096" s="239"/>
      <c r="E4096" s="239"/>
      <c r="F4096" s="240"/>
      <c r="G4096" s="241"/>
      <c r="H4096" s="238"/>
      <c r="I4096" s="238"/>
    </row>
    <row r="4097">
      <c r="A4097" s="238"/>
      <c r="B4097" s="238"/>
      <c r="C4097" s="238"/>
      <c r="D4097" s="239"/>
      <c r="E4097" s="239"/>
      <c r="F4097" s="240"/>
      <c r="G4097" s="241"/>
      <c r="H4097" s="238"/>
      <c r="I4097" s="238"/>
    </row>
    <row r="4098">
      <c r="A4098" s="238"/>
      <c r="B4098" s="238"/>
      <c r="C4098" s="238"/>
      <c r="D4098" s="239"/>
      <c r="E4098" s="239"/>
      <c r="F4098" s="240"/>
      <c r="G4098" s="241"/>
      <c r="H4098" s="238"/>
      <c r="I4098" s="238"/>
    </row>
    <row r="4099">
      <c r="A4099" s="238"/>
      <c r="B4099" s="238"/>
      <c r="C4099" s="238"/>
      <c r="D4099" s="239"/>
      <c r="E4099" s="239"/>
      <c r="F4099" s="240"/>
      <c r="G4099" s="241"/>
      <c r="H4099" s="238"/>
      <c r="I4099" s="238"/>
    </row>
    <row r="4100">
      <c r="A4100" s="238"/>
      <c r="B4100" s="238"/>
      <c r="C4100" s="238"/>
      <c r="D4100" s="239"/>
      <c r="E4100" s="239"/>
      <c r="F4100" s="240"/>
      <c r="G4100" s="241"/>
      <c r="H4100" s="238"/>
      <c r="I4100" s="238"/>
    </row>
    <row r="4101">
      <c r="A4101" s="238"/>
      <c r="B4101" s="238"/>
      <c r="C4101" s="238"/>
      <c r="D4101" s="239"/>
      <c r="E4101" s="239"/>
      <c r="F4101" s="240"/>
      <c r="G4101" s="241"/>
      <c r="H4101" s="238"/>
      <c r="I4101" s="238"/>
    </row>
    <row r="4102">
      <c r="A4102" s="238"/>
      <c r="B4102" s="238"/>
      <c r="C4102" s="238"/>
      <c r="D4102" s="239"/>
      <c r="E4102" s="239"/>
      <c r="F4102" s="240"/>
      <c r="G4102" s="241"/>
      <c r="H4102" s="238"/>
      <c r="I4102" s="238"/>
    </row>
    <row r="4103">
      <c r="A4103" s="238"/>
      <c r="B4103" s="238"/>
      <c r="C4103" s="238"/>
      <c r="D4103" s="239"/>
      <c r="E4103" s="239"/>
      <c r="F4103" s="240"/>
      <c r="G4103" s="241"/>
      <c r="H4103" s="238"/>
      <c r="I4103" s="238"/>
    </row>
    <row r="4104">
      <c r="A4104" s="238"/>
      <c r="B4104" s="238"/>
      <c r="C4104" s="238"/>
      <c r="D4104" s="239"/>
      <c r="E4104" s="239"/>
      <c r="F4104" s="240"/>
      <c r="G4104" s="241"/>
      <c r="H4104" s="238"/>
      <c r="I4104" s="238"/>
    </row>
    <row r="4105">
      <c r="A4105" s="238"/>
      <c r="B4105" s="238"/>
      <c r="C4105" s="238"/>
      <c r="D4105" s="239"/>
      <c r="E4105" s="239"/>
      <c r="F4105" s="240"/>
      <c r="G4105" s="241"/>
      <c r="H4105" s="238"/>
      <c r="I4105" s="238"/>
    </row>
    <row r="4106">
      <c r="A4106" s="238"/>
      <c r="B4106" s="238"/>
      <c r="C4106" s="238"/>
      <c r="D4106" s="239"/>
      <c r="E4106" s="239"/>
      <c r="F4106" s="240"/>
      <c r="G4106" s="241"/>
      <c r="H4106" s="238"/>
      <c r="I4106" s="238"/>
    </row>
    <row r="4107">
      <c r="A4107" s="238"/>
      <c r="B4107" s="238"/>
      <c r="C4107" s="238"/>
      <c r="D4107" s="239"/>
      <c r="E4107" s="239"/>
      <c r="F4107" s="240"/>
      <c r="G4107" s="241"/>
      <c r="H4107" s="238"/>
      <c r="I4107" s="238"/>
    </row>
    <row r="4108">
      <c r="A4108" s="238"/>
      <c r="B4108" s="238"/>
      <c r="C4108" s="238"/>
      <c r="D4108" s="239"/>
      <c r="E4108" s="239"/>
      <c r="F4108" s="240"/>
      <c r="G4108" s="241"/>
      <c r="H4108" s="238"/>
      <c r="I4108" s="238"/>
    </row>
    <row r="4109">
      <c r="A4109" s="238"/>
      <c r="B4109" s="238"/>
      <c r="C4109" s="238"/>
      <c r="D4109" s="239"/>
      <c r="E4109" s="239"/>
      <c r="F4109" s="240"/>
      <c r="G4109" s="241"/>
      <c r="H4109" s="238"/>
      <c r="I4109" s="238"/>
    </row>
    <row r="4110">
      <c r="A4110" s="238"/>
      <c r="B4110" s="238"/>
      <c r="C4110" s="238"/>
      <c r="D4110" s="239"/>
      <c r="E4110" s="239"/>
      <c r="F4110" s="240"/>
      <c r="G4110" s="241"/>
      <c r="H4110" s="238"/>
      <c r="I4110" s="238"/>
    </row>
    <row r="4111">
      <c r="A4111" s="238"/>
      <c r="B4111" s="238"/>
      <c r="C4111" s="238"/>
      <c r="D4111" s="239"/>
      <c r="E4111" s="239"/>
      <c r="F4111" s="240"/>
      <c r="G4111" s="241"/>
      <c r="H4111" s="238"/>
      <c r="I4111" s="238"/>
    </row>
  </sheetData>
  <autoFilter ref="$A$1:$I$4111">
    <sortState ref="A1:I4111">
      <sortCondition ref="B1:B4111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6.63"/>
    <col customWidth="1" min="2" max="2" width="30.13"/>
    <col customWidth="1" min="3" max="3" width="24.75"/>
    <col customWidth="1" min="4" max="4" width="57.13"/>
    <col customWidth="1" min="5" max="5" width="30.5"/>
    <col customWidth="1" min="6" max="6" width="25.88"/>
    <col customWidth="1" min="7" max="7" width="22.88"/>
    <col customWidth="1" min="8" max="9" width="23.5"/>
  </cols>
  <sheetData>
    <row r="1">
      <c r="A1" s="245" t="s">
        <v>8353</v>
      </c>
      <c r="B1" s="245" t="s">
        <v>8354</v>
      </c>
      <c r="C1" s="245" t="s">
        <v>8355</v>
      </c>
      <c r="D1" s="245" t="s">
        <v>8356</v>
      </c>
      <c r="E1" s="245" t="s">
        <v>8357</v>
      </c>
      <c r="F1" s="245" t="s">
        <v>8358</v>
      </c>
      <c r="G1" s="245" t="s">
        <v>8359</v>
      </c>
      <c r="H1" s="245" t="s">
        <v>6</v>
      </c>
      <c r="I1" s="45" t="s">
        <v>8360</v>
      </c>
    </row>
    <row r="2">
      <c r="A2" s="246" t="s">
        <v>8361</v>
      </c>
      <c r="B2" s="246">
        <v>9.725851855E9</v>
      </c>
      <c r="C2" s="246">
        <v>72162.0</v>
      </c>
      <c r="D2" s="246" t="s">
        <v>8362</v>
      </c>
      <c r="E2" s="247">
        <v>45862.0</v>
      </c>
      <c r="F2" s="246">
        <v>420.0</v>
      </c>
      <c r="G2" s="246">
        <v>420.0</v>
      </c>
      <c r="H2" s="246">
        <v>840.0</v>
      </c>
      <c r="I2" s="246">
        <v>470.0</v>
      </c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  <c r="Z2" s="248"/>
      <c r="AA2" s="248"/>
    </row>
    <row r="3">
      <c r="A3" s="249" t="s">
        <v>8363</v>
      </c>
      <c r="B3" s="249">
        <v>4.697282009E9</v>
      </c>
      <c r="C3" s="249">
        <v>87649.0</v>
      </c>
      <c r="D3" s="249" t="s">
        <v>8364</v>
      </c>
      <c r="E3" s="250">
        <v>45862.0</v>
      </c>
      <c r="F3" s="249">
        <v>350.0</v>
      </c>
      <c r="G3" s="249">
        <v>200.0</v>
      </c>
      <c r="H3" s="249">
        <v>550.0</v>
      </c>
      <c r="I3" s="249">
        <v>380.0</v>
      </c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</row>
    <row r="4">
      <c r="A4" s="249" t="s">
        <v>8365</v>
      </c>
      <c r="B4" s="249">
        <v>2.145158591E9</v>
      </c>
      <c r="C4" s="249">
        <v>95275.0</v>
      </c>
      <c r="D4" s="249" t="s">
        <v>8364</v>
      </c>
      <c r="E4" s="250">
        <v>45866.0</v>
      </c>
      <c r="F4" s="249">
        <v>430.0</v>
      </c>
      <c r="G4" s="249">
        <v>0.0</v>
      </c>
      <c r="H4" s="249">
        <v>540.0</v>
      </c>
      <c r="I4" s="251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</row>
    <row r="5">
      <c r="A5" s="249" t="s">
        <v>8366</v>
      </c>
      <c r="B5" s="249">
        <v>2.146907879E9</v>
      </c>
      <c r="C5" s="249">
        <v>53206.0</v>
      </c>
      <c r="D5" s="249" t="s">
        <v>8364</v>
      </c>
      <c r="E5" s="250">
        <v>45878.0</v>
      </c>
      <c r="F5" s="249">
        <v>500.0</v>
      </c>
      <c r="G5" s="249">
        <v>260.0</v>
      </c>
      <c r="H5" s="251"/>
      <c r="I5" s="249">
        <v>542.0</v>
      </c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</row>
    <row r="6">
      <c r="A6" s="249" t="s">
        <v>8367</v>
      </c>
      <c r="B6" s="249">
        <v>2.144027904E9</v>
      </c>
      <c r="C6" s="249">
        <v>244965.0</v>
      </c>
      <c r="D6" s="249" t="s">
        <v>8364</v>
      </c>
      <c r="E6" s="250">
        <v>45892.0</v>
      </c>
      <c r="F6" s="249">
        <v>290.0</v>
      </c>
      <c r="G6" s="249">
        <v>0.0</v>
      </c>
      <c r="H6" s="249">
        <v>290.0</v>
      </c>
      <c r="I6" s="249">
        <v>290.0</v>
      </c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</row>
    <row r="7">
      <c r="A7" s="249" t="s">
        <v>8368</v>
      </c>
      <c r="B7" s="249">
        <v>2.142541521E9</v>
      </c>
      <c r="C7" s="251"/>
      <c r="D7" s="249" t="s">
        <v>8369</v>
      </c>
      <c r="E7" s="251"/>
      <c r="F7" s="251"/>
      <c r="G7" s="251"/>
      <c r="H7" s="251"/>
      <c r="I7" s="251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</row>
    <row r="8">
      <c r="A8" s="249" t="s">
        <v>8370</v>
      </c>
      <c r="B8" s="251"/>
      <c r="C8" s="251"/>
      <c r="D8" s="249" t="s">
        <v>8369</v>
      </c>
      <c r="E8" s="251"/>
      <c r="F8" s="251"/>
      <c r="G8" s="251"/>
      <c r="H8" s="251"/>
      <c r="I8" s="251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</row>
    <row r="9">
      <c r="A9" s="249" t="s">
        <v>8371</v>
      </c>
      <c r="B9" s="251"/>
      <c r="C9" s="249" t="s">
        <v>8372</v>
      </c>
      <c r="D9" s="249" t="s">
        <v>8369</v>
      </c>
      <c r="E9" s="250">
        <v>45900.0</v>
      </c>
      <c r="F9" s="249">
        <v>765.0</v>
      </c>
      <c r="G9" s="249">
        <v>0.0</v>
      </c>
      <c r="H9" s="251"/>
      <c r="I9" s="249">
        <v>765.0</v>
      </c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</row>
    <row r="10">
      <c r="A10" s="246" t="s">
        <v>8373</v>
      </c>
      <c r="B10" s="141"/>
      <c r="C10" s="246"/>
      <c r="D10" s="246" t="s">
        <v>8374</v>
      </c>
      <c r="E10" s="247">
        <v>45992.0</v>
      </c>
      <c r="F10" s="246">
        <v>100.0</v>
      </c>
      <c r="G10" s="141"/>
      <c r="H10" s="141"/>
      <c r="I10" s="141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</row>
    <row r="11">
      <c r="A11" s="249" t="s">
        <v>8375</v>
      </c>
      <c r="B11" s="249">
        <v>2.145528247E9</v>
      </c>
      <c r="C11" s="251"/>
      <c r="D11" s="249" t="s">
        <v>8376</v>
      </c>
      <c r="E11" s="252">
        <v>46001.0</v>
      </c>
      <c r="F11" s="249">
        <v>180.0</v>
      </c>
      <c r="G11" s="141"/>
      <c r="H11" s="141"/>
      <c r="I11" s="141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</row>
    <row r="12">
      <c r="A12" s="246" t="s">
        <v>8377</v>
      </c>
      <c r="B12" s="246">
        <v>2.146934091E9</v>
      </c>
      <c r="C12" s="246">
        <v>666691.0</v>
      </c>
      <c r="D12" s="246" t="s">
        <v>8369</v>
      </c>
      <c r="E12" s="253">
        <v>46015.0</v>
      </c>
      <c r="F12" s="246">
        <v>250.0</v>
      </c>
      <c r="G12" s="141"/>
      <c r="H12" s="141"/>
      <c r="I12" s="141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</row>
    <row r="13">
      <c r="A13" s="249" t="s">
        <v>8378</v>
      </c>
      <c r="B13" s="249">
        <v>9.56825811E9</v>
      </c>
      <c r="C13" s="249">
        <v>842.0</v>
      </c>
      <c r="D13" s="249" t="s">
        <v>8369</v>
      </c>
      <c r="E13" s="252">
        <v>46015.0</v>
      </c>
      <c r="F13" s="249">
        <v>450.0</v>
      </c>
      <c r="G13" s="251"/>
      <c r="H13" s="251"/>
      <c r="I13" s="251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</row>
    <row r="14">
      <c r="A14" s="249" t="s">
        <v>8379</v>
      </c>
      <c r="B14" s="251"/>
      <c r="C14" s="251"/>
      <c r="D14" s="249" t="s">
        <v>8369</v>
      </c>
      <c r="E14" s="252">
        <v>46001.0</v>
      </c>
      <c r="F14" s="251"/>
      <c r="G14" s="251"/>
      <c r="H14" s="251"/>
      <c r="I14" s="251"/>
      <c r="J14" s="248"/>
      <c r="K14" s="248"/>
      <c r="L14" s="248"/>
      <c r="M14" s="248"/>
      <c r="N14" s="248"/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  <c r="AA14" s="248"/>
    </row>
    <row r="15">
      <c r="A15" s="246" t="s">
        <v>8380</v>
      </c>
      <c r="B15" s="246">
        <v>2.146934091E9</v>
      </c>
      <c r="C15" s="141"/>
      <c r="D15" s="246" t="s">
        <v>8381</v>
      </c>
      <c r="E15" s="247">
        <v>45658.0</v>
      </c>
      <c r="F15" s="141"/>
      <c r="G15" s="141"/>
      <c r="H15" s="141"/>
      <c r="I15" s="141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  <c r="AA15" s="248"/>
    </row>
    <row r="16">
      <c r="A16" s="249" t="s">
        <v>8382</v>
      </c>
      <c r="B16" s="249">
        <v>4.69897817E8</v>
      </c>
      <c r="C16" s="249">
        <v>48115.0</v>
      </c>
      <c r="D16" s="249" t="s">
        <v>8376</v>
      </c>
      <c r="E16" s="250">
        <v>46025.0</v>
      </c>
      <c r="F16" s="249">
        <v>150.0</v>
      </c>
      <c r="G16" s="141"/>
      <c r="H16" s="141"/>
      <c r="I16" s="141"/>
      <c r="J16" s="248"/>
      <c r="K16" s="248"/>
      <c r="L16" s="248"/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  <c r="AA16" s="248"/>
    </row>
    <row r="17">
      <c r="A17" s="249" t="s">
        <v>8383</v>
      </c>
      <c r="B17" s="251"/>
      <c r="C17" s="251"/>
      <c r="D17" s="249" t="s">
        <v>8369</v>
      </c>
      <c r="E17" s="251"/>
      <c r="F17" s="251"/>
      <c r="G17" s="251"/>
      <c r="H17" s="251"/>
      <c r="I17" s="251"/>
      <c r="J17" s="248"/>
      <c r="K17" s="248"/>
      <c r="L17" s="248"/>
      <c r="M17" s="248"/>
      <c r="N17" s="248"/>
      <c r="O17" s="248"/>
      <c r="P17" s="248"/>
      <c r="Q17" s="248"/>
      <c r="R17" s="248"/>
      <c r="S17" s="248"/>
      <c r="T17" s="248"/>
      <c r="U17" s="248"/>
      <c r="V17" s="248"/>
      <c r="W17" s="248"/>
      <c r="X17" s="248"/>
      <c r="Y17" s="248"/>
      <c r="Z17" s="248"/>
      <c r="AA17" s="248"/>
    </row>
    <row r="18">
      <c r="A18" s="141"/>
      <c r="B18" s="141"/>
      <c r="C18" s="141"/>
      <c r="D18" s="141"/>
      <c r="E18" s="141"/>
      <c r="F18" s="141"/>
      <c r="G18" s="141"/>
      <c r="H18" s="141"/>
      <c r="I18" s="141"/>
      <c r="J18" s="248"/>
      <c r="K18" s="248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  <c r="AA18" s="248"/>
    </row>
    <row r="19">
      <c r="A19" s="141"/>
      <c r="B19" s="141"/>
      <c r="C19" s="141"/>
      <c r="D19" s="141"/>
      <c r="E19" s="141"/>
      <c r="F19" s="141"/>
      <c r="G19" s="141"/>
      <c r="H19" s="141"/>
      <c r="I19" s="141"/>
      <c r="J19" s="248"/>
      <c r="K19" s="248"/>
      <c r="L19" s="248"/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</row>
    <row r="20">
      <c r="A20" s="141"/>
      <c r="B20" s="141"/>
      <c r="C20" s="141"/>
      <c r="D20" s="141"/>
      <c r="E20" s="141"/>
      <c r="F20" s="141"/>
      <c r="G20" s="141"/>
      <c r="H20" s="141"/>
      <c r="I20" s="141"/>
      <c r="J20" s="248"/>
      <c r="K20" s="248"/>
      <c r="L20" s="248"/>
      <c r="M20" s="248"/>
      <c r="N20" s="248"/>
      <c r="O20" s="248"/>
      <c r="P20" s="248"/>
      <c r="Q20" s="248"/>
      <c r="R20" s="248"/>
      <c r="S20" s="248"/>
      <c r="T20" s="248"/>
      <c r="U20" s="248"/>
      <c r="V20" s="248"/>
      <c r="W20" s="248"/>
      <c r="X20" s="248"/>
      <c r="Y20" s="248"/>
      <c r="Z20" s="248"/>
      <c r="AA20" s="248"/>
    </row>
    <row r="21">
      <c r="A21" s="141"/>
      <c r="B21" s="141"/>
      <c r="C21" s="141"/>
      <c r="D21" s="141"/>
      <c r="E21" s="141"/>
      <c r="F21" s="141"/>
      <c r="G21" s="141"/>
      <c r="H21" s="141"/>
      <c r="I21" s="141"/>
      <c r="J21" s="248"/>
      <c r="K21" s="248"/>
      <c r="L21" s="248"/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  <c r="AA21" s="248"/>
    </row>
    <row r="22">
      <c r="A22" s="141"/>
      <c r="B22" s="141"/>
      <c r="C22" s="141"/>
      <c r="D22" s="141"/>
      <c r="E22" s="141"/>
      <c r="F22" s="141"/>
      <c r="G22" s="141"/>
      <c r="H22" s="141"/>
      <c r="I22" s="141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</row>
    <row r="23">
      <c r="A23" s="141"/>
      <c r="B23" s="141"/>
      <c r="C23" s="141"/>
      <c r="D23" s="141"/>
      <c r="E23" s="141"/>
      <c r="F23" s="141"/>
      <c r="G23" s="141"/>
      <c r="H23" s="141"/>
      <c r="I23" s="141"/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248"/>
      <c r="AA23" s="248"/>
    </row>
    <row r="24">
      <c r="A24" s="141"/>
      <c r="B24" s="141"/>
      <c r="C24" s="141"/>
      <c r="D24" s="141"/>
      <c r="E24" s="141"/>
      <c r="F24" s="141"/>
      <c r="G24" s="141"/>
      <c r="H24" s="141"/>
      <c r="I24" s="141"/>
      <c r="J24" s="248"/>
      <c r="K24" s="248"/>
      <c r="L24" s="248"/>
      <c r="M24" s="248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8"/>
      <c r="Y24" s="248"/>
      <c r="Z24" s="248"/>
      <c r="AA24" s="248"/>
    </row>
    <row r="25">
      <c r="A25" s="141"/>
      <c r="B25" s="141"/>
      <c r="C25" s="141"/>
      <c r="D25" s="141"/>
      <c r="E25" s="141"/>
      <c r="F25" s="141"/>
      <c r="G25" s="141"/>
      <c r="H25" s="141"/>
      <c r="I25" s="141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</row>
    <row r="26">
      <c r="A26" s="141"/>
      <c r="B26" s="141"/>
      <c r="C26" s="141"/>
      <c r="D26" s="141"/>
      <c r="E26" s="141"/>
      <c r="F26" s="141"/>
      <c r="G26" s="141"/>
      <c r="H26" s="141"/>
      <c r="I26" s="141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8"/>
      <c r="W26" s="248"/>
      <c r="X26" s="248"/>
      <c r="Y26" s="248"/>
      <c r="Z26" s="248"/>
      <c r="AA26" s="248"/>
    </row>
    <row r="27">
      <c r="A27" s="141"/>
      <c r="B27" s="141"/>
      <c r="C27" s="141"/>
      <c r="D27" s="141"/>
      <c r="E27" s="141"/>
      <c r="F27" s="141"/>
      <c r="G27" s="141"/>
      <c r="H27" s="141"/>
      <c r="I27" s="141"/>
      <c r="J27" s="248"/>
      <c r="K27" s="248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</row>
    <row r="28">
      <c r="A28" s="141"/>
      <c r="B28" s="141"/>
      <c r="C28" s="141"/>
      <c r="D28" s="141"/>
      <c r="E28" s="141"/>
      <c r="F28" s="141"/>
      <c r="G28" s="141"/>
      <c r="H28" s="141"/>
      <c r="I28" s="141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</row>
    <row r="29">
      <c r="A29" s="141"/>
      <c r="B29" s="141"/>
      <c r="C29" s="141"/>
      <c r="D29" s="141"/>
      <c r="E29" s="141"/>
      <c r="F29" s="141"/>
      <c r="G29" s="141"/>
      <c r="H29" s="141"/>
      <c r="I29" s="141"/>
      <c r="J29" s="248"/>
      <c r="K29" s="248"/>
      <c r="L29" s="248"/>
      <c r="M29" s="248"/>
      <c r="N29" s="248"/>
      <c r="O29" s="248"/>
      <c r="P29" s="248"/>
      <c r="Q29" s="248"/>
      <c r="R29" s="248"/>
      <c r="S29" s="248"/>
      <c r="T29" s="248"/>
      <c r="U29" s="248"/>
      <c r="V29" s="248"/>
      <c r="W29" s="248"/>
      <c r="X29" s="248"/>
      <c r="Y29" s="248"/>
      <c r="Z29" s="248"/>
      <c r="AA29" s="248"/>
    </row>
    <row r="30">
      <c r="A30" s="141"/>
      <c r="B30" s="141"/>
      <c r="C30" s="141"/>
      <c r="D30" s="141"/>
      <c r="E30" s="141"/>
      <c r="F30" s="141"/>
      <c r="G30" s="141"/>
      <c r="H30" s="141"/>
      <c r="I30" s="141"/>
      <c r="J30" s="248"/>
      <c r="K30" s="248"/>
      <c r="L30" s="248"/>
      <c r="M30" s="248"/>
      <c r="N30" s="248"/>
      <c r="O30" s="248"/>
      <c r="P30" s="248"/>
      <c r="Q30" s="248"/>
      <c r="R30" s="248"/>
      <c r="S30" s="248"/>
      <c r="T30" s="248"/>
      <c r="U30" s="248"/>
      <c r="V30" s="248"/>
      <c r="W30" s="248"/>
      <c r="X30" s="248"/>
      <c r="Y30" s="248"/>
      <c r="Z30" s="248"/>
      <c r="AA30" s="248"/>
    </row>
    <row r="31">
      <c r="A31" s="141"/>
      <c r="B31" s="141"/>
      <c r="C31" s="141"/>
      <c r="D31" s="141"/>
      <c r="E31" s="141"/>
      <c r="F31" s="141"/>
      <c r="G31" s="141"/>
      <c r="H31" s="141"/>
      <c r="I31" s="141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</row>
    <row r="32">
      <c r="A32" s="141"/>
      <c r="B32" s="141"/>
      <c r="C32" s="141"/>
      <c r="D32" s="141"/>
      <c r="E32" s="141"/>
      <c r="F32" s="141"/>
      <c r="G32" s="141"/>
      <c r="H32" s="141"/>
      <c r="I32" s="141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8"/>
      <c r="Y32" s="248"/>
      <c r="Z32" s="248"/>
      <c r="AA32" s="248"/>
    </row>
    <row r="33">
      <c r="A33" s="141"/>
      <c r="B33" s="141"/>
      <c r="C33" s="141"/>
      <c r="D33" s="141"/>
      <c r="E33" s="141"/>
      <c r="F33" s="141"/>
      <c r="G33" s="141"/>
      <c r="H33" s="141"/>
      <c r="I33" s="141"/>
      <c r="J33" s="248"/>
      <c r="K33" s="248"/>
      <c r="L33" s="248"/>
      <c r="M33" s="248"/>
      <c r="N33" s="248"/>
      <c r="O33" s="248"/>
      <c r="P33" s="248"/>
      <c r="Q33" s="248"/>
      <c r="R33" s="248"/>
      <c r="S33" s="248"/>
      <c r="T33" s="248"/>
      <c r="U33" s="248"/>
      <c r="V33" s="248"/>
      <c r="W33" s="248"/>
      <c r="X33" s="248"/>
      <c r="Y33" s="248"/>
      <c r="Z33" s="248"/>
      <c r="AA33" s="248"/>
    </row>
    <row r="34">
      <c r="A34" s="141"/>
      <c r="B34" s="141"/>
      <c r="C34" s="141"/>
      <c r="D34" s="141"/>
      <c r="E34" s="141"/>
      <c r="F34" s="141"/>
      <c r="G34" s="141"/>
      <c r="H34" s="141"/>
      <c r="I34" s="141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</row>
    <row r="35">
      <c r="A35" s="141"/>
      <c r="B35" s="141"/>
      <c r="C35" s="141"/>
      <c r="D35" s="141"/>
      <c r="E35" s="141"/>
      <c r="F35" s="141"/>
      <c r="G35" s="141"/>
      <c r="H35" s="141"/>
      <c r="I35" s="141"/>
      <c r="J35" s="248"/>
      <c r="K35" s="248"/>
      <c r="L35" s="248"/>
      <c r="M35" s="248"/>
      <c r="N35" s="248"/>
      <c r="O35" s="248"/>
      <c r="P35" s="248"/>
      <c r="Q35" s="248"/>
      <c r="R35" s="248"/>
      <c r="S35" s="248"/>
      <c r="T35" s="248"/>
      <c r="U35" s="248"/>
      <c r="V35" s="248"/>
      <c r="W35" s="248"/>
      <c r="X35" s="248"/>
      <c r="Y35" s="248"/>
      <c r="Z35" s="248"/>
      <c r="AA35" s="248"/>
    </row>
    <row r="36">
      <c r="A36" s="141"/>
      <c r="B36" s="141"/>
      <c r="C36" s="141"/>
      <c r="D36" s="141"/>
      <c r="E36" s="141"/>
      <c r="F36" s="141"/>
      <c r="G36" s="141"/>
      <c r="H36" s="141"/>
      <c r="I36" s="141"/>
      <c r="J36" s="248"/>
      <c r="K36" s="248"/>
      <c r="L36" s="248"/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8"/>
      <c r="X36" s="248"/>
      <c r="Y36" s="248"/>
      <c r="Z36" s="248"/>
      <c r="AA36" s="248"/>
    </row>
    <row r="37">
      <c r="A37" s="141"/>
      <c r="B37" s="141"/>
      <c r="C37" s="141"/>
      <c r="D37" s="141"/>
      <c r="E37" s="141"/>
      <c r="F37" s="141"/>
      <c r="G37" s="141"/>
      <c r="H37" s="141"/>
      <c r="I37" s="141"/>
      <c r="J37" s="248"/>
      <c r="K37" s="248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</row>
    <row r="38">
      <c r="A38" s="141"/>
      <c r="B38" s="141"/>
      <c r="C38" s="141"/>
      <c r="D38" s="141"/>
      <c r="E38" s="141"/>
      <c r="F38" s="141"/>
      <c r="G38" s="141"/>
      <c r="H38" s="141"/>
      <c r="I38" s="141"/>
      <c r="J38" s="248"/>
      <c r="K38" s="248"/>
      <c r="L38" s="248"/>
      <c r="M38" s="248"/>
      <c r="N38" s="248"/>
      <c r="O38" s="248"/>
      <c r="P38" s="248"/>
      <c r="Q38" s="248"/>
      <c r="R38" s="248"/>
      <c r="S38" s="248"/>
      <c r="T38" s="248"/>
      <c r="U38" s="248"/>
      <c r="V38" s="248"/>
      <c r="W38" s="248"/>
      <c r="X38" s="248"/>
      <c r="Y38" s="248"/>
      <c r="Z38" s="248"/>
      <c r="AA38" s="248"/>
    </row>
    <row r="39">
      <c r="A39" s="141"/>
      <c r="B39" s="141"/>
      <c r="C39" s="141"/>
      <c r="D39" s="141"/>
      <c r="E39" s="141"/>
      <c r="F39" s="141"/>
      <c r="G39" s="141"/>
      <c r="H39" s="141"/>
      <c r="I39" s="141"/>
      <c r="J39" s="248"/>
      <c r="K39" s="248"/>
      <c r="L39" s="248"/>
      <c r="M39" s="248"/>
      <c r="N39" s="248"/>
      <c r="O39" s="248"/>
      <c r="P39" s="248"/>
      <c r="Q39" s="248"/>
      <c r="R39" s="248"/>
      <c r="S39" s="248"/>
      <c r="T39" s="248"/>
      <c r="U39" s="248"/>
      <c r="V39" s="248"/>
      <c r="W39" s="248"/>
      <c r="X39" s="248"/>
      <c r="Y39" s="248"/>
      <c r="Z39" s="248"/>
      <c r="AA39" s="248"/>
    </row>
    <row r="40">
      <c r="A40" s="141"/>
      <c r="B40" s="141"/>
      <c r="C40" s="141"/>
      <c r="D40" s="141"/>
      <c r="E40" s="141"/>
      <c r="F40" s="141"/>
      <c r="G40" s="141"/>
      <c r="H40" s="141"/>
      <c r="I40" s="141"/>
      <c r="J40" s="248"/>
      <c r="K40" s="248"/>
      <c r="L40" s="248"/>
      <c r="M40" s="248"/>
      <c r="N40" s="248"/>
      <c r="O40" s="248"/>
      <c r="P40" s="248"/>
      <c r="Q40" s="248"/>
      <c r="R40" s="248"/>
      <c r="S40" s="248"/>
      <c r="T40" s="248"/>
      <c r="U40" s="248"/>
      <c r="V40" s="248"/>
      <c r="W40" s="248"/>
      <c r="X40" s="248"/>
      <c r="Y40" s="248"/>
      <c r="Z40" s="248"/>
      <c r="AA40" s="248"/>
    </row>
    <row r="41">
      <c r="A41" s="141"/>
      <c r="B41" s="141"/>
      <c r="C41" s="141"/>
      <c r="D41" s="141"/>
      <c r="E41" s="141"/>
      <c r="F41" s="141"/>
      <c r="G41" s="141"/>
      <c r="H41" s="141"/>
      <c r="I41" s="141"/>
      <c r="J41" s="248"/>
      <c r="K41" s="248"/>
      <c r="L41" s="248"/>
      <c r="M41" s="248"/>
      <c r="N41" s="248"/>
      <c r="O41" s="248"/>
      <c r="P41" s="248"/>
      <c r="Q41" s="248"/>
      <c r="R41" s="248"/>
      <c r="S41" s="248"/>
      <c r="T41" s="248"/>
      <c r="U41" s="248"/>
      <c r="V41" s="248"/>
      <c r="W41" s="248"/>
      <c r="X41" s="248"/>
      <c r="Y41" s="248"/>
      <c r="Z41" s="248"/>
      <c r="AA41" s="248"/>
    </row>
    <row r="42">
      <c r="A42" s="141"/>
      <c r="B42" s="141"/>
      <c r="C42" s="141"/>
      <c r="D42" s="141"/>
      <c r="E42" s="141"/>
      <c r="F42" s="141"/>
      <c r="G42" s="141"/>
      <c r="H42" s="141"/>
      <c r="I42" s="141"/>
      <c r="J42" s="248"/>
      <c r="K42" s="248"/>
      <c r="L42" s="248"/>
      <c r="M42" s="248"/>
      <c r="N42" s="248"/>
      <c r="O42" s="248"/>
      <c r="P42" s="248"/>
      <c r="Q42" s="248"/>
      <c r="R42" s="248"/>
      <c r="S42" s="248"/>
      <c r="T42" s="248"/>
      <c r="U42" s="248"/>
      <c r="V42" s="248"/>
      <c r="W42" s="248"/>
      <c r="X42" s="248"/>
      <c r="Y42" s="248"/>
      <c r="Z42" s="248"/>
      <c r="AA42" s="248"/>
    </row>
    <row r="43">
      <c r="A43" s="141"/>
      <c r="B43" s="141"/>
      <c r="C43" s="141"/>
      <c r="D43" s="141"/>
      <c r="E43" s="141"/>
      <c r="F43" s="141"/>
      <c r="G43" s="141"/>
      <c r="H43" s="141"/>
      <c r="I43" s="141"/>
      <c r="J43" s="248"/>
      <c r="K43" s="248"/>
      <c r="L43" s="248"/>
      <c r="M43" s="248"/>
      <c r="N43" s="248"/>
      <c r="O43" s="248"/>
      <c r="P43" s="248"/>
      <c r="Q43" s="248"/>
      <c r="R43" s="248"/>
      <c r="S43" s="248"/>
      <c r="T43" s="248"/>
      <c r="U43" s="248"/>
      <c r="V43" s="248"/>
      <c r="W43" s="248"/>
      <c r="X43" s="248"/>
      <c r="Y43" s="248"/>
      <c r="Z43" s="248"/>
      <c r="AA43" s="248"/>
    </row>
    <row r="44">
      <c r="A44" s="141"/>
      <c r="B44" s="141"/>
      <c r="C44" s="141"/>
      <c r="D44" s="141"/>
      <c r="E44" s="141"/>
      <c r="F44" s="141"/>
      <c r="G44" s="141"/>
      <c r="H44" s="141"/>
      <c r="I44" s="141"/>
      <c r="J44" s="248"/>
      <c r="K44" s="248"/>
      <c r="L44" s="248"/>
      <c r="M44" s="248"/>
      <c r="N44" s="248"/>
      <c r="O44" s="248"/>
      <c r="P44" s="248"/>
      <c r="Q44" s="248"/>
      <c r="R44" s="248"/>
      <c r="S44" s="248"/>
      <c r="T44" s="248"/>
      <c r="U44" s="248"/>
      <c r="V44" s="248"/>
      <c r="W44" s="248"/>
      <c r="X44" s="248"/>
      <c r="Y44" s="248"/>
      <c r="Z44" s="248"/>
      <c r="AA44" s="248"/>
    </row>
    <row r="45">
      <c r="A45" s="141"/>
      <c r="B45" s="141"/>
      <c r="C45" s="141"/>
      <c r="D45" s="141"/>
      <c r="E45" s="141"/>
      <c r="F45" s="141"/>
      <c r="G45" s="141"/>
      <c r="H45" s="141"/>
      <c r="I45" s="141"/>
      <c r="J45" s="248"/>
      <c r="K45" s="248"/>
      <c r="L45" s="248"/>
      <c r="M45" s="248"/>
      <c r="N45" s="248"/>
      <c r="O45" s="248"/>
      <c r="P45" s="248"/>
      <c r="Q45" s="248"/>
      <c r="R45" s="248"/>
      <c r="S45" s="248"/>
      <c r="T45" s="248"/>
      <c r="U45" s="248"/>
      <c r="V45" s="248"/>
      <c r="W45" s="248"/>
      <c r="X45" s="248"/>
      <c r="Y45" s="248"/>
      <c r="Z45" s="248"/>
      <c r="AA45" s="248"/>
    </row>
    <row r="46">
      <c r="A46" s="141"/>
      <c r="B46" s="141"/>
      <c r="C46" s="141"/>
      <c r="D46" s="141"/>
      <c r="E46" s="141"/>
      <c r="F46" s="141"/>
      <c r="G46" s="141"/>
      <c r="H46" s="141"/>
      <c r="I46" s="141"/>
      <c r="J46" s="248"/>
      <c r="K46" s="248"/>
      <c r="L46" s="248"/>
      <c r="M46" s="248"/>
      <c r="N46" s="248"/>
      <c r="O46" s="248"/>
      <c r="P46" s="248"/>
      <c r="Q46" s="248"/>
      <c r="R46" s="248"/>
      <c r="S46" s="248"/>
      <c r="T46" s="248"/>
      <c r="U46" s="248"/>
      <c r="V46" s="248"/>
      <c r="W46" s="248"/>
      <c r="X46" s="248"/>
      <c r="Y46" s="248"/>
      <c r="Z46" s="248"/>
      <c r="AA46" s="248"/>
    </row>
    <row r="47">
      <c r="A47" s="141"/>
      <c r="B47" s="141"/>
      <c r="C47" s="141"/>
      <c r="D47" s="141"/>
      <c r="E47" s="141"/>
      <c r="F47" s="141"/>
      <c r="G47" s="141"/>
      <c r="H47" s="141"/>
      <c r="I47" s="141"/>
      <c r="J47" s="248"/>
      <c r="K47" s="248"/>
      <c r="L47" s="248"/>
      <c r="M47" s="248"/>
      <c r="N47" s="248"/>
      <c r="O47" s="248"/>
      <c r="P47" s="248"/>
      <c r="Q47" s="248"/>
      <c r="R47" s="248"/>
      <c r="S47" s="248"/>
      <c r="T47" s="248"/>
      <c r="U47" s="248"/>
      <c r="V47" s="248"/>
      <c r="W47" s="248"/>
      <c r="X47" s="248"/>
      <c r="Y47" s="248"/>
      <c r="Z47" s="248"/>
      <c r="AA47" s="248"/>
    </row>
    <row r="48">
      <c r="A48" s="141"/>
      <c r="B48" s="141"/>
      <c r="C48" s="141"/>
      <c r="D48" s="141"/>
      <c r="E48" s="141"/>
      <c r="F48" s="141"/>
      <c r="G48" s="141"/>
      <c r="H48" s="141"/>
      <c r="I48" s="141"/>
      <c r="J48" s="248"/>
      <c r="K48" s="248"/>
      <c r="L48" s="248"/>
      <c r="M48" s="248"/>
      <c r="N48" s="248"/>
      <c r="O48" s="248"/>
      <c r="P48" s="248"/>
      <c r="Q48" s="248"/>
      <c r="R48" s="248"/>
      <c r="S48" s="248"/>
      <c r="T48" s="248"/>
      <c r="U48" s="248"/>
      <c r="V48" s="248"/>
      <c r="W48" s="248"/>
      <c r="X48" s="248"/>
      <c r="Y48" s="248"/>
      <c r="Z48" s="248"/>
      <c r="AA48" s="248"/>
    </row>
    <row r="49">
      <c r="A49" s="141"/>
      <c r="B49" s="141"/>
      <c r="C49" s="141"/>
      <c r="D49" s="141"/>
      <c r="E49" s="141"/>
      <c r="F49" s="141"/>
      <c r="G49" s="141"/>
      <c r="H49" s="141"/>
      <c r="I49" s="141"/>
      <c r="J49" s="248"/>
      <c r="K49" s="248"/>
      <c r="L49" s="248"/>
      <c r="M49" s="248"/>
      <c r="N49" s="248"/>
      <c r="O49" s="248"/>
      <c r="P49" s="248"/>
      <c r="Q49" s="248"/>
      <c r="R49" s="248"/>
      <c r="S49" s="248"/>
      <c r="T49" s="248"/>
      <c r="U49" s="248"/>
      <c r="V49" s="248"/>
      <c r="W49" s="248"/>
      <c r="X49" s="248"/>
      <c r="Y49" s="248"/>
      <c r="Z49" s="248"/>
      <c r="AA49" s="248"/>
    </row>
    <row r="50">
      <c r="A50" s="141"/>
      <c r="B50" s="141"/>
      <c r="C50" s="141"/>
      <c r="D50" s="141"/>
      <c r="E50" s="141"/>
      <c r="F50" s="141"/>
      <c r="G50" s="141"/>
      <c r="H50" s="141"/>
      <c r="I50" s="141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Z50" s="248"/>
      <c r="AA50" s="248"/>
    </row>
    <row r="51">
      <c r="A51" s="248"/>
      <c r="B51" s="248"/>
      <c r="C51" s="248"/>
      <c r="D51" s="248"/>
      <c r="E51" s="248"/>
      <c r="F51" s="248"/>
      <c r="G51" s="248"/>
      <c r="H51" s="248"/>
      <c r="I51" s="248"/>
      <c r="J51" s="248"/>
      <c r="K51" s="248"/>
      <c r="L51" s="248"/>
      <c r="M51" s="248"/>
      <c r="N51" s="248"/>
      <c r="O51" s="248"/>
      <c r="P51" s="248"/>
      <c r="Q51" s="248"/>
      <c r="R51" s="248"/>
      <c r="S51" s="248"/>
      <c r="T51" s="248"/>
      <c r="U51" s="248"/>
      <c r="V51" s="248"/>
      <c r="W51" s="248"/>
      <c r="X51" s="248"/>
      <c r="Y51" s="248"/>
      <c r="Z51" s="248"/>
      <c r="AA51" s="248"/>
    </row>
    <row r="52">
      <c r="A52" s="248"/>
      <c r="B52" s="248"/>
      <c r="C52" s="248"/>
      <c r="D52" s="248"/>
      <c r="E52" s="248"/>
      <c r="F52" s="248"/>
      <c r="G52" s="248"/>
      <c r="H52" s="248"/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48"/>
      <c r="T52" s="248"/>
      <c r="U52" s="248"/>
      <c r="V52" s="248"/>
      <c r="W52" s="248"/>
      <c r="X52" s="248"/>
      <c r="Y52" s="248"/>
      <c r="Z52" s="248"/>
      <c r="AA52" s="248"/>
    </row>
    <row r="53">
      <c r="A53" s="248"/>
      <c r="B53" s="248"/>
      <c r="C53" s="248"/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8"/>
      <c r="O53" s="248"/>
      <c r="P53" s="248"/>
      <c r="Q53" s="248"/>
      <c r="R53" s="248"/>
      <c r="S53" s="248"/>
      <c r="T53" s="248"/>
      <c r="U53" s="248"/>
      <c r="V53" s="248"/>
      <c r="W53" s="248"/>
      <c r="X53" s="248"/>
      <c r="Y53" s="248"/>
      <c r="Z53" s="248"/>
      <c r="AA53" s="248"/>
    </row>
    <row r="54">
      <c r="A54" s="248"/>
      <c r="B54" s="248"/>
      <c r="C54" s="248"/>
      <c r="D54" s="248"/>
      <c r="E54" s="248"/>
      <c r="F54" s="248"/>
      <c r="G54" s="248"/>
      <c r="H54" s="248"/>
      <c r="I54" s="248"/>
      <c r="J54" s="248"/>
      <c r="K54" s="248"/>
      <c r="L54" s="248"/>
      <c r="M54" s="248"/>
      <c r="N54" s="248"/>
      <c r="O54" s="248"/>
      <c r="P54" s="248"/>
      <c r="Q54" s="248"/>
      <c r="R54" s="248"/>
      <c r="S54" s="248"/>
      <c r="T54" s="248"/>
      <c r="U54" s="248"/>
      <c r="V54" s="248"/>
      <c r="W54" s="248"/>
      <c r="X54" s="248"/>
      <c r="Y54" s="248"/>
      <c r="Z54" s="248"/>
      <c r="AA54" s="248"/>
    </row>
    <row r="55">
      <c r="A55" s="248"/>
      <c r="B55" s="248"/>
      <c r="C55" s="248"/>
      <c r="D55" s="248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8"/>
    </row>
    <row r="56">
      <c r="A56" s="248"/>
      <c r="B56" s="248"/>
      <c r="C56" s="248"/>
      <c r="D56" s="248"/>
      <c r="E56" s="248"/>
      <c r="F56" s="248"/>
      <c r="G56" s="248"/>
      <c r="H56" s="248"/>
      <c r="I56" s="248"/>
      <c r="J56" s="248"/>
      <c r="K56" s="248"/>
      <c r="L56" s="248"/>
      <c r="M56" s="248"/>
      <c r="N56" s="248"/>
      <c r="O56" s="248"/>
      <c r="P56" s="248"/>
      <c r="Q56" s="248"/>
      <c r="R56" s="248"/>
      <c r="S56" s="248"/>
      <c r="T56" s="248"/>
      <c r="U56" s="248"/>
      <c r="V56" s="248"/>
      <c r="W56" s="248"/>
      <c r="X56" s="248"/>
      <c r="Y56" s="248"/>
      <c r="Z56" s="248"/>
      <c r="AA56" s="248"/>
    </row>
    <row r="57">
      <c r="A57" s="248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Z57" s="248"/>
      <c r="AA57" s="248"/>
    </row>
    <row r="58">
      <c r="A58" s="248"/>
      <c r="B58" s="248"/>
      <c r="C58" s="248"/>
      <c r="D58" s="248"/>
      <c r="E58" s="248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8"/>
      <c r="R58" s="248"/>
      <c r="S58" s="248"/>
      <c r="T58" s="248"/>
      <c r="U58" s="248"/>
      <c r="V58" s="248"/>
      <c r="W58" s="248"/>
      <c r="X58" s="248"/>
      <c r="Y58" s="248"/>
      <c r="Z58" s="248"/>
      <c r="AA58" s="248"/>
    </row>
    <row r="59">
      <c r="A59" s="248"/>
      <c r="B59" s="248"/>
      <c r="C59" s="248"/>
      <c r="D59" s="248"/>
      <c r="E59" s="248"/>
      <c r="F59" s="248"/>
      <c r="G59" s="248"/>
      <c r="H59" s="248"/>
      <c r="I59" s="248"/>
      <c r="J59" s="248"/>
      <c r="K59" s="248"/>
      <c r="L59" s="248"/>
      <c r="M59" s="248"/>
      <c r="N59" s="248"/>
      <c r="O59" s="248"/>
      <c r="P59" s="248"/>
      <c r="Q59" s="248"/>
      <c r="R59" s="248"/>
      <c r="S59" s="248"/>
      <c r="T59" s="248"/>
      <c r="U59" s="248"/>
      <c r="V59" s="248"/>
      <c r="W59" s="248"/>
      <c r="X59" s="248"/>
      <c r="Y59" s="248"/>
      <c r="Z59" s="248"/>
      <c r="AA59" s="248"/>
    </row>
    <row r="60">
      <c r="A60" s="248"/>
      <c r="B60" s="248"/>
      <c r="C60" s="248"/>
      <c r="D60" s="248"/>
      <c r="E60" s="248"/>
      <c r="F60" s="248"/>
      <c r="G60" s="248"/>
      <c r="H60" s="248"/>
      <c r="I60" s="248"/>
      <c r="J60" s="248"/>
      <c r="K60" s="248"/>
      <c r="L60" s="248"/>
      <c r="M60" s="248"/>
      <c r="N60" s="248"/>
      <c r="O60" s="248"/>
      <c r="P60" s="248"/>
      <c r="Q60" s="248"/>
      <c r="R60" s="248"/>
      <c r="S60" s="248"/>
      <c r="T60" s="248"/>
      <c r="U60" s="248"/>
      <c r="V60" s="248"/>
      <c r="W60" s="248"/>
      <c r="X60" s="248"/>
      <c r="Y60" s="248"/>
      <c r="Z60" s="248"/>
      <c r="AA60" s="248"/>
    </row>
    <row r="61">
      <c r="A61" s="248"/>
      <c r="B61" s="248"/>
      <c r="C61" s="248"/>
      <c r="D61" s="248"/>
      <c r="E61" s="248"/>
      <c r="F61" s="248"/>
      <c r="G61" s="248"/>
      <c r="H61" s="248"/>
      <c r="I61" s="248"/>
      <c r="J61" s="248"/>
      <c r="K61" s="248"/>
      <c r="L61" s="248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8"/>
      <c r="X61" s="248"/>
      <c r="Y61" s="248"/>
      <c r="Z61" s="248"/>
      <c r="AA61" s="248"/>
    </row>
    <row r="62">
      <c r="A62" s="248"/>
      <c r="B62" s="248"/>
      <c r="C62" s="248"/>
      <c r="D62" s="248"/>
      <c r="E62" s="248"/>
      <c r="F62" s="248"/>
      <c r="G62" s="248"/>
      <c r="H62" s="248"/>
      <c r="I62" s="248"/>
      <c r="J62" s="248"/>
      <c r="K62" s="248"/>
      <c r="L62" s="248"/>
      <c r="M62" s="248"/>
      <c r="N62" s="248"/>
      <c r="O62" s="248"/>
      <c r="P62" s="248"/>
      <c r="Q62" s="248"/>
      <c r="R62" s="248"/>
      <c r="S62" s="248"/>
      <c r="T62" s="248"/>
      <c r="U62" s="248"/>
      <c r="V62" s="248"/>
      <c r="W62" s="248"/>
      <c r="X62" s="248"/>
      <c r="Y62" s="248"/>
      <c r="Z62" s="248"/>
      <c r="AA62" s="248"/>
    </row>
    <row r="63">
      <c r="A63" s="248"/>
      <c r="B63" s="248"/>
      <c r="C63" s="248"/>
      <c r="D63" s="248"/>
      <c r="E63" s="248"/>
      <c r="F63" s="248"/>
      <c r="G63" s="248"/>
      <c r="H63" s="248"/>
      <c r="I63" s="248"/>
      <c r="J63" s="248"/>
      <c r="K63" s="248"/>
      <c r="L63" s="248"/>
      <c r="M63" s="248"/>
      <c r="N63" s="248"/>
      <c r="O63" s="248"/>
      <c r="P63" s="248"/>
      <c r="Q63" s="248"/>
      <c r="R63" s="248"/>
      <c r="S63" s="248"/>
      <c r="T63" s="248"/>
      <c r="U63" s="248"/>
      <c r="V63" s="248"/>
      <c r="W63" s="248"/>
      <c r="X63" s="248"/>
      <c r="Y63" s="248"/>
      <c r="Z63" s="248"/>
      <c r="AA63" s="248"/>
    </row>
    <row r="64">
      <c r="A64" s="248"/>
      <c r="B64" s="248"/>
      <c r="C64" s="248"/>
      <c r="D64" s="248"/>
      <c r="E64" s="248"/>
      <c r="F64" s="248"/>
      <c r="G64" s="248"/>
      <c r="H64" s="248"/>
      <c r="I64" s="248"/>
      <c r="J64" s="248"/>
      <c r="K64" s="248"/>
      <c r="L64" s="248"/>
      <c r="M64" s="248"/>
      <c r="N64" s="248"/>
      <c r="O64" s="248"/>
      <c r="P64" s="248"/>
      <c r="Q64" s="248"/>
      <c r="R64" s="248"/>
      <c r="S64" s="248"/>
      <c r="T64" s="248"/>
      <c r="U64" s="248"/>
      <c r="V64" s="248"/>
      <c r="W64" s="248"/>
      <c r="X64" s="248"/>
      <c r="Y64" s="248"/>
      <c r="Z64" s="248"/>
      <c r="AA64" s="248"/>
    </row>
    <row r="65">
      <c r="A65" s="248"/>
      <c r="B65" s="248"/>
      <c r="C65" s="248"/>
      <c r="D65" s="248"/>
      <c r="E65" s="248"/>
      <c r="F65" s="248"/>
      <c r="G65" s="248"/>
      <c r="H65" s="248"/>
      <c r="I65" s="248"/>
      <c r="J65" s="248"/>
      <c r="K65" s="248"/>
      <c r="L65" s="248"/>
      <c r="M65" s="248"/>
      <c r="N65" s="248"/>
      <c r="O65" s="248"/>
      <c r="P65" s="248"/>
      <c r="Q65" s="248"/>
      <c r="R65" s="248"/>
      <c r="S65" s="248"/>
      <c r="T65" s="248"/>
      <c r="U65" s="248"/>
      <c r="V65" s="248"/>
      <c r="W65" s="248"/>
      <c r="X65" s="248"/>
      <c r="Y65" s="248"/>
      <c r="Z65" s="248"/>
      <c r="AA65" s="248"/>
    </row>
    <row r="66">
      <c r="A66" s="248"/>
      <c r="B66" s="248"/>
      <c r="C66" s="248"/>
      <c r="D66" s="248"/>
      <c r="E66" s="248"/>
      <c r="F66" s="248"/>
      <c r="G66" s="248"/>
      <c r="H66" s="248"/>
      <c r="I66" s="248"/>
      <c r="J66" s="248"/>
      <c r="K66" s="248"/>
      <c r="L66" s="248"/>
      <c r="M66" s="248"/>
      <c r="N66" s="248"/>
      <c r="O66" s="248"/>
      <c r="P66" s="248"/>
      <c r="Q66" s="248"/>
      <c r="R66" s="248"/>
      <c r="S66" s="248"/>
      <c r="T66" s="248"/>
      <c r="U66" s="248"/>
      <c r="V66" s="248"/>
      <c r="W66" s="248"/>
      <c r="X66" s="248"/>
      <c r="Y66" s="248"/>
      <c r="Z66" s="248"/>
      <c r="AA66" s="248"/>
    </row>
    <row r="67">
      <c r="A67" s="248"/>
      <c r="B67" s="248"/>
      <c r="C67" s="248"/>
      <c r="D67" s="248"/>
      <c r="E67" s="248"/>
      <c r="F67" s="248"/>
      <c r="G67" s="248"/>
      <c r="H67" s="248"/>
      <c r="I67" s="248"/>
      <c r="J67" s="248"/>
      <c r="K67" s="248"/>
      <c r="L67" s="248"/>
      <c r="M67" s="248"/>
      <c r="N67" s="248"/>
      <c r="O67" s="248"/>
      <c r="P67" s="248"/>
      <c r="Q67" s="248"/>
      <c r="R67" s="248"/>
      <c r="S67" s="248"/>
      <c r="T67" s="248"/>
      <c r="U67" s="248"/>
      <c r="V67" s="248"/>
      <c r="W67" s="248"/>
      <c r="X67" s="248"/>
      <c r="Y67" s="248"/>
      <c r="Z67" s="248"/>
      <c r="AA67" s="248"/>
    </row>
    <row r="68">
      <c r="A68" s="248"/>
      <c r="B68" s="248"/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</row>
    <row r="69">
      <c r="A69" s="248"/>
      <c r="B69" s="248"/>
      <c r="C69" s="248"/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/>
      <c r="P69" s="248"/>
      <c r="Q69" s="248"/>
      <c r="R69" s="248"/>
      <c r="S69" s="248"/>
      <c r="T69" s="248"/>
      <c r="U69" s="248"/>
      <c r="V69" s="248"/>
      <c r="W69" s="248"/>
      <c r="X69" s="248"/>
      <c r="Y69" s="248"/>
      <c r="Z69" s="248"/>
      <c r="AA69" s="248"/>
    </row>
    <row r="70">
      <c r="A70" s="248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8"/>
      <c r="M70" s="248"/>
      <c r="N70" s="248"/>
      <c r="O70" s="248"/>
      <c r="P70" s="248"/>
      <c r="Q70" s="248"/>
      <c r="R70" s="248"/>
      <c r="S70" s="248"/>
      <c r="T70" s="248"/>
      <c r="U70" s="248"/>
      <c r="V70" s="248"/>
      <c r="W70" s="248"/>
      <c r="X70" s="248"/>
      <c r="Y70" s="248"/>
      <c r="Z70" s="248"/>
      <c r="AA70" s="248"/>
    </row>
    <row r="71">
      <c r="A71" s="248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8"/>
      <c r="M71" s="248"/>
      <c r="N71" s="248"/>
      <c r="O71" s="248"/>
      <c r="P71" s="248"/>
      <c r="Q71" s="248"/>
      <c r="R71" s="248"/>
      <c r="S71" s="248"/>
      <c r="T71" s="248"/>
      <c r="U71" s="248"/>
      <c r="V71" s="248"/>
      <c r="W71" s="248"/>
      <c r="X71" s="248"/>
      <c r="Y71" s="248"/>
      <c r="Z71" s="248"/>
      <c r="AA71" s="248"/>
    </row>
    <row r="72">
      <c r="A72" s="248"/>
      <c r="B72" s="248"/>
      <c r="C72" s="248"/>
      <c r="D72" s="248"/>
      <c r="E72" s="248"/>
      <c r="F72" s="248"/>
      <c r="G72" s="248"/>
      <c r="H72" s="248"/>
      <c r="I72" s="248"/>
      <c r="J72" s="248"/>
      <c r="K72" s="248"/>
      <c r="L72" s="248"/>
      <c r="M72" s="248"/>
      <c r="N72" s="248"/>
      <c r="O72" s="248"/>
      <c r="P72" s="248"/>
      <c r="Q72" s="248"/>
      <c r="R72" s="248"/>
      <c r="S72" s="248"/>
      <c r="T72" s="248"/>
      <c r="U72" s="248"/>
      <c r="V72" s="248"/>
      <c r="W72" s="248"/>
      <c r="X72" s="248"/>
      <c r="Y72" s="248"/>
      <c r="Z72" s="248"/>
      <c r="AA72" s="248"/>
    </row>
    <row r="73">
      <c r="A73" s="248"/>
      <c r="B73" s="248"/>
      <c r="C73" s="248"/>
      <c r="D73" s="248"/>
      <c r="E73" s="248"/>
      <c r="F73" s="248"/>
      <c r="G73" s="248"/>
      <c r="H73" s="248"/>
      <c r="I73" s="248"/>
      <c r="J73" s="248"/>
      <c r="K73" s="248"/>
      <c r="L73" s="248"/>
      <c r="M73" s="248"/>
      <c r="N73" s="248"/>
      <c r="O73" s="248"/>
      <c r="P73" s="248"/>
      <c r="Q73" s="248"/>
      <c r="R73" s="248"/>
      <c r="S73" s="248"/>
      <c r="T73" s="248"/>
      <c r="U73" s="248"/>
      <c r="V73" s="248"/>
      <c r="W73" s="248"/>
      <c r="X73" s="248"/>
      <c r="Y73" s="248"/>
      <c r="Z73" s="248"/>
      <c r="AA73" s="248"/>
    </row>
    <row r="74">
      <c r="A74" s="248"/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8"/>
      <c r="M74" s="248"/>
      <c r="N74" s="248"/>
      <c r="O74" s="248"/>
      <c r="P74" s="248"/>
      <c r="Q74" s="248"/>
      <c r="R74" s="248"/>
      <c r="S74" s="248"/>
      <c r="T74" s="248"/>
      <c r="U74" s="248"/>
      <c r="V74" s="248"/>
      <c r="W74" s="248"/>
      <c r="X74" s="248"/>
      <c r="Y74" s="248"/>
      <c r="Z74" s="248"/>
      <c r="AA74" s="248"/>
    </row>
    <row r="75">
      <c r="A75" s="248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8"/>
      <c r="M75" s="248"/>
      <c r="N75" s="248"/>
      <c r="O75" s="248"/>
      <c r="P75" s="248"/>
      <c r="Q75" s="248"/>
      <c r="R75" s="248"/>
      <c r="S75" s="248"/>
      <c r="T75" s="248"/>
      <c r="U75" s="248"/>
      <c r="V75" s="248"/>
      <c r="W75" s="248"/>
      <c r="X75" s="248"/>
      <c r="Y75" s="248"/>
      <c r="Z75" s="248"/>
      <c r="AA75" s="248"/>
    </row>
    <row r="76">
      <c r="A76" s="248"/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8"/>
      <c r="M76" s="248"/>
      <c r="N76" s="248"/>
      <c r="O76" s="248"/>
      <c r="P76" s="248"/>
      <c r="Q76" s="248"/>
      <c r="R76" s="248"/>
      <c r="S76" s="248"/>
      <c r="T76" s="248"/>
      <c r="U76" s="248"/>
      <c r="V76" s="248"/>
      <c r="W76" s="248"/>
      <c r="X76" s="248"/>
      <c r="Y76" s="248"/>
      <c r="Z76" s="248"/>
      <c r="AA76" s="248"/>
    </row>
    <row r="77">
      <c r="A77" s="248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8"/>
      <c r="M77" s="248"/>
      <c r="N77" s="248"/>
      <c r="O77" s="248"/>
      <c r="P77" s="248"/>
      <c r="Q77" s="248"/>
      <c r="R77" s="248"/>
      <c r="S77" s="248"/>
      <c r="T77" s="248"/>
      <c r="U77" s="248"/>
      <c r="V77" s="248"/>
      <c r="W77" s="248"/>
      <c r="X77" s="248"/>
      <c r="Y77" s="248"/>
      <c r="Z77" s="248"/>
      <c r="AA77" s="248"/>
    </row>
    <row r="78">
      <c r="A78" s="248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8"/>
      <c r="M78" s="248"/>
      <c r="N78" s="248"/>
      <c r="O78" s="248"/>
      <c r="P78" s="248"/>
      <c r="Q78" s="248"/>
      <c r="R78" s="248"/>
      <c r="S78" s="248"/>
      <c r="T78" s="248"/>
      <c r="U78" s="248"/>
      <c r="V78" s="248"/>
      <c r="W78" s="248"/>
      <c r="X78" s="248"/>
      <c r="Y78" s="248"/>
      <c r="Z78" s="248"/>
      <c r="AA78" s="248"/>
    </row>
    <row r="79">
      <c r="A79" s="248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Z79" s="248"/>
      <c r="AA79" s="248"/>
    </row>
    <row r="80">
      <c r="A80" s="248"/>
      <c r="B80" s="248"/>
      <c r="C80" s="248"/>
      <c r="D80" s="248"/>
      <c r="E80" s="248"/>
      <c r="F80" s="248"/>
      <c r="G80" s="248"/>
      <c r="H80" s="248"/>
      <c r="I80" s="248"/>
      <c r="J80" s="248"/>
      <c r="K80" s="248"/>
      <c r="L80" s="248"/>
      <c r="M80" s="248"/>
      <c r="N80" s="248"/>
      <c r="O80" s="248"/>
      <c r="P80" s="248"/>
      <c r="Q80" s="248"/>
      <c r="R80" s="248"/>
      <c r="S80" s="248"/>
      <c r="T80" s="248"/>
      <c r="U80" s="248"/>
      <c r="V80" s="248"/>
      <c r="W80" s="248"/>
      <c r="X80" s="248"/>
      <c r="Y80" s="248"/>
      <c r="Z80" s="248"/>
      <c r="AA80" s="248"/>
    </row>
    <row r="81">
      <c r="A81" s="248"/>
      <c r="B81" s="248"/>
      <c r="C81" s="248"/>
      <c r="D81" s="248"/>
      <c r="E81" s="248"/>
      <c r="F81" s="248"/>
      <c r="G81" s="248"/>
      <c r="H81" s="248"/>
      <c r="I81" s="248"/>
      <c r="J81" s="248"/>
      <c r="K81" s="248"/>
      <c r="L81" s="248"/>
      <c r="M81" s="248"/>
      <c r="N81" s="248"/>
      <c r="O81" s="248"/>
      <c r="P81" s="248"/>
      <c r="Q81" s="248"/>
      <c r="R81" s="248"/>
      <c r="S81" s="248"/>
      <c r="T81" s="248"/>
      <c r="U81" s="248"/>
      <c r="V81" s="248"/>
      <c r="W81" s="248"/>
      <c r="X81" s="248"/>
      <c r="Y81" s="248"/>
      <c r="Z81" s="248"/>
      <c r="AA81" s="248"/>
    </row>
    <row r="82">
      <c r="A82" s="248"/>
      <c r="B82" s="248"/>
      <c r="C82" s="248"/>
      <c r="D82" s="248"/>
      <c r="E82" s="248"/>
      <c r="F82" s="248"/>
      <c r="G82" s="248"/>
      <c r="H82" s="248"/>
      <c r="I82" s="248"/>
      <c r="J82" s="248"/>
      <c r="K82" s="248"/>
      <c r="L82" s="248"/>
      <c r="M82" s="248"/>
      <c r="N82" s="248"/>
      <c r="O82" s="248"/>
      <c r="P82" s="248"/>
      <c r="Q82" s="248"/>
      <c r="R82" s="248"/>
      <c r="S82" s="248"/>
      <c r="T82" s="248"/>
      <c r="U82" s="248"/>
      <c r="V82" s="248"/>
      <c r="W82" s="248"/>
      <c r="X82" s="248"/>
      <c r="Y82" s="248"/>
      <c r="Z82" s="248"/>
      <c r="AA82" s="248"/>
    </row>
    <row r="83">
      <c r="A83" s="248"/>
      <c r="B83" s="248"/>
      <c r="C83" s="248"/>
      <c r="D83" s="248"/>
      <c r="E83" s="248"/>
      <c r="F83" s="248"/>
      <c r="G83" s="248"/>
      <c r="H83" s="248"/>
      <c r="I83" s="248"/>
      <c r="J83" s="248"/>
      <c r="K83" s="248"/>
      <c r="L83" s="248"/>
      <c r="M83" s="248"/>
      <c r="N83" s="248"/>
      <c r="O83" s="248"/>
      <c r="P83" s="248"/>
      <c r="Q83" s="248"/>
      <c r="R83" s="248"/>
      <c r="S83" s="248"/>
      <c r="T83" s="248"/>
      <c r="U83" s="248"/>
      <c r="V83" s="248"/>
      <c r="W83" s="248"/>
      <c r="X83" s="248"/>
      <c r="Y83" s="248"/>
      <c r="Z83" s="248"/>
      <c r="AA83" s="248"/>
    </row>
    <row r="84">
      <c r="A84" s="248"/>
      <c r="B84" s="248"/>
      <c r="C84" s="248"/>
      <c r="D84" s="248"/>
      <c r="E84" s="248"/>
      <c r="F84" s="248"/>
      <c r="G84" s="248"/>
      <c r="H84" s="248"/>
      <c r="I84" s="248"/>
      <c r="J84" s="248"/>
      <c r="K84" s="248"/>
      <c r="L84" s="248"/>
      <c r="M84" s="248"/>
      <c r="N84" s="248"/>
      <c r="O84" s="248"/>
      <c r="P84" s="248"/>
      <c r="Q84" s="248"/>
      <c r="R84" s="248"/>
      <c r="S84" s="248"/>
      <c r="T84" s="248"/>
      <c r="U84" s="248"/>
      <c r="V84" s="248"/>
      <c r="W84" s="248"/>
      <c r="X84" s="248"/>
      <c r="Y84" s="248"/>
      <c r="Z84" s="248"/>
      <c r="AA84" s="248"/>
    </row>
    <row r="85">
      <c r="A85" s="248"/>
      <c r="B85" s="248"/>
      <c r="C85" s="248"/>
      <c r="D85" s="248"/>
      <c r="E85" s="248"/>
      <c r="F85" s="248"/>
      <c r="G85" s="248"/>
      <c r="H85" s="248"/>
      <c r="I85" s="248"/>
      <c r="J85" s="248"/>
      <c r="K85" s="248"/>
      <c r="L85" s="248"/>
      <c r="M85" s="248"/>
      <c r="N85" s="248"/>
      <c r="O85" s="248"/>
      <c r="P85" s="248"/>
      <c r="Q85" s="248"/>
      <c r="R85" s="248"/>
      <c r="S85" s="248"/>
      <c r="T85" s="248"/>
      <c r="U85" s="248"/>
      <c r="V85" s="248"/>
      <c r="W85" s="248"/>
      <c r="X85" s="248"/>
      <c r="Y85" s="248"/>
      <c r="Z85" s="248"/>
      <c r="AA85" s="248"/>
    </row>
    <row r="86">
      <c r="A86" s="248"/>
      <c r="B86" s="248"/>
      <c r="C86" s="248"/>
      <c r="D86" s="248"/>
      <c r="E86" s="248"/>
      <c r="F86" s="248"/>
      <c r="G86" s="248"/>
      <c r="H86" s="248"/>
      <c r="I86" s="248"/>
      <c r="J86" s="248"/>
      <c r="K86" s="248"/>
      <c r="L86" s="248"/>
      <c r="M86" s="248"/>
      <c r="N86" s="248"/>
      <c r="O86" s="248"/>
      <c r="P86" s="248"/>
      <c r="Q86" s="248"/>
      <c r="R86" s="248"/>
      <c r="S86" s="248"/>
      <c r="T86" s="248"/>
      <c r="U86" s="248"/>
      <c r="V86" s="248"/>
      <c r="W86" s="248"/>
      <c r="X86" s="248"/>
      <c r="Y86" s="248"/>
      <c r="Z86" s="248"/>
      <c r="AA86" s="248"/>
    </row>
    <row r="87">
      <c r="A87" s="248"/>
      <c r="B87" s="248"/>
      <c r="C87" s="248"/>
      <c r="D87" s="248"/>
      <c r="E87" s="248"/>
      <c r="F87" s="248"/>
      <c r="G87" s="248"/>
      <c r="H87" s="248"/>
      <c r="I87" s="248"/>
      <c r="J87" s="248"/>
      <c r="K87" s="248"/>
      <c r="L87" s="248"/>
      <c r="M87" s="248"/>
      <c r="N87" s="248"/>
      <c r="O87" s="248"/>
      <c r="P87" s="248"/>
      <c r="Q87" s="248"/>
      <c r="R87" s="248"/>
      <c r="S87" s="248"/>
      <c r="T87" s="248"/>
      <c r="U87" s="248"/>
      <c r="V87" s="248"/>
      <c r="W87" s="248"/>
      <c r="X87" s="248"/>
      <c r="Y87" s="248"/>
      <c r="Z87" s="248"/>
      <c r="AA87" s="248"/>
    </row>
    <row r="88">
      <c r="A88" s="248"/>
      <c r="B88" s="248"/>
      <c r="C88" s="248"/>
      <c r="D88" s="248"/>
      <c r="E88" s="248"/>
      <c r="F88" s="248"/>
      <c r="G88" s="248"/>
      <c r="H88" s="248"/>
      <c r="I88" s="248"/>
      <c r="J88" s="248"/>
      <c r="K88" s="248"/>
      <c r="L88" s="248"/>
      <c r="M88" s="248"/>
      <c r="N88" s="248"/>
      <c r="O88" s="248"/>
      <c r="P88" s="248"/>
      <c r="Q88" s="248"/>
      <c r="R88" s="248"/>
      <c r="S88" s="248"/>
      <c r="T88" s="248"/>
      <c r="U88" s="248"/>
      <c r="V88" s="248"/>
      <c r="W88" s="248"/>
      <c r="X88" s="248"/>
      <c r="Y88" s="248"/>
      <c r="Z88" s="248"/>
      <c r="AA88" s="248"/>
    </row>
    <row r="89">
      <c r="A89" s="248"/>
      <c r="B89" s="248"/>
      <c r="C89" s="248"/>
      <c r="D89" s="248"/>
      <c r="E89" s="248"/>
      <c r="F89" s="248"/>
      <c r="G89" s="248"/>
      <c r="H89" s="248"/>
      <c r="I89" s="248"/>
      <c r="J89" s="248"/>
      <c r="K89" s="248"/>
      <c r="L89" s="248"/>
      <c r="M89" s="248"/>
      <c r="N89" s="248"/>
      <c r="O89" s="248"/>
      <c r="P89" s="248"/>
      <c r="Q89" s="248"/>
      <c r="R89" s="248"/>
      <c r="S89" s="248"/>
      <c r="T89" s="248"/>
      <c r="U89" s="248"/>
      <c r="V89" s="248"/>
      <c r="W89" s="248"/>
      <c r="X89" s="248"/>
      <c r="Y89" s="248"/>
      <c r="Z89" s="248"/>
      <c r="AA89" s="248"/>
    </row>
    <row r="90">
      <c r="A90" s="248"/>
      <c r="B90" s="248"/>
      <c r="C90" s="248"/>
      <c r="D90" s="248"/>
      <c r="E90" s="248"/>
      <c r="F90" s="248"/>
      <c r="G90" s="248"/>
      <c r="H90" s="248"/>
      <c r="I90" s="248"/>
      <c r="J90" s="248"/>
      <c r="K90" s="248"/>
      <c r="L90" s="248"/>
      <c r="M90" s="248"/>
      <c r="N90" s="248"/>
      <c r="O90" s="248"/>
      <c r="P90" s="248"/>
      <c r="Q90" s="248"/>
      <c r="R90" s="248"/>
      <c r="S90" s="248"/>
      <c r="T90" s="248"/>
      <c r="U90" s="248"/>
      <c r="V90" s="248"/>
      <c r="W90" s="248"/>
      <c r="X90" s="248"/>
      <c r="Y90" s="248"/>
      <c r="Z90" s="248"/>
      <c r="AA90" s="248"/>
    </row>
    <row r="91">
      <c r="A91" s="248"/>
      <c r="B91" s="248"/>
      <c r="C91" s="248"/>
      <c r="D91" s="248"/>
      <c r="E91" s="248"/>
      <c r="F91" s="248"/>
      <c r="G91" s="248"/>
      <c r="H91" s="248"/>
      <c r="I91" s="248"/>
      <c r="J91" s="248"/>
      <c r="K91" s="248"/>
      <c r="L91" s="248"/>
      <c r="M91" s="248"/>
      <c r="N91" s="248"/>
      <c r="O91" s="248"/>
      <c r="P91" s="248"/>
      <c r="Q91" s="248"/>
      <c r="R91" s="248"/>
      <c r="S91" s="248"/>
      <c r="T91" s="248"/>
      <c r="U91" s="248"/>
      <c r="V91" s="248"/>
      <c r="W91" s="248"/>
      <c r="X91" s="248"/>
      <c r="Y91" s="248"/>
      <c r="Z91" s="248"/>
      <c r="AA91" s="248"/>
    </row>
    <row r="92">
      <c r="A92" s="248"/>
      <c r="B92" s="248"/>
      <c r="C92" s="248"/>
      <c r="D92" s="248"/>
      <c r="E92" s="248"/>
      <c r="F92" s="248"/>
      <c r="G92" s="248"/>
      <c r="H92" s="248"/>
      <c r="I92" s="248"/>
      <c r="J92" s="248"/>
      <c r="K92" s="248"/>
      <c r="L92" s="248"/>
      <c r="M92" s="248"/>
      <c r="N92" s="248"/>
      <c r="O92" s="248"/>
      <c r="P92" s="248"/>
      <c r="Q92" s="248"/>
      <c r="R92" s="248"/>
      <c r="S92" s="248"/>
      <c r="T92" s="248"/>
      <c r="U92" s="248"/>
      <c r="V92" s="248"/>
      <c r="W92" s="248"/>
      <c r="X92" s="248"/>
      <c r="Y92" s="248"/>
      <c r="Z92" s="248"/>
      <c r="AA92" s="248"/>
    </row>
    <row r="93">
      <c r="A93" s="248"/>
      <c r="B93" s="248"/>
      <c r="C93" s="248"/>
      <c r="D93" s="248"/>
      <c r="E93" s="248"/>
      <c r="F93" s="248"/>
      <c r="G93" s="248"/>
      <c r="H93" s="248"/>
      <c r="I93" s="248"/>
      <c r="J93" s="248"/>
      <c r="K93" s="248"/>
      <c r="L93" s="248"/>
      <c r="M93" s="248"/>
      <c r="N93" s="248"/>
      <c r="O93" s="248"/>
      <c r="P93" s="248"/>
      <c r="Q93" s="248"/>
      <c r="R93" s="248"/>
      <c r="S93" s="248"/>
      <c r="T93" s="248"/>
      <c r="U93" s="248"/>
      <c r="V93" s="248"/>
      <c r="W93" s="248"/>
      <c r="X93" s="248"/>
      <c r="Y93" s="248"/>
      <c r="Z93" s="248"/>
      <c r="AA93" s="248"/>
    </row>
    <row r="94">
      <c r="A94" s="248"/>
      <c r="B94" s="248"/>
      <c r="C94" s="248"/>
      <c r="D94" s="248"/>
      <c r="E94" s="248"/>
      <c r="F94" s="248"/>
      <c r="G94" s="248"/>
      <c r="H94" s="248"/>
      <c r="I94" s="248"/>
      <c r="J94" s="248"/>
      <c r="K94" s="248"/>
      <c r="L94" s="248"/>
      <c r="M94" s="248"/>
      <c r="N94" s="248"/>
      <c r="O94" s="248"/>
      <c r="P94" s="248"/>
      <c r="Q94" s="248"/>
      <c r="R94" s="248"/>
      <c r="S94" s="248"/>
      <c r="T94" s="248"/>
      <c r="U94" s="248"/>
      <c r="V94" s="248"/>
      <c r="W94" s="248"/>
      <c r="X94" s="248"/>
      <c r="Y94" s="248"/>
      <c r="Z94" s="248"/>
      <c r="AA94" s="248"/>
    </row>
    <row r="95">
      <c r="A95" s="248"/>
      <c r="B95" s="248"/>
      <c r="C95" s="248"/>
      <c r="D95" s="248"/>
      <c r="E95" s="248"/>
      <c r="F95" s="248"/>
      <c r="G95" s="248"/>
      <c r="H95" s="248"/>
      <c r="I95" s="248"/>
      <c r="J95" s="248"/>
      <c r="K95" s="248"/>
      <c r="L95" s="248"/>
      <c r="M95" s="248"/>
      <c r="N95" s="248"/>
      <c r="O95" s="248"/>
      <c r="P95" s="248"/>
      <c r="Q95" s="248"/>
      <c r="R95" s="248"/>
      <c r="S95" s="248"/>
      <c r="T95" s="248"/>
      <c r="U95" s="248"/>
      <c r="V95" s="248"/>
      <c r="W95" s="248"/>
      <c r="X95" s="248"/>
      <c r="Y95" s="248"/>
      <c r="Z95" s="248"/>
      <c r="AA95" s="248"/>
    </row>
    <row r="96">
      <c r="A96" s="248"/>
      <c r="B96" s="248"/>
      <c r="C96" s="248"/>
      <c r="D96" s="248"/>
      <c r="E96" s="248"/>
      <c r="F96" s="248"/>
      <c r="G96" s="248"/>
      <c r="H96" s="248"/>
      <c r="I96" s="248"/>
      <c r="J96" s="248"/>
      <c r="K96" s="248"/>
      <c r="L96" s="248"/>
      <c r="M96" s="248"/>
      <c r="N96" s="248"/>
      <c r="O96" s="248"/>
      <c r="P96" s="248"/>
      <c r="Q96" s="248"/>
      <c r="R96" s="248"/>
      <c r="S96" s="248"/>
      <c r="T96" s="248"/>
      <c r="U96" s="248"/>
      <c r="V96" s="248"/>
      <c r="W96" s="248"/>
      <c r="X96" s="248"/>
      <c r="Y96" s="248"/>
      <c r="Z96" s="248"/>
      <c r="AA96" s="248"/>
    </row>
    <row r="97">
      <c r="A97" s="248"/>
      <c r="B97" s="248"/>
      <c r="C97" s="248"/>
      <c r="D97" s="248"/>
      <c r="E97" s="248"/>
      <c r="F97" s="248"/>
      <c r="G97" s="248"/>
      <c r="H97" s="248"/>
      <c r="I97" s="248"/>
      <c r="J97" s="248"/>
      <c r="K97" s="248"/>
      <c r="L97" s="248"/>
      <c r="M97" s="248"/>
      <c r="N97" s="248"/>
      <c r="O97" s="248"/>
      <c r="P97" s="248"/>
      <c r="Q97" s="248"/>
      <c r="R97" s="248"/>
      <c r="S97" s="248"/>
      <c r="T97" s="248"/>
      <c r="U97" s="248"/>
      <c r="V97" s="248"/>
      <c r="W97" s="248"/>
      <c r="X97" s="248"/>
      <c r="Y97" s="248"/>
      <c r="Z97" s="248"/>
      <c r="AA97" s="248"/>
    </row>
    <row r="98">
      <c r="A98" s="248"/>
      <c r="B98" s="248"/>
      <c r="C98" s="248"/>
      <c r="D98" s="248"/>
      <c r="E98" s="248"/>
      <c r="F98" s="248"/>
      <c r="G98" s="248"/>
      <c r="H98" s="248"/>
      <c r="I98" s="248"/>
      <c r="J98" s="248"/>
      <c r="K98" s="248"/>
      <c r="L98" s="248"/>
      <c r="M98" s="248"/>
      <c r="N98" s="248"/>
      <c r="O98" s="248"/>
      <c r="P98" s="248"/>
      <c r="Q98" s="248"/>
      <c r="R98" s="248"/>
      <c r="S98" s="248"/>
      <c r="T98" s="248"/>
      <c r="U98" s="248"/>
      <c r="V98" s="248"/>
      <c r="W98" s="248"/>
      <c r="X98" s="248"/>
      <c r="Y98" s="248"/>
      <c r="Z98" s="248"/>
      <c r="AA98" s="248"/>
    </row>
    <row r="99">
      <c r="A99" s="248"/>
      <c r="B99" s="248"/>
      <c r="C99" s="248"/>
      <c r="D99" s="248"/>
      <c r="E99" s="248"/>
      <c r="F99" s="248"/>
      <c r="G99" s="248"/>
      <c r="H99" s="248"/>
      <c r="I99" s="248"/>
      <c r="J99" s="248"/>
      <c r="K99" s="248"/>
      <c r="L99" s="248"/>
      <c r="M99" s="248"/>
      <c r="N99" s="248"/>
      <c r="O99" s="248"/>
      <c r="P99" s="248"/>
      <c r="Q99" s="248"/>
      <c r="R99" s="248"/>
      <c r="S99" s="248"/>
      <c r="T99" s="248"/>
      <c r="U99" s="248"/>
      <c r="V99" s="248"/>
      <c r="W99" s="248"/>
      <c r="X99" s="248"/>
      <c r="Y99" s="248"/>
      <c r="Z99" s="248"/>
      <c r="AA99" s="248"/>
    </row>
    <row r="100">
      <c r="A100" s="248"/>
      <c r="B100" s="248"/>
      <c r="C100" s="248"/>
      <c r="D100" s="248"/>
      <c r="E100" s="248"/>
      <c r="F100" s="248"/>
      <c r="G100" s="248"/>
      <c r="H100" s="248"/>
      <c r="I100" s="248"/>
      <c r="J100" s="248"/>
      <c r="K100" s="248"/>
      <c r="L100" s="248"/>
      <c r="M100" s="248"/>
      <c r="N100" s="248"/>
      <c r="O100" s="248"/>
      <c r="P100" s="248"/>
      <c r="Q100" s="248"/>
      <c r="R100" s="248"/>
      <c r="S100" s="248"/>
      <c r="T100" s="248"/>
      <c r="U100" s="248"/>
      <c r="V100" s="248"/>
      <c r="W100" s="248"/>
      <c r="X100" s="248"/>
      <c r="Y100" s="248"/>
      <c r="Z100" s="248"/>
      <c r="AA100" s="248"/>
    </row>
    <row r="101">
      <c r="A101" s="248"/>
      <c r="B101" s="248"/>
      <c r="C101" s="248"/>
      <c r="D101" s="248"/>
      <c r="E101" s="248"/>
      <c r="F101" s="248"/>
      <c r="G101" s="248"/>
      <c r="H101" s="248"/>
      <c r="I101" s="248"/>
      <c r="J101" s="248"/>
      <c r="K101" s="248"/>
      <c r="L101" s="248"/>
      <c r="M101" s="248"/>
      <c r="N101" s="248"/>
      <c r="O101" s="248"/>
      <c r="P101" s="248"/>
      <c r="Q101" s="248"/>
      <c r="R101" s="248"/>
      <c r="S101" s="248"/>
      <c r="T101" s="248"/>
      <c r="U101" s="248"/>
      <c r="V101" s="248"/>
      <c r="W101" s="248"/>
      <c r="X101" s="248"/>
      <c r="Y101" s="248"/>
      <c r="Z101" s="248"/>
      <c r="AA101" s="248"/>
    </row>
    <row r="102">
      <c r="A102" s="248"/>
      <c r="B102" s="248"/>
      <c r="C102" s="248"/>
      <c r="D102" s="248"/>
      <c r="E102" s="248"/>
      <c r="F102" s="248"/>
      <c r="G102" s="248"/>
      <c r="H102" s="248"/>
      <c r="I102" s="248"/>
      <c r="J102" s="248"/>
      <c r="K102" s="248"/>
      <c r="L102" s="248"/>
      <c r="M102" s="248"/>
      <c r="N102" s="248"/>
      <c r="O102" s="248"/>
      <c r="P102" s="248"/>
      <c r="Q102" s="248"/>
      <c r="R102" s="248"/>
      <c r="S102" s="248"/>
      <c r="T102" s="248"/>
      <c r="U102" s="248"/>
      <c r="V102" s="248"/>
      <c r="W102" s="248"/>
      <c r="X102" s="248"/>
      <c r="Y102" s="248"/>
      <c r="Z102" s="248"/>
      <c r="AA102" s="248"/>
    </row>
    <row r="103">
      <c r="A103" s="248"/>
      <c r="B103" s="248"/>
      <c r="C103" s="248"/>
      <c r="D103" s="248"/>
      <c r="E103" s="248"/>
      <c r="F103" s="248"/>
      <c r="G103" s="248"/>
      <c r="H103" s="248"/>
      <c r="I103" s="248"/>
      <c r="J103" s="248"/>
      <c r="K103" s="248"/>
      <c r="L103" s="248"/>
      <c r="M103" s="248"/>
      <c r="N103" s="248"/>
      <c r="O103" s="248"/>
      <c r="P103" s="248"/>
      <c r="Q103" s="248"/>
      <c r="R103" s="248"/>
      <c r="S103" s="248"/>
      <c r="T103" s="248"/>
      <c r="U103" s="248"/>
      <c r="V103" s="248"/>
      <c r="W103" s="248"/>
      <c r="X103" s="248"/>
      <c r="Y103" s="248"/>
      <c r="Z103" s="248"/>
      <c r="AA103" s="248"/>
    </row>
    <row r="104">
      <c r="A104" s="248"/>
      <c r="B104" s="248"/>
      <c r="C104" s="248"/>
      <c r="D104" s="248"/>
      <c r="E104" s="248"/>
      <c r="F104" s="248"/>
      <c r="G104" s="248"/>
      <c r="H104" s="248"/>
      <c r="I104" s="248"/>
      <c r="J104" s="248"/>
      <c r="K104" s="248"/>
      <c r="L104" s="248"/>
      <c r="M104" s="248"/>
      <c r="N104" s="248"/>
      <c r="O104" s="248"/>
      <c r="P104" s="248"/>
      <c r="Q104" s="248"/>
      <c r="R104" s="248"/>
      <c r="S104" s="248"/>
      <c r="T104" s="248"/>
      <c r="U104" s="248"/>
      <c r="V104" s="248"/>
      <c r="W104" s="248"/>
      <c r="X104" s="248"/>
      <c r="Y104" s="248"/>
      <c r="Z104" s="248"/>
      <c r="AA104" s="248"/>
    </row>
    <row r="105">
      <c r="A105" s="248"/>
      <c r="B105" s="248"/>
      <c r="C105" s="248"/>
      <c r="D105" s="248"/>
      <c r="E105" s="248"/>
      <c r="F105" s="248"/>
      <c r="G105" s="248"/>
      <c r="H105" s="248"/>
      <c r="I105" s="248"/>
      <c r="J105" s="248"/>
      <c r="K105" s="248"/>
      <c r="L105" s="248"/>
      <c r="M105" s="248"/>
      <c r="N105" s="248"/>
      <c r="O105" s="248"/>
      <c r="P105" s="248"/>
      <c r="Q105" s="248"/>
      <c r="R105" s="248"/>
      <c r="S105" s="248"/>
      <c r="T105" s="248"/>
      <c r="U105" s="248"/>
      <c r="V105" s="248"/>
      <c r="W105" s="248"/>
      <c r="X105" s="248"/>
      <c r="Y105" s="248"/>
      <c r="Z105" s="248"/>
      <c r="AA105" s="248"/>
    </row>
    <row r="106">
      <c r="A106" s="248"/>
      <c r="B106" s="248"/>
      <c r="C106" s="248"/>
      <c r="D106" s="248"/>
      <c r="E106" s="248"/>
      <c r="F106" s="248"/>
      <c r="G106" s="248"/>
      <c r="H106" s="248"/>
      <c r="I106" s="248"/>
      <c r="J106" s="248"/>
      <c r="K106" s="248"/>
      <c r="L106" s="248"/>
      <c r="M106" s="248"/>
      <c r="N106" s="248"/>
      <c r="O106" s="248"/>
      <c r="P106" s="248"/>
      <c r="Q106" s="248"/>
      <c r="R106" s="248"/>
      <c r="S106" s="248"/>
      <c r="T106" s="248"/>
      <c r="U106" s="248"/>
      <c r="V106" s="248"/>
      <c r="W106" s="248"/>
      <c r="X106" s="248"/>
      <c r="Y106" s="248"/>
      <c r="Z106" s="248"/>
      <c r="AA106" s="248"/>
    </row>
    <row r="107">
      <c r="A107" s="248"/>
      <c r="B107" s="248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48"/>
      <c r="O107" s="248"/>
      <c r="P107" s="248"/>
      <c r="Q107" s="248"/>
      <c r="R107" s="248"/>
      <c r="S107" s="248"/>
      <c r="T107" s="248"/>
      <c r="U107" s="248"/>
      <c r="V107" s="248"/>
      <c r="W107" s="248"/>
      <c r="X107" s="248"/>
      <c r="Y107" s="248"/>
      <c r="Z107" s="248"/>
      <c r="AA107" s="248"/>
    </row>
    <row r="108">
      <c r="A108" s="248"/>
      <c r="B108" s="248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48"/>
      <c r="O108" s="248"/>
      <c r="P108" s="248"/>
      <c r="Q108" s="248"/>
      <c r="R108" s="248"/>
      <c r="S108" s="248"/>
      <c r="T108" s="248"/>
      <c r="U108" s="248"/>
      <c r="V108" s="248"/>
      <c r="W108" s="248"/>
      <c r="X108" s="248"/>
      <c r="Y108" s="248"/>
      <c r="Z108" s="248"/>
      <c r="AA108" s="248"/>
    </row>
    <row r="109">
      <c r="A109" s="248"/>
      <c r="B109" s="248"/>
      <c r="C109" s="248"/>
      <c r="D109" s="248"/>
      <c r="E109" s="248"/>
      <c r="F109" s="248"/>
      <c r="G109" s="248"/>
      <c r="H109" s="248"/>
      <c r="I109" s="248"/>
      <c r="J109" s="248"/>
      <c r="K109" s="248"/>
      <c r="L109" s="248"/>
      <c r="M109" s="248"/>
      <c r="N109" s="248"/>
      <c r="O109" s="248"/>
      <c r="P109" s="248"/>
      <c r="Q109" s="248"/>
      <c r="R109" s="248"/>
      <c r="S109" s="248"/>
      <c r="T109" s="248"/>
      <c r="U109" s="248"/>
      <c r="V109" s="248"/>
      <c r="W109" s="248"/>
      <c r="X109" s="248"/>
      <c r="Y109" s="248"/>
      <c r="Z109" s="248"/>
      <c r="AA109" s="248"/>
    </row>
    <row r="110">
      <c r="A110" s="248"/>
      <c r="B110" s="248"/>
      <c r="C110" s="248"/>
      <c r="D110" s="248"/>
      <c r="E110" s="248"/>
      <c r="F110" s="248"/>
      <c r="G110" s="248"/>
      <c r="H110" s="248"/>
      <c r="I110" s="248"/>
      <c r="J110" s="248"/>
      <c r="K110" s="248"/>
      <c r="L110" s="248"/>
      <c r="M110" s="248"/>
      <c r="N110" s="248"/>
      <c r="O110" s="248"/>
      <c r="P110" s="248"/>
      <c r="Q110" s="248"/>
      <c r="R110" s="248"/>
      <c r="S110" s="248"/>
      <c r="T110" s="248"/>
      <c r="U110" s="248"/>
      <c r="V110" s="248"/>
      <c r="W110" s="248"/>
      <c r="X110" s="248"/>
      <c r="Y110" s="248"/>
      <c r="Z110" s="248"/>
      <c r="AA110" s="248"/>
    </row>
    <row r="111">
      <c r="A111" s="248"/>
      <c r="B111" s="248"/>
      <c r="C111" s="248"/>
      <c r="D111" s="248"/>
      <c r="E111" s="248"/>
      <c r="F111" s="248"/>
      <c r="G111" s="248"/>
      <c r="H111" s="248"/>
      <c r="I111" s="248"/>
      <c r="J111" s="248"/>
      <c r="K111" s="248"/>
      <c r="L111" s="248"/>
      <c r="M111" s="248"/>
      <c r="N111" s="248"/>
      <c r="O111" s="248"/>
      <c r="P111" s="248"/>
      <c r="Q111" s="248"/>
      <c r="R111" s="248"/>
      <c r="S111" s="248"/>
      <c r="T111" s="248"/>
      <c r="U111" s="248"/>
      <c r="V111" s="248"/>
      <c r="W111" s="248"/>
      <c r="X111" s="248"/>
      <c r="Y111" s="248"/>
      <c r="Z111" s="248"/>
      <c r="AA111" s="24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18.0"/>
    <col customWidth="1" min="7" max="7" width="21.63"/>
    <col customWidth="1" min="8" max="8" width="17.75"/>
    <col customWidth="1" min="9" max="9" width="22.13"/>
    <col customWidth="1" min="10" max="10" width="33.0"/>
  </cols>
  <sheetData>
    <row r="1" ht="14.25" customHeight="1">
      <c r="A1" s="254"/>
      <c r="C1" s="254"/>
      <c r="D1" s="254"/>
      <c r="E1" s="254"/>
      <c r="F1" s="254"/>
      <c r="G1" s="254"/>
      <c r="H1" s="254"/>
      <c r="I1" s="254"/>
      <c r="J1" s="254"/>
      <c r="K1" s="254"/>
    </row>
    <row r="2" ht="183.0" customHeight="1">
      <c r="A2" s="254"/>
      <c r="B2" s="255" t="s">
        <v>8384</v>
      </c>
      <c r="K2" s="256"/>
      <c r="M2" s="25" t="s">
        <v>16</v>
      </c>
    </row>
    <row r="3">
      <c r="A3" s="254"/>
      <c r="K3" s="256"/>
    </row>
    <row r="4" ht="29.25" customHeight="1">
      <c r="A4" s="254"/>
      <c r="C4" s="254"/>
      <c r="D4" s="254"/>
      <c r="E4" s="257" t="s">
        <v>8385</v>
      </c>
      <c r="F4" s="258">
        <v>45831.0</v>
      </c>
      <c r="G4" s="257" t="s">
        <v>8386</v>
      </c>
      <c r="H4" s="259">
        <v>0.375</v>
      </c>
      <c r="I4" s="254"/>
      <c r="J4" s="254"/>
      <c r="K4" s="254"/>
    </row>
    <row r="5">
      <c r="A5" s="254"/>
      <c r="C5" s="260"/>
      <c r="D5" s="260"/>
      <c r="E5" s="261"/>
      <c r="F5" s="261"/>
      <c r="G5" s="261"/>
      <c r="H5" s="260"/>
      <c r="I5" s="260"/>
      <c r="J5" s="254"/>
      <c r="K5" s="254"/>
    </row>
    <row r="6">
      <c r="A6" s="262"/>
      <c r="B6" s="263" t="s">
        <v>8387</v>
      </c>
      <c r="C6" s="263" t="s">
        <v>8388</v>
      </c>
      <c r="D6" s="263" t="s">
        <v>8389</v>
      </c>
      <c r="E6" s="263" t="s">
        <v>8390</v>
      </c>
      <c r="F6" s="263" t="s">
        <v>8391</v>
      </c>
      <c r="G6" s="263" t="s">
        <v>8392</v>
      </c>
      <c r="H6" s="263" t="s">
        <v>8393</v>
      </c>
      <c r="I6" s="263" t="s">
        <v>8394</v>
      </c>
      <c r="J6" s="264" t="s">
        <v>8395</v>
      </c>
      <c r="K6" s="262"/>
    </row>
    <row r="7" ht="31.5" customHeight="1">
      <c r="A7" s="254"/>
      <c r="B7" s="265">
        <v>0.375</v>
      </c>
      <c r="C7" s="266" t="s">
        <v>8396</v>
      </c>
      <c r="D7" s="266" t="s">
        <v>8397</v>
      </c>
      <c r="E7" s="266" t="s">
        <v>8398</v>
      </c>
      <c r="F7" s="266"/>
      <c r="G7" s="266"/>
      <c r="H7" s="266" t="s">
        <v>8397</v>
      </c>
      <c r="I7" s="266" t="s">
        <v>8397</v>
      </c>
      <c r="J7" s="267">
        <v>52.0</v>
      </c>
      <c r="K7" s="254"/>
    </row>
    <row r="8" ht="33.75" customHeight="1">
      <c r="A8" s="254"/>
      <c r="B8" s="265">
        <v>0.4583333333333333</v>
      </c>
      <c r="C8" s="268"/>
      <c r="D8" s="268"/>
      <c r="E8" s="266"/>
      <c r="F8" s="268"/>
      <c r="G8" s="266"/>
      <c r="H8" s="266"/>
      <c r="I8" s="268"/>
      <c r="J8" s="269"/>
      <c r="K8" s="254"/>
    </row>
    <row r="9" ht="31.5" customHeight="1">
      <c r="A9" s="254"/>
      <c r="B9" s="265">
        <v>0.5833333333333334</v>
      </c>
      <c r="C9" s="268"/>
      <c r="D9" s="268"/>
      <c r="E9" s="268"/>
      <c r="F9" s="266"/>
      <c r="G9" s="268"/>
      <c r="H9" s="268"/>
      <c r="I9" s="268"/>
      <c r="J9" s="269"/>
      <c r="K9" s="254"/>
    </row>
    <row r="10" ht="34.5" customHeight="1">
      <c r="A10" s="254"/>
      <c r="B10" s="265">
        <v>0.625</v>
      </c>
      <c r="C10" s="266"/>
      <c r="D10" s="266"/>
      <c r="E10" s="266"/>
      <c r="F10" s="266" t="s">
        <v>8398</v>
      </c>
      <c r="G10" s="266" t="s">
        <v>8398</v>
      </c>
      <c r="H10" s="266"/>
      <c r="I10" s="266"/>
      <c r="J10" s="267">
        <v>40.0</v>
      </c>
      <c r="K10" s="254"/>
    </row>
    <row r="11">
      <c r="A11" s="254"/>
      <c r="B11" s="265">
        <v>0.875</v>
      </c>
      <c r="C11" s="268"/>
      <c r="D11" s="268"/>
      <c r="E11" s="268"/>
      <c r="F11" s="268"/>
      <c r="G11" s="268"/>
      <c r="H11" s="268"/>
      <c r="I11" s="268"/>
      <c r="J11" s="270"/>
      <c r="K11" s="254"/>
    </row>
    <row r="12">
      <c r="A12" s="254"/>
      <c r="C12" s="254"/>
      <c r="D12" s="254"/>
      <c r="E12" s="254"/>
      <c r="F12" s="254"/>
      <c r="G12" s="254"/>
      <c r="H12" s="254"/>
      <c r="I12" s="254"/>
      <c r="J12" s="254"/>
      <c r="K12" s="254"/>
    </row>
  </sheetData>
  <mergeCells count="19">
    <mergeCell ref="K4:L4"/>
    <mergeCell ref="K5:L5"/>
    <mergeCell ref="K6:L6"/>
    <mergeCell ref="K7:L7"/>
    <mergeCell ref="K8:L8"/>
    <mergeCell ref="K9:L9"/>
    <mergeCell ref="K10:L10"/>
    <mergeCell ref="K11:L11"/>
    <mergeCell ref="A12:B12"/>
    <mergeCell ref="K12:L12"/>
    <mergeCell ref="A13:B13"/>
    <mergeCell ref="K13:L13"/>
    <mergeCell ref="A1:B1"/>
    <mergeCell ref="K1:L1"/>
    <mergeCell ref="B2:J3"/>
    <mergeCell ref="K2:L2"/>
    <mergeCell ref="K3:L3"/>
    <mergeCell ref="A4:B4"/>
    <mergeCell ref="A5:B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5"/>
    <col customWidth="1" min="2" max="2" width="27.75"/>
    <col customWidth="1" min="3" max="3" width="47.5"/>
    <col customWidth="1" min="4" max="4" width="26.88"/>
    <col customWidth="1" min="5" max="5" width="26.63"/>
    <col customWidth="1" min="6" max="6" width="36.5"/>
    <col customWidth="1" min="7" max="7" width="39.38"/>
    <col customWidth="1" min="8" max="8" width="25.0"/>
  </cols>
  <sheetData>
    <row r="1">
      <c r="A1" s="271" t="s">
        <v>8399</v>
      </c>
      <c r="B1" s="272"/>
      <c r="C1" s="273" t="s">
        <v>8400</v>
      </c>
      <c r="D1" s="271" t="s">
        <v>8401</v>
      </c>
      <c r="E1" s="271"/>
      <c r="F1" s="271"/>
      <c r="G1" s="271"/>
      <c r="H1" s="274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>
      <c r="A2" s="275" t="s">
        <v>8402</v>
      </c>
      <c r="B2" s="276"/>
      <c r="C2" s="275" t="s">
        <v>8403</v>
      </c>
      <c r="D2" s="275" t="s">
        <v>8404</v>
      </c>
      <c r="E2" s="277"/>
      <c r="F2" s="278"/>
      <c r="G2" s="279">
        <v>3.465266081E9</v>
      </c>
      <c r="H2" s="280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>
      <c r="A3" s="190"/>
      <c r="B3" s="281"/>
      <c r="C3" s="190"/>
      <c r="D3" s="190"/>
      <c r="E3" s="190"/>
      <c r="F3" s="190"/>
      <c r="G3" s="190"/>
      <c r="H3" s="282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>
      <c r="A4" s="190"/>
      <c r="B4" s="281"/>
      <c r="C4" s="190"/>
      <c r="D4" s="190"/>
      <c r="E4" s="190"/>
      <c r="F4" s="190"/>
      <c r="G4" s="190"/>
      <c r="H4" s="282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>
      <c r="A5" s="190"/>
      <c r="B5" s="281"/>
      <c r="C5" s="190"/>
      <c r="D5" s="190"/>
      <c r="E5" s="190"/>
      <c r="F5" s="190"/>
      <c r="G5" s="190"/>
      <c r="H5" s="282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>
      <c r="A6" s="190"/>
      <c r="B6" s="281"/>
      <c r="C6" s="190"/>
      <c r="D6" s="190"/>
      <c r="E6" s="190"/>
      <c r="F6" s="190"/>
      <c r="G6" s="190"/>
      <c r="H6" s="282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>
      <c r="A7" s="190"/>
      <c r="B7" s="281"/>
      <c r="C7" s="190"/>
      <c r="D7" s="190"/>
      <c r="E7" s="190"/>
      <c r="F7" s="190"/>
      <c r="G7" s="190"/>
      <c r="H7" s="282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>
      <c r="A8" s="190"/>
      <c r="B8" s="281"/>
      <c r="C8" s="190"/>
      <c r="D8" s="190"/>
      <c r="E8" s="190"/>
      <c r="F8" s="190"/>
      <c r="G8" s="190"/>
      <c r="H8" s="282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>
      <c r="A9" s="190"/>
      <c r="B9" s="281"/>
      <c r="C9" s="190"/>
      <c r="D9" s="190"/>
      <c r="E9" s="190"/>
      <c r="F9" s="190"/>
      <c r="G9" s="190"/>
      <c r="H9" s="282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>
      <c r="A10" s="190"/>
      <c r="B10" s="281"/>
      <c r="C10" s="190"/>
      <c r="D10" s="190"/>
      <c r="E10" s="190"/>
      <c r="F10" s="190"/>
      <c r="G10" s="190"/>
      <c r="H10" s="282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>
      <c r="A11" s="190"/>
      <c r="B11" s="281"/>
      <c r="C11" s="190"/>
      <c r="D11" s="190"/>
      <c r="E11" s="190"/>
      <c r="F11" s="190"/>
      <c r="G11" s="190"/>
      <c r="H11" s="282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>
      <c r="A12" s="190"/>
      <c r="B12" s="281"/>
      <c r="C12" s="190"/>
      <c r="D12" s="190"/>
      <c r="E12" s="190"/>
      <c r="F12" s="190"/>
      <c r="G12" s="190"/>
      <c r="H12" s="282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>
      <c r="A13" s="190"/>
      <c r="B13" s="281"/>
      <c r="C13" s="190"/>
      <c r="D13" s="190"/>
      <c r="E13" s="190"/>
      <c r="F13" s="190"/>
      <c r="G13" s="190"/>
      <c r="H13" s="282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>
      <c r="A14" s="190"/>
      <c r="B14" s="281"/>
      <c r="C14" s="190"/>
      <c r="D14" s="190"/>
      <c r="E14" s="190"/>
      <c r="F14" s="190"/>
      <c r="G14" s="190"/>
      <c r="H14" s="282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>
      <c r="A15" s="190"/>
      <c r="B15" s="281"/>
      <c r="C15" s="190"/>
      <c r="D15" s="190"/>
      <c r="E15" s="190"/>
      <c r="F15" s="190"/>
      <c r="G15" s="190"/>
      <c r="H15" s="282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>
      <c r="A16" s="190"/>
      <c r="B16" s="281"/>
      <c r="C16" s="190"/>
      <c r="D16" s="190"/>
      <c r="E16" s="190"/>
      <c r="F16" s="190"/>
      <c r="G16" s="190"/>
      <c r="H16" s="282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>
      <c r="A17" s="190"/>
      <c r="B17" s="281"/>
      <c r="C17" s="190"/>
      <c r="D17" s="190"/>
      <c r="E17" s="190"/>
      <c r="F17" s="190"/>
      <c r="G17" s="190"/>
      <c r="H17" s="282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>
      <c r="A18" s="190"/>
      <c r="B18" s="281"/>
      <c r="C18" s="190"/>
      <c r="D18" s="190"/>
      <c r="E18" s="190"/>
      <c r="F18" s="190"/>
      <c r="G18" s="190"/>
      <c r="H18" s="282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>
      <c r="A19" s="190"/>
      <c r="B19" s="281"/>
      <c r="C19" s="190"/>
      <c r="D19" s="190"/>
      <c r="E19" s="190"/>
      <c r="F19" s="190"/>
      <c r="G19" s="190"/>
      <c r="H19" s="282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>
      <c r="A20" s="190"/>
      <c r="B20" s="281"/>
      <c r="C20" s="190"/>
      <c r="D20" s="190"/>
      <c r="E20" s="190"/>
      <c r="F20" s="190"/>
      <c r="G20" s="190"/>
      <c r="H20" s="282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>
      <c r="A21" s="190"/>
      <c r="B21" s="281"/>
      <c r="C21" s="190"/>
      <c r="D21" s="190"/>
      <c r="E21" s="190"/>
      <c r="F21" s="190"/>
      <c r="G21" s="190"/>
      <c r="H21" s="282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>
      <c r="A22" s="190"/>
      <c r="B22" s="281"/>
      <c r="C22" s="190"/>
      <c r="D22" s="190"/>
      <c r="E22" s="190"/>
      <c r="F22" s="190"/>
      <c r="G22" s="190"/>
      <c r="H22" s="282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>
      <c r="A23" s="190"/>
      <c r="B23" s="281"/>
      <c r="C23" s="190"/>
      <c r="D23" s="190"/>
      <c r="E23" s="190"/>
      <c r="F23" s="190"/>
      <c r="G23" s="190"/>
      <c r="H23" s="282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>
      <c r="A24" s="190"/>
      <c r="B24" s="281"/>
      <c r="C24" s="190"/>
      <c r="D24" s="190"/>
      <c r="E24" s="190"/>
      <c r="F24" s="190"/>
      <c r="G24" s="190"/>
      <c r="H24" s="282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>
      <c r="A25" s="190"/>
      <c r="B25" s="281"/>
      <c r="C25" s="190"/>
      <c r="D25" s="190"/>
      <c r="E25" s="190"/>
      <c r="F25" s="190"/>
      <c r="G25" s="190"/>
      <c r="H25" s="282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>
      <c r="A26" s="190"/>
      <c r="B26" s="281"/>
      <c r="C26" s="190"/>
      <c r="D26" s="190"/>
      <c r="E26" s="190"/>
      <c r="F26" s="190"/>
      <c r="G26" s="190"/>
      <c r="H26" s="282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>
      <c r="A27" s="190"/>
      <c r="B27" s="281"/>
      <c r="C27" s="190"/>
      <c r="D27" s="190"/>
      <c r="E27" s="190"/>
      <c r="F27" s="190"/>
      <c r="G27" s="190"/>
      <c r="H27" s="282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>
      <c r="A28" s="190"/>
      <c r="B28" s="281"/>
      <c r="C28" s="190"/>
      <c r="D28" s="190"/>
      <c r="E28" s="190"/>
      <c r="F28" s="190"/>
      <c r="G28" s="190"/>
      <c r="H28" s="282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>
      <c r="A29" s="190"/>
      <c r="B29" s="281"/>
      <c r="C29" s="190"/>
      <c r="D29" s="190"/>
      <c r="E29" s="190"/>
      <c r="F29" s="190"/>
      <c r="G29" s="190"/>
      <c r="H29" s="282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>
      <c r="A30" s="190"/>
      <c r="B30" s="281"/>
      <c r="C30" s="190"/>
      <c r="D30" s="190"/>
      <c r="E30" s="190"/>
      <c r="F30" s="190"/>
      <c r="G30" s="190"/>
      <c r="H30" s="282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>
      <c r="A31" s="190"/>
      <c r="B31" s="281"/>
      <c r="C31" s="190"/>
      <c r="D31" s="190"/>
      <c r="E31" s="190"/>
      <c r="F31" s="190"/>
      <c r="G31" s="190"/>
      <c r="H31" s="282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>
      <c r="A32" s="190"/>
      <c r="B32" s="281"/>
      <c r="C32" s="190"/>
      <c r="D32" s="190"/>
      <c r="E32" s="190"/>
      <c r="F32" s="190"/>
      <c r="G32" s="190"/>
      <c r="H32" s="282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>
      <c r="A33" s="190"/>
      <c r="B33" s="281"/>
      <c r="C33" s="190"/>
      <c r="D33" s="190"/>
      <c r="E33" s="190"/>
      <c r="F33" s="190"/>
      <c r="G33" s="190"/>
      <c r="H33" s="282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>
      <c r="A34" s="190"/>
      <c r="B34" s="281"/>
      <c r="C34" s="190"/>
      <c r="D34" s="190"/>
      <c r="E34" s="190"/>
      <c r="F34" s="190"/>
      <c r="G34" s="190"/>
      <c r="H34" s="282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>
      <c r="A35" s="190"/>
      <c r="B35" s="281"/>
      <c r="C35" s="190"/>
      <c r="D35" s="190"/>
      <c r="E35" s="190"/>
      <c r="F35" s="190"/>
      <c r="G35" s="190"/>
      <c r="H35" s="282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>
      <c r="A36" s="190"/>
      <c r="B36" s="281"/>
      <c r="C36" s="190"/>
      <c r="D36" s="190"/>
      <c r="E36" s="190"/>
      <c r="F36" s="190"/>
      <c r="G36" s="190"/>
      <c r="H36" s="282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>
      <c r="A37" s="190"/>
      <c r="B37" s="281"/>
      <c r="C37" s="190"/>
      <c r="D37" s="190"/>
      <c r="E37" s="190"/>
      <c r="F37" s="190"/>
      <c r="G37" s="190"/>
      <c r="H37" s="282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>
      <c r="A38" s="190"/>
      <c r="B38" s="281"/>
      <c r="C38" s="190"/>
      <c r="D38" s="190"/>
      <c r="E38" s="190"/>
      <c r="F38" s="190"/>
      <c r="G38" s="190"/>
      <c r="H38" s="282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>
      <c r="A39" s="190"/>
      <c r="B39" s="281"/>
      <c r="C39" s="190"/>
      <c r="D39" s="190"/>
      <c r="E39" s="190"/>
      <c r="F39" s="190"/>
      <c r="G39" s="190"/>
      <c r="H39" s="282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>
      <c r="A40" s="190"/>
      <c r="B40" s="281"/>
      <c r="C40" s="190"/>
      <c r="D40" s="190"/>
      <c r="E40" s="190"/>
      <c r="F40" s="190"/>
      <c r="G40" s="190"/>
      <c r="H40" s="282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>
      <c r="A41" s="190"/>
      <c r="B41" s="281"/>
      <c r="C41" s="190"/>
      <c r="D41" s="190"/>
      <c r="E41" s="190"/>
      <c r="F41" s="190"/>
      <c r="G41" s="190"/>
      <c r="H41" s="282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>
      <c r="A42" s="190"/>
      <c r="B42" s="281"/>
      <c r="C42" s="190"/>
      <c r="D42" s="190"/>
      <c r="E42" s="190"/>
      <c r="F42" s="190"/>
      <c r="G42" s="190"/>
      <c r="H42" s="282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>
      <c r="A43" s="190"/>
      <c r="B43" s="281"/>
      <c r="C43" s="190"/>
      <c r="D43" s="190"/>
      <c r="E43" s="190"/>
      <c r="F43" s="190"/>
      <c r="G43" s="190"/>
      <c r="H43" s="282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>
      <c r="A44" s="190"/>
      <c r="B44" s="281"/>
      <c r="C44" s="190"/>
      <c r="D44" s="190"/>
      <c r="E44" s="190"/>
      <c r="F44" s="190"/>
      <c r="G44" s="190"/>
      <c r="H44" s="282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>
      <c r="A45" s="190"/>
      <c r="B45" s="281"/>
      <c r="C45" s="190"/>
      <c r="D45" s="190"/>
      <c r="E45" s="190"/>
      <c r="F45" s="190"/>
      <c r="G45" s="190"/>
      <c r="H45" s="282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>
      <c r="A46" s="190"/>
      <c r="B46" s="281"/>
      <c r="C46" s="190"/>
      <c r="D46" s="190"/>
      <c r="E46" s="190"/>
      <c r="F46" s="190"/>
      <c r="G46" s="190"/>
      <c r="H46" s="282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>
      <c r="A47" s="190"/>
      <c r="B47" s="281"/>
      <c r="C47" s="190"/>
      <c r="D47" s="190"/>
      <c r="E47" s="190"/>
      <c r="F47" s="190"/>
      <c r="G47" s="190"/>
      <c r="H47" s="282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>
      <c r="A48" s="190"/>
      <c r="B48" s="281"/>
      <c r="C48" s="190"/>
      <c r="D48" s="190"/>
      <c r="E48" s="190"/>
      <c r="F48" s="190"/>
      <c r="G48" s="190"/>
      <c r="H48" s="282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>
      <c r="A49" s="190"/>
      <c r="B49" s="281"/>
      <c r="C49" s="190"/>
      <c r="D49" s="190"/>
      <c r="E49" s="190"/>
      <c r="F49" s="190"/>
      <c r="G49" s="190"/>
      <c r="H49" s="282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>
      <c r="A50" s="190"/>
      <c r="B50" s="281"/>
      <c r="C50" s="190"/>
      <c r="D50" s="190"/>
      <c r="E50" s="190"/>
      <c r="F50" s="190"/>
      <c r="G50" s="190"/>
      <c r="H50" s="282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>
      <c r="A51" s="190"/>
      <c r="B51" s="281"/>
      <c r="C51" s="190"/>
      <c r="D51" s="190"/>
      <c r="E51" s="190"/>
      <c r="F51" s="190"/>
      <c r="G51" s="190"/>
      <c r="H51" s="282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>
      <c r="A52" s="190"/>
      <c r="B52" s="281"/>
      <c r="C52" s="190"/>
      <c r="D52" s="190"/>
      <c r="E52" s="190"/>
      <c r="F52" s="190"/>
      <c r="G52" s="190"/>
      <c r="H52" s="282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>
      <c r="A53" s="190"/>
      <c r="B53" s="281"/>
      <c r="C53" s="190"/>
      <c r="D53" s="190"/>
      <c r="E53" s="190"/>
      <c r="F53" s="190"/>
      <c r="G53" s="190"/>
      <c r="H53" s="282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>
      <c r="A54" s="190"/>
      <c r="B54" s="281"/>
      <c r="C54" s="190"/>
      <c r="D54" s="190"/>
      <c r="E54" s="190"/>
      <c r="F54" s="190"/>
      <c r="G54" s="190"/>
      <c r="H54" s="282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>
      <c r="A55" s="190"/>
      <c r="B55" s="281"/>
      <c r="C55" s="190"/>
      <c r="D55" s="190"/>
      <c r="E55" s="190"/>
      <c r="F55" s="190"/>
      <c r="G55" s="190"/>
      <c r="H55" s="282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>
      <c r="A56" s="190"/>
      <c r="B56" s="281"/>
      <c r="C56" s="190"/>
      <c r="D56" s="190"/>
      <c r="E56" s="190"/>
      <c r="F56" s="190"/>
      <c r="G56" s="190"/>
      <c r="H56" s="282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>
      <c r="A57" s="190"/>
      <c r="B57" s="281"/>
      <c r="C57" s="190"/>
      <c r="D57" s="190"/>
      <c r="E57" s="190"/>
      <c r="F57" s="190"/>
      <c r="G57" s="190"/>
      <c r="H57" s="282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>
      <c r="A58" s="190"/>
      <c r="B58" s="281"/>
      <c r="C58" s="190"/>
      <c r="D58" s="190"/>
      <c r="E58" s="190"/>
      <c r="F58" s="190"/>
      <c r="G58" s="190"/>
      <c r="H58" s="282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>
      <c r="A59" s="190"/>
      <c r="B59" s="281"/>
      <c r="C59" s="190"/>
      <c r="D59" s="190"/>
      <c r="E59" s="190"/>
      <c r="F59" s="190"/>
      <c r="G59" s="190"/>
      <c r="H59" s="282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>
      <c r="A60" s="190"/>
      <c r="B60" s="281"/>
      <c r="C60" s="190"/>
      <c r="D60" s="190"/>
      <c r="E60" s="190"/>
      <c r="F60" s="190"/>
      <c r="G60" s="190"/>
      <c r="H60" s="282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>
      <c r="A61" s="190"/>
      <c r="B61" s="281"/>
      <c r="C61" s="190"/>
      <c r="D61" s="190"/>
      <c r="E61" s="190"/>
      <c r="F61" s="190"/>
      <c r="G61" s="190"/>
      <c r="H61" s="282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>
      <c r="A62" s="190"/>
      <c r="B62" s="281"/>
      <c r="C62" s="190"/>
      <c r="D62" s="190"/>
      <c r="E62" s="190"/>
      <c r="F62" s="190"/>
      <c r="G62" s="190"/>
      <c r="H62" s="282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>
      <c r="A63" s="190"/>
      <c r="B63" s="281"/>
      <c r="C63" s="190"/>
      <c r="D63" s="190"/>
      <c r="E63" s="190"/>
      <c r="F63" s="190"/>
      <c r="G63" s="190"/>
      <c r="H63" s="282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>
      <c r="A64" s="190"/>
      <c r="B64" s="281"/>
      <c r="C64" s="190"/>
      <c r="D64" s="190"/>
      <c r="E64" s="190"/>
      <c r="F64" s="190"/>
      <c r="G64" s="190"/>
      <c r="H64" s="282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>
      <c r="A65" s="190"/>
      <c r="B65" s="281"/>
      <c r="C65" s="190"/>
      <c r="D65" s="190"/>
      <c r="E65" s="190"/>
      <c r="F65" s="190"/>
      <c r="G65" s="190"/>
      <c r="H65" s="282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>
      <c r="A66" s="190"/>
      <c r="B66" s="281"/>
      <c r="C66" s="190"/>
      <c r="D66" s="190"/>
      <c r="E66" s="190"/>
      <c r="F66" s="190"/>
      <c r="G66" s="190"/>
      <c r="H66" s="282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>
      <c r="A67" s="190"/>
      <c r="B67" s="281"/>
      <c r="C67" s="190"/>
      <c r="D67" s="190"/>
      <c r="E67" s="190"/>
      <c r="F67" s="190"/>
      <c r="G67" s="190"/>
      <c r="H67" s="282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>
      <c r="A68" s="190"/>
      <c r="B68" s="281"/>
      <c r="C68" s="190"/>
      <c r="D68" s="190"/>
      <c r="E68" s="190"/>
      <c r="F68" s="190"/>
      <c r="G68" s="190"/>
      <c r="H68" s="282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>
      <c r="A69" s="190"/>
      <c r="B69" s="281"/>
      <c r="C69" s="190"/>
      <c r="D69" s="190"/>
      <c r="E69" s="190"/>
      <c r="F69" s="190"/>
      <c r="G69" s="190"/>
      <c r="H69" s="282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>
      <c r="A70" s="190"/>
      <c r="B70" s="281"/>
      <c r="C70" s="190"/>
      <c r="D70" s="190"/>
      <c r="E70" s="190"/>
      <c r="F70" s="190"/>
      <c r="G70" s="190"/>
      <c r="H70" s="282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>
      <c r="A71" s="190"/>
      <c r="B71" s="281"/>
      <c r="C71" s="190"/>
      <c r="D71" s="190"/>
      <c r="E71" s="190"/>
      <c r="F71" s="190"/>
      <c r="G71" s="190"/>
      <c r="H71" s="282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>
      <c r="A72" s="190"/>
      <c r="B72" s="281"/>
      <c r="C72" s="190"/>
      <c r="D72" s="190"/>
      <c r="E72" s="190"/>
      <c r="F72" s="190"/>
      <c r="G72" s="190"/>
      <c r="H72" s="282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>
      <c r="A73" s="190"/>
      <c r="B73" s="281"/>
      <c r="C73" s="190"/>
      <c r="D73" s="190"/>
      <c r="E73" s="190"/>
      <c r="F73" s="190"/>
      <c r="G73" s="190"/>
      <c r="H73" s="282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>
      <c r="A74" s="190"/>
      <c r="B74" s="281"/>
      <c r="C74" s="190"/>
      <c r="D74" s="190"/>
      <c r="E74" s="190"/>
      <c r="F74" s="190"/>
      <c r="G74" s="190"/>
      <c r="H74" s="282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>
      <c r="A75" s="190"/>
      <c r="B75" s="281"/>
      <c r="C75" s="190"/>
      <c r="D75" s="190"/>
      <c r="E75" s="190"/>
      <c r="F75" s="190"/>
      <c r="G75" s="190"/>
      <c r="H75" s="282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>
      <c r="A76" s="190"/>
      <c r="B76" s="281"/>
      <c r="C76" s="190"/>
      <c r="D76" s="190"/>
      <c r="E76" s="190"/>
      <c r="F76" s="190"/>
      <c r="G76" s="190"/>
      <c r="H76" s="282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>
      <c r="A77" s="190"/>
      <c r="B77" s="281"/>
      <c r="C77" s="190"/>
      <c r="D77" s="190"/>
      <c r="E77" s="190"/>
      <c r="F77" s="190"/>
      <c r="G77" s="190"/>
      <c r="H77" s="282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>
      <c r="A78" s="190"/>
      <c r="B78" s="281"/>
      <c r="C78" s="190"/>
      <c r="D78" s="190"/>
      <c r="E78" s="190"/>
      <c r="F78" s="190"/>
      <c r="G78" s="190"/>
      <c r="H78" s="282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>
      <c r="A79" s="190"/>
      <c r="B79" s="281"/>
      <c r="C79" s="190"/>
      <c r="D79" s="190"/>
      <c r="E79" s="190"/>
      <c r="F79" s="190"/>
      <c r="G79" s="190"/>
      <c r="H79" s="282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>
      <c r="A80" s="190"/>
      <c r="B80" s="281"/>
      <c r="C80" s="190"/>
      <c r="D80" s="190"/>
      <c r="E80" s="190"/>
      <c r="F80" s="190"/>
      <c r="G80" s="190"/>
      <c r="H80" s="282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>
      <c r="A81" s="190"/>
      <c r="B81" s="281"/>
      <c r="C81" s="190"/>
      <c r="D81" s="190"/>
      <c r="E81" s="190"/>
      <c r="F81" s="190"/>
      <c r="G81" s="190"/>
      <c r="H81" s="282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>
      <c r="A82" s="190"/>
      <c r="B82" s="281"/>
      <c r="C82" s="190"/>
      <c r="D82" s="190"/>
      <c r="E82" s="190"/>
      <c r="F82" s="190"/>
      <c r="G82" s="190"/>
      <c r="H82" s="282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>
      <c r="A83" s="190"/>
      <c r="B83" s="281"/>
      <c r="C83" s="190"/>
      <c r="D83" s="190"/>
      <c r="E83" s="190"/>
      <c r="F83" s="190"/>
      <c r="G83" s="190"/>
      <c r="H83" s="282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>
      <c r="A84" s="190"/>
      <c r="B84" s="281"/>
      <c r="C84" s="190"/>
      <c r="D84" s="190"/>
      <c r="E84" s="190"/>
      <c r="F84" s="190"/>
      <c r="G84" s="190"/>
      <c r="H84" s="282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>
      <c r="A85" s="190"/>
      <c r="B85" s="281"/>
      <c r="C85" s="190"/>
      <c r="D85" s="190"/>
      <c r="E85" s="190"/>
      <c r="F85" s="190"/>
      <c r="G85" s="190"/>
      <c r="H85" s="282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>
      <c r="A86" s="190"/>
      <c r="B86" s="281"/>
      <c r="C86" s="190"/>
      <c r="D86" s="190"/>
      <c r="E86" s="190"/>
      <c r="F86" s="190"/>
      <c r="G86" s="190"/>
      <c r="H86" s="282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>
      <c r="A87" s="190"/>
      <c r="B87" s="281"/>
      <c r="C87" s="190"/>
      <c r="D87" s="190"/>
      <c r="E87" s="190"/>
      <c r="F87" s="190"/>
      <c r="G87" s="190"/>
      <c r="H87" s="282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>
      <c r="A88" s="190"/>
      <c r="B88" s="281"/>
      <c r="C88" s="190"/>
      <c r="D88" s="190"/>
      <c r="E88" s="190"/>
      <c r="F88" s="190"/>
      <c r="G88" s="190"/>
      <c r="H88" s="282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>
      <c r="A89" s="190"/>
      <c r="B89" s="281"/>
      <c r="C89" s="190"/>
      <c r="D89" s="190"/>
      <c r="E89" s="190"/>
      <c r="F89" s="190"/>
      <c r="G89" s="190"/>
      <c r="H89" s="282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>
      <c r="A90" s="190"/>
      <c r="B90" s="281"/>
      <c r="C90" s="190"/>
      <c r="D90" s="190"/>
      <c r="E90" s="190"/>
      <c r="F90" s="190"/>
      <c r="G90" s="190"/>
      <c r="H90" s="282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>
      <c r="A91" s="190"/>
      <c r="B91" s="281"/>
      <c r="C91" s="190"/>
      <c r="D91" s="190"/>
      <c r="E91" s="190"/>
      <c r="F91" s="190"/>
      <c r="G91" s="190"/>
      <c r="H91" s="282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>
      <c r="A92" s="190"/>
      <c r="B92" s="281"/>
      <c r="C92" s="190"/>
      <c r="D92" s="190"/>
      <c r="E92" s="190"/>
      <c r="F92" s="190"/>
      <c r="G92" s="190"/>
      <c r="H92" s="282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>
      <c r="A93" s="190"/>
      <c r="B93" s="281"/>
      <c r="C93" s="190"/>
      <c r="D93" s="190"/>
      <c r="E93" s="190"/>
      <c r="F93" s="190"/>
      <c r="G93" s="190"/>
      <c r="H93" s="282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>
      <c r="A94" s="190"/>
      <c r="B94" s="281"/>
      <c r="C94" s="190"/>
      <c r="D94" s="190"/>
      <c r="E94" s="190"/>
      <c r="F94" s="190"/>
      <c r="G94" s="190"/>
      <c r="H94" s="282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>
      <c r="A95" s="190"/>
      <c r="B95" s="281"/>
      <c r="C95" s="190"/>
      <c r="D95" s="190"/>
      <c r="E95" s="190"/>
      <c r="F95" s="190"/>
      <c r="G95" s="190"/>
      <c r="H95" s="282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>
      <c r="A96" s="190"/>
      <c r="B96" s="281"/>
      <c r="C96" s="190"/>
      <c r="D96" s="190"/>
      <c r="E96" s="190"/>
      <c r="F96" s="190"/>
      <c r="G96" s="190"/>
      <c r="H96" s="282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>
      <c r="A97" s="190"/>
      <c r="B97" s="281"/>
      <c r="C97" s="190"/>
      <c r="D97" s="190"/>
      <c r="E97" s="190"/>
      <c r="F97" s="190"/>
      <c r="G97" s="190"/>
      <c r="H97" s="282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>
      <c r="A98" s="190"/>
      <c r="B98" s="281"/>
      <c r="C98" s="190"/>
      <c r="D98" s="190"/>
      <c r="E98" s="190"/>
      <c r="F98" s="190"/>
      <c r="G98" s="190"/>
      <c r="H98" s="282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>
      <c r="A99" s="190"/>
      <c r="B99" s="281"/>
      <c r="C99" s="190"/>
      <c r="D99" s="190"/>
      <c r="E99" s="190"/>
      <c r="F99" s="190"/>
      <c r="G99" s="190"/>
      <c r="H99" s="282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>
      <c r="A100" s="190"/>
      <c r="B100" s="281"/>
      <c r="C100" s="190"/>
      <c r="D100" s="190"/>
      <c r="E100" s="190"/>
      <c r="F100" s="190"/>
      <c r="G100" s="190"/>
      <c r="H100" s="282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>
      <c r="A101" s="190"/>
      <c r="B101" s="281"/>
      <c r="C101" s="190"/>
      <c r="D101" s="190"/>
      <c r="E101" s="190"/>
      <c r="F101" s="190"/>
      <c r="G101" s="190"/>
      <c r="H101" s="282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>
      <c r="A102" s="190"/>
      <c r="B102" s="281"/>
      <c r="C102" s="190"/>
      <c r="D102" s="190"/>
      <c r="E102" s="190"/>
      <c r="F102" s="190"/>
      <c r="G102" s="190"/>
      <c r="H102" s="282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>
      <c r="A103" s="190"/>
      <c r="B103" s="281"/>
      <c r="C103" s="190"/>
      <c r="D103" s="190"/>
      <c r="E103" s="190"/>
      <c r="F103" s="190"/>
      <c r="G103" s="190"/>
      <c r="H103" s="282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>
      <c r="A104" s="190"/>
      <c r="B104" s="281"/>
      <c r="C104" s="190"/>
      <c r="D104" s="190"/>
      <c r="E104" s="190"/>
      <c r="F104" s="190"/>
      <c r="G104" s="190"/>
      <c r="H104" s="282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>
      <c r="A105" s="190"/>
      <c r="B105" s="281"/>
      <c r="C105" s="190"/>
      <c r="D105" s="190"/>
      <c r="E105" s="190"/>
      <c r="F105" s="190"/>
      <c r="G105" s="190"/>
      <c r="H105" s="282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>
      <c r="A106" s="190"/>
      <c r="B106" s="281"/>
      <c r="C106" s="190"/>
      <c r="D106" s="190"/>
      <c r="E106" s="190"/>
      <c r="F106" s="190"/>
      <c r="G106" s="190"/>
      <c r="H106" s="282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>
      <c r="A107" s="190"/>
      <c r="B107" s="281"/>
      <c r="C107" s="190"/>
      <c r="D107" s="190"/>
      <c r="E107" s="190"/>
      <c r="F107" s="190"/>
      <c r="G107" s="190"/>
      <c r="H107" s="282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>
      <c r="A108" s="190"/>
      <c r="B108" s="281"/>
      <c r="C108" s="190"/>
      <c r="D108" s="190"/>
      <c r="E108" s="190"/>
      <c r="F108" s="190"/>
      <c r="G108" s="190"/>
      <c r="H108" s="282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>
      <c r="A109" s="190"/>
      <c r="B109" s="281"/>
      <c r="C109" s="190"/>
      <c r="D109" s="190"/>
      <c r="E109" s="190"/>
      <c r="F109" s="190"/>
      <c r="G109" s="190"/>
      <c r="H109" s="282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>
      <c r="A110" s="190"/>
      <c r="B110" s="281"/>
      <c r="C110" s="190"/>
      <c r="D110" s="190"/>
      <c r="E110" s="190"/>
      <c r="F110" s="190"/>
      <c r="G110" s="190"/>
      <c r="H110" s="282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>
      <c r="A111" s="190"/>
      <c r="B111" s="281"/>
      <c r="C111" s="190"/>
      <c r="D111" s="190"/>
      <c r="E111" s="190"/>
      <c r="F111" s="190"/>
      <c r="G111" s="190"/>
      <c r="H111" s="282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>
      <c r="A112" s="190"/>
      <c r="B112" s="281"/>
      <c r="C112" s="190"/>
      <c r="D112" s="190"/>
      <c r="E112" s="190"/>
      <c r="F112" s="190"/>
      <c r="G112" s="190"/>
      <c r="H112" s="282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>
      <c r="A113" s="190"/>
      <c r="B113" s="281"/>
      <c r="C113" s="190"/>
      <c r="D113" s="190"/>
      <c r="E113" s="190"/>
      <c r="F113" s="190"/>
      <c r="G113" s="190"/>
      <c r="H113" s="282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>
      <c r="A114" s="190"/>
      <c r="B114" s="281"/>
      <c r="C114" s="190"/>
      <c r="D114" s="190"/>
      <c r="E114" s="190"/>
      <c r="F114" s="190"/>
      <c r="G114" s="190"/>
      <c r="H114" s="282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>
      <c r="A115" s="190"/>
      <c r="B115" s="281"/>
      <c r="C115" s="190"/>
      <c r="D115" s="190"/>
      <c r="E115" s="190"/>
      <c r="F115" s="190"/>
      <c r="G115" s="190"/>
      <c r="H115" s="282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>
      <c r="A116" s="190"/>
      <c r="B116" s="281"/>
      <c r="C116" s="190"/>
      <c r="D116" s="190"/>
      <c r="E116" s="190"/>
      <c r="F116" s="190"/>
      <c r="G116" s="190"/>
      <c r="H116" s="282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>
      <c r="A117" s="190"/>
      <c r="B117" s="281"/>
      <c r="C117" s="190"/>
      <c r="D117" s="190"/>
      <c r="E117" s="190"/>
      <c r="F117" s="190"/>
      <c r="G117" s="190"/>
      <c r="H117" s="282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>
      <c r="A118" s="190"/>
      <c r="B118" s="281"/>
      <c r="C118" s="190"/>
      <c r="D118" s="190"/>
      <c r="E118" s="190"/>
      <c r="F118" s="190"/>
      <c r="G118" s="190"/>
      <c r="H118" s="282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>
      <c r="A119" s="190"/>
      <c r="B119" s="281"/>
      <c r="C119" s="190"/>
      <c r="D119" s="190"/>
      <c r="E119" s="190"/>
      <c r="F119" s="190"/>
      <c r="G119" s="190"/>
      <c r="H119" s="282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>
      <c r="A120" s="190"/>
      <c r="B120" s="281"/>
      <c r="C120" s="190"/>
      <c r="D120" s="190"/>
      <c r="E120" s="190"/>
      <c r="F120" s="190"/>
      <c r="G120" s="190"/>
      <c r="H120" s="282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>
      <c r="A121" s="190"/>
      <c r="B121" s="281"/>
      <c r="C121" s="190"/>
      <c r="D121" s="190"/>
      <c r="E121" s="190"/>
      <c r="F121" s="190"/>
      <c r="G121" s="190"/>
      <c r="H121" s="282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>
      <c r="A122" s="190"/>
      <c r="B122" s="281"/>
      <c r="C122" s="190"/>
      <c r="D122" s="190"/>
      <c r="E122" s="190"/>
      <c r="F122" s="190"/>
      <c r="G122" s="190"/>
      <c r="H122" s="282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>
      <c r="A123" s="190"/>
      <c r="B123" s="281"/>
      <c r="C123" s="190"/>
      <c r="D123" s="190"/>
      <c r="E123" s="190"/>
      <c r="F123" s="190"/>
      <c r="G123" s="190"/>
      <c r="H123" s="282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>
      <c r="A124" s="190"/>
      <c r="B124" s="281"/>
      <c r="C124" s="190"/>
      <c r="D124" s="190"/>
      <c r="E124" s="190"/>
      <c r="F124" s="190"/>
      <c r="G124" s="190"/>
      <c r="H124" s="282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>
      <c r="A125" s="190"/>
      <c r="B125" s="281"/>
      <c r="C125" s="190"/>
      <c r="D125" s="190"/>
      <c r="E125" s="190"/>
      <c r="F125" s="190"/>
      <c r="G125" s="190"/>
      <c r="H125" s="282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>
      <c r="A126" s="190"/>
      <c r="B126" s="281"/>
      <c r="C126" s="190"/>
      <c r="D126" s="190"/>
      <c r="E126" s="190"/>
      <c r="F126" s="190"/>
      <c r="G126" s="190"/>
      <c r="H126" s="282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>
      <c r="A127" s="190"/>
      <c r="B127" s="281"/>
      <c r="C127" s="190"/>
      <c r="D127" s="190"/>
      <c r="E127" s="190"/>
      <c r="F127" s="190"/>
      <c r="G127" s="190"/>
      <c r="H127" s="282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>
      <c r="A128" s="190"/>
      <c r="B128" s="281"/>
      <c r="C128" s="190"/>
      <c r="D128" s="190"/>
      <c r="E128" s="190"/>
      <c r="F128" s="190"/>
      <c r="G128" s="190"/>
      <c r="H128" s="282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>
      <c r="A129" s="190"/>
      <c r="B129" s="281"/>
      <c r="C129" s="190"/>
      <c r="D129" s="190"/>
      <c r="E129" s="190"/>
      <c r="F129" s="190"/>
      <c r="G129" s="190"/>
      <c r="H129" s="282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>
      <c r="A130" s="190"/>
      <c r="B130" s="281"/>
      <c r="C130" s="190"/>
      <c r="D130" s="190"/>
      <c r="E130" s="190"/>
      <c r="F130" s="190"/>
      <c r="G130" s="190"/>
      <c r="H130" s="282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>
      <c r="A131" s="190"/>
      <c r="B131" s="281"/>
      <c r="C131" s="190"/>
      <c r="D131" s="190"/>
      <c r="E131" s="190"/>
      <c r="F131" s="190"/>
      <c r="G131" s="190"/>
      <c r="H131" s="282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>
      <c r="A132" s="190"/>
      <c r="B132" s="281"/>
      <c r="C132" s="190"/>
      <c r="D132" s="190"/>
      <c r="E132" s="190"/>
      <c r="F132" s="190"/>
      <c r="G132" s="190"/>
      <c r="H132" s="282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>
      <c r="A133" s="190"/>
      <c r="B133" s="281"/>
      <c r="C133" s="190"/>
      <c r="D133" s="190"/>
      <c r="E133" s="190"/>
      <c r="F133" s="190"/>
      <c r="G133" s="190"/>
      <c r="H133" s="282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>
      <c r="A134" s="190"/>
      <c r="B134" s="281"/>
      <c r="C134" s="190"/>
      <c r="D134" s="190"/>
      <c r="E134" s="190"/>
      <c r="F134" s="190"/>
      <c r="G134" s="190"/>
      <c r="H134" s="282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>
      <c r="A135" s="190"/>
      <c r="B135" s="281"/>
      <c r="C135" s="190"/>
      <c r="D135" s="190"/>
      <c r="E135" s="190"/>
      <c r="F135" s="190"/>
      <c r="G135" s="190"/>
      <c r="H135" s="282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>
      <c r="A136" s="190"/>
      <c r="B136" s="281"/>
      <c r="C136" s="190"/>
      <c r="D136" s="190"/>
      <c r="E136" s="190"/>
      <c r="F136" s="190"/>
      <c r="G136" s="190"/>
      <c r="H136" s="282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>
      <c r="A137" s="190"/>
      <c r="B137" s="281"/>
      <c r="C137" s="190"/>
      <c r="D137" s="190"/>
      <c r="E137" s="190"/>
      <c r="F137" s="190"/>
      <c r="G137" s="190"/>
      <c r="H137" s="282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>
      <c r="A138" s="190"/>
      <c r="B138" s="281"/>
      <c r="C138" s="190"/>
      <c r="D138" s="190"/>
      <c r="E138" s="190"/>
      <c r="F138" s="190"/>
      <c r="G138" s="190"/>
      <c r="H138" s="282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>
      <c r="A139" s="190"/>
      <c r="B139" s="281"/>
      <c r="C139" s="190"/>
      <c r="D139" s="190"/>
      <c r="E139" s="190"/>
      <c r="F139" s="190"/>
      <c r="G139" s="190"/>
      <c r="H139" s="282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>
      <c r="A140" s="190"/>
      <c r="B140" s="281"/>
      <c r="C140" s="190"/>
      <c r="D140" s="190"/>
      <c r="E140" s="190"/>
      <c r="F140" s="190"/>
      <c r="G140" s="190"/>
      <c r="H140" s="282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>
      <c r="A141" s="190"/>
      <c r="B141" s="281"/>
      <c r="C141" s="190"/>
      <c r="D141" s="190"/>
      <c r="E141" s="190"/>
      <c r="F141" s="190"/>
      <c r="G141" s="190"/>
      <c r="H141" s="282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>
      <c r="A142" s="190"/>
      <c r="B142" s="281"/>
      <c r="C142" s="190"/>
      <c r="D142" s="190"/>
      <c r="E142" s="190"/>
      <c r="F142" s="190"/>
      <c r="G142" s="190"/>
      <c r="H142" s="282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>
      <c r="A143" s="190"/>
      <c r="B143" s="281"/>
      <c r="C143" s="190"/>
      <c r="D143" s="190"/>
      <c r="E143" s="190"/>
      <c r="F143" s="190"/>
      <c r="G143" s="190"/>
      <c r="H143" s="282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>
      <c r="A144" s="190"/>
      <c r="B144" s="281"/>
      <c r="C144" s="190"/>
      <c r="D144" s="190"/>
      <c r="E144" s="190"/>
      <c r="F144" s="190"/>
      <c r="G144" s="190"/>
      <c r="H144" s="282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>
      <c r="A145" s="190"/>
      <c r="B145" s="281"/>
      <c r="C145" s="190"/>
      <c r="D145" s="190"/>
      <c r="E145" s="190"/>
      <c r="F145" s="190"/>
      <c r="G145" s="190"/>
      <c r="H145" s="282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>
      <c r="A146" s="190"/>
      <c r="B146" s="281"/>
      <c r="C146" s="190"/>
      <c r="D146" s="190"/>
      <c r="E146" s="190"/>
      <c r="F146" s="190"/>
      <c r="G146" s="190"/>
      <c r="H146" s="282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>
      <c r="A147" s="190"/>
      <c r="B147" s="281"/>
      <c r="C147" s="190"/>
      <c r="D147" s="190"/>
      <c r="E147" s="190"/>
      <c r="F147" s="190"/>
      <c r="G147" s="190"/>
      <c r="H147" s="282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>
      <c r="A148" s="190"/>
      <c r="B148" s="281"/>
      <c r="C148" s="190"/>
      <c r="D148" s="190"/>
      <c r="E148" s="190"/>
      <c r="F148" s="190"/>
      <c r="G148" s="190"/>
      <c r="H148" s="282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>
      <c r="A149" s="190"/>
      <c r="B149" s="281"/>
      <c r="C149" s="190"/>
      <c r="D149" s="190"/>
      <c r="E149" s="190"/>
      <c r="F149" s="190"/>
      <c r="G149" s="190"/>
      <c r="H149" s="282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>
      <c r="A150" s="190"/>
      <c r="B150" s="281"/>
      <c r="C150" s="190"/>
      <c r="D150" s="190"/>
      <c r="E150" s="190"/>
      <c r="F150" s="190"/>
      <c r="G150" s="190"/>
      <c r="H150" s="282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>
      <c r="A151" s="190"/>
      <c r="B151" s="281"/>
      <c r="C151" s="190"/>
      <c r="D151" s="190"/>
      <c r="E151" s="190"/>
      <c r="F151" s="190"/>
      <c r="G151" s="190"/>
      <c r="H151" s="282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>
      <c r="A152" s="190"/>
      <c r="B152" s="281"/>
      <c r="C152" s="190"/>
      <c r="D152" s="190"/>
      <c r="E152" s="190"/>
      <c r="F152" s="190"/>
      <c r="G152" s="190"/>
      <c r="H152" s="282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>
      <c r="A153" s="190"/>
      <c r="B153" s="281"/>
      <c r="C153" s="190"/>
      <c r="D153" s="190"/>
      <c r="E153" s="190"/>
      <c r="F153" s="190"/>
      <c r="G153" s="190"/>
      <c r="H153" s="282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>
      <c r="A154" s="190"/>
      <c r="B154" s="281"/>
      <c r="C154" s="190"/>
      <c r="D154" s="190"/>
      <c r="E154" s="190"/>
      <c r="F154" s="190"/>
      <c r="G154" s="190"/>
      <c r="H154" s="282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>
      <c r="A155" s="190"/>
      <c r="B155" s="281"/>
      <c r="C155" s="190"/>
      <c r="D155" s="190"/>
      <c r="E155" s="190"/>
      <c r="F155" s="190"/>
      <c r="G155" s="190"/>
      <c r="H155" s="282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>
      <c r="A156" s="190"/>
      <c r="B156" s="281"/>
      <c r="C156" s="190"/>
      <c r="D156" s="190"/>
      <c r="E156" s="190"/>
      <c r="F156" s="190"/>
      <c r="G156" s="190"/>
      <c r="H156" s="282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>
      <c r="A157" s="190"/>
      <c r="B157" s="281"/>
      <c r="C157" s="190"/>
      <c r="D157" s="190"/>
      <c r="E157" s="190"/>
      <c r="F157" s="190"/>
      <c r="G157" s="190"/>
      <c r="H157" s="282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>
      <c r="A158" s="190"/>
      <c r="B158" s="281"/>
      <c r="C158" s="190"/>
      <c r="D158" s="190"/>
      <c r="E158" s="190"/>
      <c r="F158" s="190"/>
      <c r="G158" s="190"/>
      <c r="H158" s="282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>
      <c r="A159" s="190"/>
      <c r="B159" s="281"/>
      <c r="C159" s="190"/>
      <c r="D159" s="190"/>
      <c r="E159" s="190"/>
      <c r="F159" s="190"/>
      <c r="G159" s="190"/>
      <c r="H159" s="282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>
      <c r="A160" s="190"/>
      <c r="B160" s="281"/>
      <c r="C160" s="190"/>
      <c r="D160" s="190"/>
      <c r="E160" s="190"/>
      <c r="F160" s="190"/>
      <c r="G160" s="190"/>
      <c r="H160" s="282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>
      <c r="A161" s="190"/>
      <c r="B161" s="281"/>
      <c r="C161" s="190"/>
      <c r="D161" s="190"/>
      <c r="E161" s="190"/>
      <c r="F161" s="190"/>
      <c r="G161" s="190"/>
      <c r="H161" s="282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>
      <c r="A162" s="190"/>
      <c r="B162" s="281"/>
      <c r="C162" s="190"/>
      <c r="D162" s="190"/>
      <c r="E162" s="190"/>
      <c r="F162" s="190"/>
      <c r="G162" s="190"/>
      <c r="H162" s="282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>
      <c r="A163" s="190"/>
      <c r="B163" s="281"/>
      <c r="C163" s="190"/>
      <c r="D163" s="190"/>
      <c r="E163" s="190"/>
      <c r="F163" s="190"/>
      <c r="G163" s="190"/>
      <c r="H163" s="282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>
      <c r="A164" s="190"/>
      <c r="B164" s="281"/>
      <c r="C164" s="190"/>
      <c r="D164" s="190"/>
      <c r="E164" s="190"/>
      <c r="F164" s="190"/>
      <c r="G164" s="190"/>
      <c r="H164" s="282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>
      <c r="A165" s="190"/>
      <c r="B165" s="281"/>
      <c r="C165" s="190"/>
      <c r="D165" s="190"/>
      <c r="E165" s="190"/>
      <c r="F165" s="190"/>
      <c r="G165" s="190"/>
      <c r="H165" s="282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>
      <c r="A166" s="190"/>
      <c r="B166" s="281"/>
      <c r="C166" s="190"/>
      <c r="D166" s="190"/>
      <c r="E166" s="190"/>
      <c r="F166" s="190"/>
      <c r="G166" s="190"/>
      <c r="H166" s="282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>
      <c r="A167" s="190"/>
      <c r="B167" s="281"/>
      <c r="C167" s="190"/>
      <c r="D167" s="190"/>
      <c r="E167" s="190"/>
      <c r="F167" s="190"/>
      <c r="G167" s="190"/>
      <c r="H167" s="282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>
      <c r="A168" s="190"/>
      <c r="B168" s="281"/>
      <c r="C168" s="190"/>
      <c r="D168" s="190"/>
      <c r="E168" s="190"/>
      <c r="F168" s="190"/>
      <c r="G168" s="190"/>
      <c r="H168" s="282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>
      <c r="A169" s="190"/>
      <c r="B169" s="281"/>
      <c r="C169" s="190"/>
      <c r="D169" s="190"/>
      <c r="E169" s="190"/>
      <c r="F169" s="190"/>
      <c r="G169" s="190"/>
      <c r="H169" s="282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>
      <c r="A170" s="190"/>
      <c r="B170" s="281"/>
      <c r="C170" s="190"/>
      <c r="D170" s="190"/>
      <c r="E170" s="190"/>
      <c r="F170" s="190"/>
      <c r="G170" s="190"/>
      <c r="H170" s="282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>
      <c r="A171" s="190"/>
      <c r="B171" s="281"/>
      <c r="C171" s="190"/>
      <c r="D171" s="190"/>
      <c r="E171" s="190"/>
      <c r="F171" s="190"/>
      <c r="G171" s="190"/>
      <c r="H171" s="282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>
      <c r="A172" s="190"/>
      <c r="B172" s="281"/>
      <c r="C172" s="190"/>
      <c r="D172" s="190"/>
      <c r="E172" s="190"/>
      <c r="F172" s="190"/>
      <c r="G172" s="190"/>
      <c r="H172" s="282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>
      <c r="A173" s="190"/>
      <c r="B173" s="281"/>
      <c r="C173" s="190"/>
      <c r="D173" s="190"/>
      <c r="E173" s="190"/>
      <c r="F173" s="190"/>
      <c r="G173" s="190"/>
      <c r="H173" s="282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>
      <c r="A174" s="190"/>
      <c r="B174" s="281"/>
      <c r="C174" s="190"/>
      <c r="D174" s="190"/>
      <c r="E174" s="190"/>
      <c r="F174" s="190"/>
      <c r="G174" s="190"/>
      <c r="H174" s="282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>
      <c r="A175" s="190"/>
      <c r="B175" s="281"/>
      <c r="C175" s="190"/>
      <c r="D175" s="190"/>
      <c r="E175" s="190"/>
      <c r="F175" s="190"/>
      <c r="G175" s="190"/>
      <c r="H175" s="282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>
      <c r="A176" s="190"/>
      <c r="B176" s="281"/>
      <c r="C176" s="190"/>
      <c r="D176" s="190"/>
      <c r="E176" s="190"/>
      <c r="F176" s="190"/>
      <c r="G176" s="190"/>
      <c r="H176" s="282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>
      <c r="A177" s="190"/>
      <c r="B177" s="281"/>
      <c r="C177" s="190"/>
      <c r="D177" s="190"/>
      <c r="E177" s="190"/>
      <c r="F177" s="190"/>
      <c r="G177" s="190"/>
      <c r="H177" s="282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>
      <c r="A178" s="190"/>
      <c r="B178" s="281"/>
      <c r="C178" s="190"/>
      <c r="D178" s="190"/>
      <c r="E178" s="190"/>
      <c r="F178" s="190"/>
      <c r="G178" s="190"/>
      <c r="H178" s="282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>
      <c r="A179" s="190"/>
      <c r="B179" s="281"/>
      <c r="C179" s="190"/>
      <c r="D179" s="190"/>
      <c r="E179" s="190"/>
      <c r="F179" s="190"/>
      <c r="G179" s="190"/>
      <c r="H179" s="282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>
      <c r="A180" s="190"/>
      <c r="B180" s="281"/>
      <c r="C180" s="190"/>
      <c r="D180" s="190"/>
      <c r="E180" s="190"/>
      <c r="F180" s="190"/>
      <c r="G180" s="190"/>
      <c r="H180" s="282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>
      <c r="A181" s="190"/>
      <c r="B181" s="281"/>
      <c r="C181" s="190"/>
      <c r="D181" s="190"/>
      <c r="E181" s="190"/>
      <c r="F181" s="190"/>
      <c r="G181" s="190"/>
      <c r="H181" s="282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>
      <c r="A182" s="190"/>
      <c r="B182" s="281"/>
      <c r="C182" s="190"/>
      <c r="D182" s="190"/>
      <c r="E182" s="190"/>
      <c r="F182" s="190"/>
      <c r="G182" s="190"/>
      <c r="H182" s="282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>
      <c r="A183" s="190"/>
      <c r="B183" s="281"/>
      <c r="C183" s="190"/>
      <c r="D183" s="190"/>
      <c r="E183" s="190"/>
      <c r="F183" s="190"/>
      <c r="G183" s="190"/>
      <c r="H183" s="282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>
      <c r="A184" s="190"/>
      <c r="B184" s="281"/>
      <c r="C184" s="190"/>
      <c r="D184" s="190"/>
      <c r="E184" s="190"/>
      <c r="F184" s="190"/>
      <c r="G184" s="190"/>
      <c r="H184" s="282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>
      <c r="A185" s="190"/>
      <c r="B185" s="281"/>
      <c r="C185" s="190"/>
      <c r="D185" s="190"/>
      <c r="E185" s="190"/>
      <c r="F185" s="190"/>
      <c r="G185" s="190"/>
      <c r="H185" s="282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>
      <c r="A186" s="190"/>
      <c r="B186" s="281"/>
      <c r="C186" s="190"/>
      <c r="D186" s="190"/>
      <c r="E186" s="190"/>
      <c r="F186" s="190"/>
      <c r="G186" s="190"/>
      <c r="H186" s="282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>
      <c r="A187" s="190"/>
      <c r="B187" s="281"/>
      <c r="C187" s="190"/>
      <c r="D187" s="190"/>
      <c r="E187" s="190"/>
      <c r="F187" s="190"/>
      <c r="G187" s="190"/>
      <c r="H187" s="282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>
      <c r="A188" s="190"/>
      <c r="B188" s="281"/>
      <c r="C188" s="190"/>
      <c r="D188" s="190"/>
      <c r="E188" s="190"/>
      <c r="F188" s="190"/>
      <c r="G188" s="190"/>
      <c r="H188" s="282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>
      <c r="A189" s="190"/>
      <c r="B189" s="281"/>
      <c r="C189" s="190"/>
      <c r="D189" s="190"/>
      <c r="E189" s="190"/>
      <c r="F189" s="190"/>
      <c r="G189" s="190"/>
      <c r="H189" s="282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>
      <c r="A190" s="190"/>
      <c r="B190" s="281"/>
      <c r="C190" s="190"/>
      <c r="D190" s="190"/>
      <c r="E190" s="190"/>
      <c r="F190" s="190"/>
      <c r="G190" s="190"/>
      <c r="H190" s="282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>
      <c r="A191" s="190"/>
      <c r="B191" s="281"/>
      <c r="C191" s="190"/>
      <c r="D191" s="190"/>
      <c r="E191" s="190"/>
      <c r="F191" s="190"/>
      <c r="G191" s="190"/>
      <c r="H191" s="282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>
      <c r="A192" s="190"/>
      <c r="B192" s="281"/>
      <c r="C192" s="190"/>
      <c r="D192" s="190"/>
      <c r="E192" s="190"/>
      <c r="F192" s="190"/>
      <c r="G192" s="190"/>
      <c r="H192" s="282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>
      <c r="A193" s="190"/>
      <c r="B193" s="281"/>
      <c r="C193" s="190"/>
      <c r="D193" s="190"/>
      <c r="E193" s="190"/>
      <c r="F193" s="190"/>
      <c r="G193" s="190"/>
      <c r="H193" s="282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>
      <c r="A194" s="190"/>
      <c r="B194" s="281"/>
      <c r="C194" s="190"/>
      <c r="D194" s="190"/>
      <c r="E194" s="190"/>
      <c r="F194" s="190"/>
      <c r="G194" s="190"/>
      <c r="H194" s="282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>
      <c r="A195" s="190"/>
      <c r="B195" s="281"/>
      <c r="C195" s="190"/>
      <c r="D195" s="190"/>
      <c r="E195" s="190"/>
      <c r="F195" s="190"/>
      <c r="G195" s="190"/>
      <c r="H195" s="282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>
      <c r="A196" s="190"/>
      <c r="B196" s="281"/>
      <c r="C196" s="190"/>
      <c r="D196" s="190"/>
      <c r="E196" s="190"/>
      <c r="F196" s="190"/>
      <c r="G196" s="190"/>
      <c r="H196" s="282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>
      <c r="A197" s="190"/>
      <c r="B197" s="281"/>
      <c r="C197" s="190"/>
      <c r="D197" s="190"/>
      <c r="E197" s="190"/>
      <c r="F197" s="190"/>
      <c r="G197" s="190"/>
      <c r="H197" s="282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>
      <c r="A198" s="190"/>
      <c r="B198" s="281"/>
      <c r="C198" s="190"/>
      <c r="D198" s="190"/>
      <c r="E198" s="190"/>
      <c r="F198" s="190"/>
      <c r="G198" s="190"/>
      <c r="H198" s="282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>
      <c r="A199" s="190"/>
      <c r="B199" s="281"/>
      <c r="C199" s="190"/>
      <c r="D199" s="190"/>
      <c r="E199" s="190"/>
      <c r="F199" s="190"/>
      <c r="G199" s="190"/>
      <c r="H199" s="282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>
      <c r="A200" s="190"/>
      <c r="B200" s="281"/>
      <c r="C200" s="190"/>
      <c r="D200" s="190"/>
      <c r="E200" s="190"/>
      <c r="F200" s="190"/>
      <c r="G200" s="190"/>
      <c r="H200" s="282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>
      <c r="A201" s="190"/>
      <c r="B201" s="281"/>
      <c r="C201" s="190"/>
      <c r="D201" s="190"/>
      <c r="E201" s="190"/>
      <c r="F201" s="190"/>
      <c r="G201" s="190"/>
      <c r="H201" s="282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>
      <c r="A202" s="190"/>
      <c r="B202" s="281"/>
      <c r="C202" s="190"/>
      <c r="D202" s="190"/>
      <c r="E202" s="190"/>
      <c r="F202" s="190"/>
      <c r="G202" s="190"/>
      <c r="H202" s="282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>
      <c r="A203" s="190"/>
      <c r="B203" s="281"/>
      <c r="C203" s="190"/>
      <c r="D203" s="190"/>
      <c r="E203" s="190"/>
      <c r="F203" s="190"/>
      <c r="G203" s="190"/>
      <c r="H203" s="282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>
      <c r="A204" s="190"/>
      <c r="B204" s="281"/>
      <c r="C204" s="190"/>
      <c r="D204" s="190"/>
      <c r="E204" s="190"/>
      <c r="F204" s="190"/>
      <c r="G204" s="190"/>
      <c r="H204" s="282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>
      <c r="A205" s="190"/>
      <c r="B205" s="281"/>
      <c r="C205" s="190"/>
      <c r="D205" s="190"/>
      <c r="E205" s="190"/>
      <c r="F205" s="190"/>
      <c r="G205" s="190"/>
      <c r="H205" s="282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>
      <c r="A206" s="190"/>
      <c r="B206" s="281"/>
      <c r="C206" s="190"/>
      <c r="D206" s="190"/>
      <c r="E206" s="190"/>
      <c r="F206" s="190"/>
      <c r="G206" s="190"/>
      <c r="H206" s="282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>
      <c r="A207" s="190"/>
      <c r="B207" s="281"/>
      <c r="C207" s="190"/>
      <c r="D207" s="190"/>
      <c r="E207" s="190"/>
      <c r="F207" s="190"/>
      <c r="G207" s="190"/>
      <c r="H207" s="282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>
      <c r="A208" s="190"/>
      <c r="B208" s="281"/>
      <c r="C208" s="190"/>
      <c r="D208" s="190"/>
      <c r="E208" s="190"/>
      <c r="F208" s="190"/>
      <c r="G208" s="190"/>
      <c r="H208" s="282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>
      <c r="A209" s="190"/>
      <c r="B209" s="281"/>
      <c r="C209" s="190"/>
      <c r="D209" s="190"/>
      <c r="E209" s="190"/>
      <c r="F209" s="190"/>
      <c r="G209" s="190"/>
      <c r="H209" s="282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>
      <c r="A210" s="190"/>
      <c r="B210" s="281"/>
      <c r="C210" s="190"/>
      <c r="D210" s="190"/>
      <c r="E210" s="190"/>
      <c r="F210" s="190"/>
      <c r="G210" s="190"/>
      <c r="H210" s="282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>
      <c r="A211" s="190"/>
      <c r="B211" s="281"/>
      <c r="C211" s="190"/>
      <c r="D211" s="190"/>
      <c r="E211" s="190"/>
      <c r="F211" s="190"/>
      <c r="G211" s="190"/>
      <c r="H211" s="282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>
      <c r="A212" s="190"/>
      <c r="B212" s="281"/>
      <c r="C212" s="190"/>
      <c r="D212" s="190"/>
      <c r="E212" s="190"/>
      <c r="F212" s="190"/>
      <c r="G212" s="190"/>
      <c r="H212" s="282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>
      <c r="A213" s="190"/>
      <c r="B213" s="281"/>
      <c r="C213" s="190"/>
      <c r="D213" s="190"/>
      <c r="E213" s="190"/>
      <c r="F213" s="190"/>
      <c r="G213" s="190"/>
      <c r="H213" s="282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>
      <c r="A214" s="190"/>
      <c r="B214" s="281"/>
      <c r="C214" s="190"/>
      <c r="D214" s="190"/>
      <c r="E214" s="190"/>
      <c r="F214" s="190"/>
      <c r="G214" s="190"/>
      <c r="H214" s="282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>
      <c r="A215" s="190"/>
      <c r="B215" s="281"/>
      <c r="C215" s="190"/>
      <c r="D215" s="190"/>
      <c r="E215" s="190"/>
      <c r="F215" s="190"/>
      <c r="G215" s="190"/>
      <c r="H215" s="282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>
      <c r="A216" s="190"/>
      <c r="B216" s="281"/>
      <c r="C216" s="190"/>
      <c r="D216" s="190"/>
      <c r="E216" s="190"/>
      <c r="F216" s="190"/>
      <c r="G216" s="190"/>
      <c r="H216" s="282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>
      <c r="A217" s="190"/>
      <c r="B217" s="281"/>
      <c r="C217" s="190"/>
      <c r="D217" s="190"/>
      <c r="E217" s="190"/>
      <c r="F217" s="190"/>
      <c r="G217" s="190"/>
      <c r="H217" s="282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>
      <c r="A218" s="190"/>
      <c r="B218" s="281"/>
      <c r="C218" s="190"/>
      <c r="D218" s="190"/>
      <c r="E218" s="190"/>
      <c r="F218" s="190"/>
      <c r="G218" s="190"/>
      <c r="H218" s="282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>
      <c r="A219" s="190"/>
      <c r="B219" s="281"/>
      <c r="C219" s="190"/>
      <c r="D219" s="190"/>
      <c r="E219" s="190"/>
      <c r="F219" s="190"/>
      <c r="G219" s="190"/>
      <c r="H219" s="282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>
      <c r="A220" s="190"/>
      <c r="B220" s="281"/>
      <c r="C220" s="190"/>
      <c r="D220" s="190"/>
      <c r="E220" s="190"/>
      <c r="F220" s="190"/>
      <c r="G220" s="190"/>
      <c r="H220" s="282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>
      <c r="A221" s="190"/>
      <c r="B221" s="281"/>
      <c r="C221" s="190"/>
      <c r="D221" s="190"/>
      <c r="E221" s="190"/>
      <c r="F221" s="190"/>
      <c r="G221" s="190"/>
      <c r="H221" s="282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>
      <c r="A222" s="190"/>
      <c r="B222" s="281"/>
      <c r="C222" s="190"/>
      <c r="D222" s="190"/>
      <c r="E222" s="190"/>
      <c r="F222" s="190"/>
      <c r="G222" s="190"/>
      <c r="H222" s="282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>
      <c r="A223" s="190"/>
      <c r="B223" s="281"/>
      <c r="C223" s="190"/>
      <c r="D223" s="190"/>
      <c r="E223" s="190"/>
      <c r="F223" s="190"/>
      <c r="G223" s="190"/>
      <c r="H223" s="282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>
      <c r="A224" s="190"/>
      <c r="B224" s="281"/>
      <c r="C224" s="190"/>
      <c r="D224" s="190"/>
      <c r="E224" s="190"/>
      <c r="F224" s="190"/>
      <c r="G224" s="190"/>
      <c r="H224" s="282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>
      <c r="A225" s="83"/>
      <c r="B225" s="283"/>
      <c r="C225" s="83"/>
      <c r="D225" s="83"/>
      <c r="E225" s="83"/>
      <c r="F225" s="83"/>
      <c r="G225" s="83"/>
      <c r="H225" s="284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>
      <c r="A226" s="83"/>
      <c r="B226" s="283"/>
      <c r="C226" s="83"/>
      <c r="D226" s="83"/>
      <c r="E226" s="83"/>
      <c r="F226" s="83"/>
      <c r="G226" s="83"/>
      <c r="H226" s="284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>
      <c r="A227" s="83"/>
      <c r="B227" s="283"/>
      <c r="C227" s="83"/>
      <c r="D227" s="83"/>
      <c r="E227" s="83"/>
      <c r="F227" s="83"/>
      <c r="G227" s="83"/>
      <c r="H227" s="284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>
      <c r="A228" s="83"/>
      <c r="B228" s="283"/>
      <c r="C228" s="83"/>
      <c r="D228" s="83"/>
      <c r="E228" s="83"/>
      <c r="F228" s="83"/>
      <c r="G228" s="83"/>
      <c r="H228" s="284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>
      <c r="A229" s="83"/>
      <c r="B229" s="283"/>
      <c r="C229" s="83"/>
      <c r="D229" s="83"/>
      <c r="E229" s="83"/>
      <c r="F229" s="83"/>
      <c r="G229" s="83"/>
      <c r="H229" s="284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>
      <c r="A230" s="83"/>
      <c r="B230" s="283"/>
      <c r="C230" s="83"/>
      <c r="D230" s="83"/>
      <c r="E230" s="83"/>
      <c r="F230" s="83"/>
      <c r="G230" s="83"/>
      <c r="H230" s="284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>
      <c r="A231" s="83"/>
      <c r="B231" s="283"/>
      <c r="C231" s="83"/>
      <c r="D231" s="83"/>
      <c r="E231" s="83"/>
      <c r="F231" s="83"/>
      <c r="G231" s="83"/>
      <c r="H231" s="284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>
      <c r="A232" s="83"/>
      <c r="B232" s="283"/>
      <c r="C232" s="83"/>
      <c r="D232" s="83"/>
      <c r="E232" s="83"/>
      <c r="F232" s="83"/>
      <c r="G232" s="83"/>
      <c r="H232" s="284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>
      <c r="A233" s="83"/>
      <c r="B233" s="283"/>
      <c r="C233" s="83"/>
      <c r="D233" s="83"/>
      <c r="E233" s="83"/>
      <c r="F233" s="83"/>
      <c r="G233" s="83"/>
      <c r="H233" s="284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>
      <c r="A234" s="83"/>
      <c r="B234" s="283"/>
      <c r="C234" s="83"/>
      <c r="D234" s="83"/>
      <c r="E234" s="83"/>
      <c r="F234" s="83"/>
      <c r="G234" s="83"/>
      <c r="H234" s="284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>
      <c r="A235" s="83"/>
      <c r="B235" s="283"/>
      <c r="C235" s="83"/>
      <c r="D235" s="83"/>
      <c r="E235" s="83"/>
      <c r="F235" s="83"/>
      <c r="G235" s="83"/>
      <c r="H235" s="284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>
      <c r="A236" s="83"/>
      <c r="B236" s="283"/>
      <c r="C236" s="83"/>
      <c r="D236" s="83"/>
      <c r="E236" s="83"/>
      <c r="F236" s="83"/>
      <c r="G236" s="83"/>
      <c r="H236" s="284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>
      <c r="A237" s="83"/>
      <c r="B237" s="283"/>
      <c r="C237" s="83"/>
      <c r="D237" s="83"/>
      <c r="E237" s="83"/>
      <c r="F237" s="83"/>
      <c r="G237" s="83"/>
      <c r="H237" s="284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>
      <c r="A238" s="83"/>
      <c r="B238" s="283"/>
      <c r="C238" s="83"/>
      <c r="D238" s="83"/>
      <c r="E238" s="83"/>
      <c r="F238" s="83"/>
      <c r="G238" s="83"/>
      <c r="H238" s="284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>
      <c r="A239" s="83"/>
      <c r="B239" s="283"/>
      <c r="C239" s="83"/>
      <c r="D239" s="83"/>
      <c r="E239" s="83"/>
      <c r="F239" s="83"/>
      <c r="G239" s="83"/>
      <c r="H239" s="284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>
      <c r="A240" s="83"/>
      <c r="B240" s="283"/>
      <c r="C240" s="83"/>
      <c r="D240" s="83"/>
      <c r="E240" s="83"/>
      <c r="F240" s="83"/>
      <c r="G240" s="83"/>
      <c r="H240" s="284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>
      <c r="A241" s="83"/>
      <c r="B241" s="283"/>
      <c r="C241" s="83"/>
      <c r="D241" s="83"/>
      <c r="E241" s="83"/>
      <c r="F241" s="83"/>
      <c r="G241" s="83"/>
      <c r="H241" s="284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>
      <c r="A242" s="83"/>
      <c r="B242" s="283"/>
      <c r="C242" s="83"/>
      <c r="D242" s="83"/>
      <c r="E242" s="83"/>
      <c r="F242" s="83"/>
      <c r="G242" s="83"/>
      <c r="H242" s="284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>
      <c r="A243" s="83"/>
      <c r="B243" s="283"/>
      <c r="C243" s="83"/>
      <c r="D243" s="83"/>
      <c r="E243" s="83"/>
      <c r="F243" s="83"/>
      <c r="G243" s="83"/>
      <c r="H243" s="284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>
      <c r="A244" s="83"/>
      <c r="B244" s="283"/>
      <c r="C244" s="83"/>
      <c r="D244" s="83"/>
      <c r="E244" s="83"/>
      <c r="F244" s="83"/>
      <c r="G244" s="83"/>
      <c r="H244" s="284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>
      <c r="A245" s="83"/>
      <c r="B245" s="283"/>
      <c r="C245" s="83"/>
      <c r="D245" s="83"/>
      <c r="E245" s="83"/>
      <c r="F245" s="83"/>
      <c r="G245" s="83"/>
      <c r="H245" s="284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>
      <c r="A246" s="83"/>
      <c r="B246" s="283"/>
      <c r="C246" s="83"/>
      <c r="D246" s="83"/>
      <c r="E246" s="83"/>
      <c r="F246" s="83"/>
      <c r="G246" s="83"/>
      <c r="H246" s="284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>
      <c r="A247" s="83"/>
      <c r="B247" s="283"/>
      <c r="C247" s="83"/>
      <c r="D247" s="83"/>
      <c r="E247" s="83"/>
      <c r="F247" s="83"/>
      <c r="G247" s="83"/>
      <c r="H247" s="284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>
      <c r="A248" s="83"/>
      <c r="B248" s="283"/>
      <c r="C248" s="83"/>
      <c r="D248" s="83"/>
      <c r="E248" s="83"/>
      <c r="F248" s="83"/>
      <c r="G248" s="83"/>
      <c r="H248" s="284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>
      <c r="A249" s="83"/>
      <c r="B249" s="283"/>
      <c r="C249" s="83"/>
      <c r="D249" s="83"/>
      <c r="E249" s="83"/>
      <c r="F249" s="83"/>
      <c r="G249" s="83"/>
      <c r="H249" s="284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>
      <c r="A250" s="83"/>
      <c r="B250" s="283"/>
      <c r="C250" s="83"/>
      <c r="D250" s="83"/>
      <c r="E250" s="83"/>
      <c r="F250" s="83"/>
      <c r="G250" s="83"/>
      <c r="H250" s="284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>
      <c r="A251" s="83"/>
      <c r="B251" s="283"/>
      <c r="C251" s="83"/>
      <c r="D251" s="83"/>
      <c r="E251" s="83"/>
      <c r="F251" s="83"/>
      <c r="G251" s="83"/>
      <c r="H251" s="284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>
      <c r="A252" s="83"/>
      <c r="B252" s="283"/>
      <c r="C252" s="83"/>
      <c r="D252" s="83"/>
      <c r="E252" s="83"/>
      <c r="F252" s="83"/>
      <c r="G252" s="83"/>
      <c r="H252" s="284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>
      <c r="A253" s="83"/>
      <c r="B253" s="283"/>
      <c r="C253" s="83"/>
      <c r="D253" s="83"/>
      <c r="E253" s="83"/>
      <c r="F253" s="83"/>
      <c r="G253" s="83"/>
      <c r="H253" s="284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>
      <c r="A254" s="83"/>
      <c r="B254" s="283"/>
      <c r="C254" s="83"/>
      <c r="D254" s="83"/>
      <c r="E254" s="83"/>
      <c r="F254" s="83"/>
      <c r="G254" s="83"/>
      <c r="H254" s="284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>
      <c r="A255" s="83"/>
      <c r="B255" s="283"/>
      <c r="C255" s="83"/>
      <c r="D255" s="83"/>
      <c r="E255" s="83"/>
      <c r="F255" s="83"/>
      <c r="G255" s="83"/>
      <c r="H255" s="284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>
      <c r="A256" s="83"/>
      <c r="B256" s="283"/>
      <c r="C256" s="83"/>
      <c r="D256" s="83"/>
      <c r="E256" s="83"/>
      <c r="F256" s="83"/>
      <c r="G256" s="83"/>
      <c r="H256" s="284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>
      <c r="A257" s="83"/>
      <c r="B257" s="283"/>
      <c r="C257" s="83"/>
      <c r="D257" s="83"/>
      <c r="E257" s="83"/>
      <c r="F257" s="83"/>
      <c r="G257" s="83"/>
      <c r="H257" s="284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>
      <c r="A258" s="83"/>
      <c r="B258" s="283"/>
      <c r="C258" s="83"/>
      <c r="D258" s="83"/>
      <c r="E258" s="83"/>
      <c r="F258" s="83"/>
      <c r="G258" s="83"/>
      <c r="H258" s="284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>
      <c r="A259" s="83"/>
      <c r="B259" s="283"/>
      <c r="C259" s="83"/>
      <c r="D259" s="83"/>
      <c r="E259" s="83"/>
      <c r="F259" s="83"/>
      <c r="G259" s="83"/>
      <c r="H259" s="284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>
      <c r="A260" s="83"/>
      <c r="B260" s="283"/>
      <c r="C260" s="83"/>
      <c r="D260" s="83"/>
      <c r="E260" s="83"/>
      <c r="F260" s="83"/>
      <c r="G260" s="83"/>
      <c r="H260" s="284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>
      <c r="A261" s="83"/>
      <c r="B261" s="283"/>
      <c r="C261" s="83"/>
      <c r="D261" s="83"/>
      <c r="E261" s="83"/>
      <c r="F261" s="83"/>
      <c r="G261" s="83"/>
      <c r="H261" s="284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>
      <c r="A262" s="83"/>
      <c r="B262" s="283"/>
      <c r="C262" s="83"/>
      <c r="D262" s="83"/>
      <c r="E262" s="83"/>
      <c r="F262" s="83"/>
      <c r="G262" s="83"/>
      <c r="H262" s="284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>
      <c r="A263" s="83"/>
      <c r="B263" s="283"/>
      <c r="C263" s="83"/>
      <c r="D263" s="83"/>
      <c r="E263" s="83"/>
      <c r="F263" s="83"/>
      <c r="G263" s="83"/>
      <c r="H263" s="284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>
      <c r="A264" s="83"/>
      <c r="B264" s="283"/>
      <c r="C264" s="83"/>
      <c r="D264" s="83"/>
      <c r="E264" s="83"/>
      <c r="F264" s="83"/>
      <c r="G264" s="83"/>
      <c r="H264" s="284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>
      <c r="A265" s="83"/>
      <c r="B265" s="283"/>
      <c r="C265" s="83"/>
      <c r="D265" s="83"/>
      <c r="E265" s="83"/>
      <c r="F265" s="83"/>
      <c r="G265" s="83"/>
      <c r="H265" s="284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>
      <c r="A266" s="83"/>
      <c r="B266" s="283"/>
      <c r="C266" s="83"/>
      <c r="D266" s="83"/>
      <c r="E266" s="83"/>
      <c r="F266" s="83"/>
      <c r="G266" s="83"/>
      <c r="H266" s="284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>
      <c r="A267" s="83"/>
      <c r="B267" s="283"/>
      <c r="C267" s="83"/>
      <c r="D267" s="83"/>
      <c r="E267" s="83"/>
      <c r="F267" s="83"/>
      <c r="G267" s="83"/>
      <c r="H267" s="284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>
      <c r="A268" s="83"/>
      <c r="B268" s="283"/>
      <c r="C268" s="83"/>
      <c r="D268" s="83"/>
      <c r="E268" s="83"/>
      <c r="F268" s="83"/>
      <c r="G268" s="83"/>
      <c r="H268" s="284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>
      <c r="A269" s="83"/>
      <c r="B269" s="283"/>
      <c r="C269" s="83"/>
      <c r="D269" s="83"/>
      <c r="E269" s="83"/>
      <c r="F269" s="83"/>
      <c r="G269" s="83"/>
      <c r="H269" s="284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>
      <c r="A270" s="83"/>
      <c r="B270" s="283"/>
      <c r="C270" s="83"/>
      <c r="D270" s="83"/>
      <c r="E270" s="83"/>
      <c r="F270" s="83"/>
      <c r="G270" s="83"/>
      <c r="H270" s="284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>
      <c r="A271" s="83"/>
      <c r="B271" s="283"/>
      <c r="C271" s="83"/>
      <c r="D271" s="83"/>
      <c r="E271" s="83"/>
      <c r="F271" s="83"/>
      <c r="G271" s="83"/>
      <c r="H271" s="284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>
      <c r="A272" s="83"/>
      <c r="B272" s="283"/>
      <c r="C272" s="83"/>
      <c r="D272" s="83"/>
      <c r="E272" s="83"/>
      <c r="F272" s="83"/>
      <c r="G272" s="83"/>
      <c r="H272" s="284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>
      <c r="A273" s="83"/>
      <c r="B273" s="283"/>
      <c r="C273" s="83"/>
      <c r="D273" s="83"/>
      <c r="E273" s="83"/>
      <c r="F273" s="83"/>
      <c r="G273" s="83"/>
      <c r="H273" s="284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>
      <c r="A274" s="83"/>
      <c r="B274" s="283"/>
      <c r="C274" s="83"/>
      <c r="D274" s="83"/>
      <c r="E274" s="83"/>
      <c r="F274" s="83"/>
      <c r="G274" s="83"/>
      <c r="H274" s="284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>
      <c r="A275" s="83"/>
      <c r="B275" s="283"/>
      <c r="C275" s="83"/>
      <c r="D275" s="83"/>
      <c r="E275" s="83"/>
      <c r="F275" s="83"/>
      <c r="G275" s="83"/>
      <c r="H275" s="284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>
      <c r="A276" s="83"/>
      <c r="B276" s="283"/>
      <c r="C276" s="83"/>
      <c r="D276" s="83"/>
      <c r="E276" s="83"/>
      <c r="F276" s="83"/>
      <c r="G276" s="83"/>
      <c r="H276" s="284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>
      <c r="A277" s="83"/>
      <c r="B277" s="283"/>
      <c r="C277" s="83"/>
      <c r="D277" s="83"/>
      <c r="E277" s="83"/>
      <c r="F277" s="83"/>
      <c r="G277" s="83"/>
      <c r="H277" s="284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>
      <c r="A278" s="83"/>
      <c r="B278" s="283"/>
      <c r="C278" s="83"/>
      <c r="D278" s="83"/>
      <c r="E278" s="83"/>
      <c r="F278" s="83"/>
      <c r="G278" s="83"/>
      <c r="H278" s="284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>
      <c r="A279" s="83"/>
      <c r="B279" s="283"/>
      <c r="C279" s="83"/>
      <c r="D279" s="83"/>
      <c r="E279" s="83"/>
      <c r="F279" s="83"/>
      <c r="G279" s="83"/>
      <c r="H279" s="284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>
      <c r="A280" s="83"/>
      <c r="B280" s="283"/>
      <c r="C280" s="83"/>
      <c r="D280" s="83"/>
      <c r="E280" s="83"/>
      <c r="F280" s="83"/>
      <c r="G280" s="83"/>
      <c r="H280" s="284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>
      <c r="A281" s="83"/>
      <c r="B281" s="283"/>
      <c r="C281" s="83"/>
      <c r="D281" s="83"/>
      <c r="E281" s="83"/>
      <c r="F281" s="83"/>
      <c r="G281" s="83"/>
      <c r="H281" s="284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>
      <c r="A282" s="83"/>
      <c r="B282" s="283"/>
      <c r="C282" s="83"/>
      <c r="D282" s="83"/>
      <c r="E282" s="83"/>
      <c r="F282" s="83"/>
      <c r="G282" s="83"/>
      <c r="H282" s="284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>
      <c r="A283" s="83"/>
      <c r="B283" s="283"/>
      <c r="C283" s="83"/>
      <c r="D283" s="83"/>
      <c r="E283" s="83"/>
      <c r="F283" s="83"/>
      <c r="G283" s="83"/>
      <c r="H283" s="284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>
      <c r="A284" s="83"/>
      <c r="B284" s="283"/>
      <c r="C284" s="83"/>
      <c r="D284" s="83"/>
      <c r="E284" s="83"/>
      <c r="F284" s="83"/>
      <c r="G284" s="83"/>
      <c r="H284" s="284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>
      <c r="A285" s="83"/>
      <c r="B285" s="283"/>
      <c r="C285" s="83"/>
      <c r="D285" s="83"/>
      <c r="E285" s="83"/>
      <c r="F285" s="83"/>
      <c r="G285" s="83"/>
      <c r="H285" s="284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>
      <c r="A286" s="83"/>
      <c r="B286" s="283"/>
      <c r="C286" s="83"/>
      <c r="D286" s="83"/>
      <c r="E286" s="83"/>
      <c r="F286" s="83"/>
      <c r="G286" s="83"/>
      <c r="H286" s="284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>
      <c r="A287" s="83"/>
      <c r="B287" s="283"/>
      <c r="C287" s="83"/>
      <c r="D287" s="83"/>
      <c r="E287" s="83"/>
      <c r="F287" s="83"/>
      <c r="G287" s="83"/>
      <c r="H287" s="284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>
      <c r="A288" s="83"/>
      <c r="B288" s="283"/>
      <c r="C288" s="83"/>
      <c r="D288" s="83"/>
      <c r="E288" s="83"/>
      <c r="F288" s="83"/>
      <c r="G288" s="83"/>
      <c r="H288" s="284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>
      <c r="A289" s="83"/>
      <c r="B289" s="283"/>
      <c r="C289" s="83"/>
      <c r="D289" s="83"/>
      <c r="E289" s="83"/>
      <c r="F289" s="83"/>
      <c r="G289" s="83"/>
      <c r="H289" s="284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>
      <c r="A290" s="83"/>
      <c r="B290" s="283"/>
      <c r="C290" s="83"/>
      <c r="D290" s="83"/>
      <c r="E290" s="83"/>
      <c r="F290" s="83"/>
      <c r="G290" s="83"/>
      <c r="H290" s="284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>
      <c r="A291" s="83"/>
      <c r="B291" s="283"/>
      <c r="C291" s="83"/>
      <c r="D291" s="83"/>
      <c r="E291" s="83"/>
      <c r="F291" s="83"/>
      <c r="G291" s="83"/>
      <c r="H291" s="284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>
      <c r="A292" s="83"/>
      <c r="B292" s="283"/>
      <c r="C292" s="83"/>
      <c r="D292" s="83"/>
      <c r="E292" s="83"/>
      <c r="F292" s="83"/>
      <c r="G292" s="83"/>
      <c r="H292" s="284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>
      <c r="A293" s="83"/>
      <c r="B293" s="283"/>
      <c r="C293" s="83"/>
      <c r="D293" s="83"/>
      <c r="E293" s="83"/>
      <c r="F293" s="83"/>
      <c r="G293" s="83"/>
      <c r="H293" s="284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>
      <c r="A294" s="83"/>
      <c r="B294" s="283"/>
      <c r="C294" s="83"/>
      <c r="D294" s="83"/>
      <c r="E294" s="83"/>
      <c r="F294" s="83"/>
      <c r="G294" s="83"/>
      <c r="H294" s="284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>
      <c r="A295" s="83"/>
      <c r="B295" s="283"/>
      <c r="C295" s="83"/>
      <c r="D295" s="83"/>
      <c r="E295" s="83"/>
      <c r="F295" s="83"/>
      <c r="G295" s="83"/>
      <c r="H295" s="284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>
      <c r="A296" s="83"/>
      <c r="B296" s="283"/>
      <c r="C296" s="83"/>
      <c r="D296" s="83"/>
      <c r="E296" s="83"/>
      <c r="F296" s="83"/>
      <c r="G296" s="83"/>
      <c r="H296" s="284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>
      <c r="A297" s="83"/>
      <c r="B297" s="283"/>
      <c r="C297" s="83"/>
      <c r="D297" s="83"/>
      <c r="E297" s="83"/>
      <c r="F297" s="83"/>
      <c r="G297" s="83"/>
      <c r="H297" s="284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>
      <c r="A298" s="83"/>
      <c r="B298" s="283"/>
      <c r="C298" s="83"/>
      <c r="D298" s="83"/>
      <c r="E298" s="83"/>
      <c r="F298" s="83"/>
      <c r="G298" s="83"/>
      <c r="H298" s="284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>
      <c r="A299" s="83"/>
      <c r="B299" s="283"/>
      <c r="C299" s="83"/>
      <c r="D299" s="83"/>
      <c r="E299" s="83"/>
      <c r="F299" s="83"/>
      <c r="G299" s="83"/>
      <c r="H299" s="284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>
      <c r="A300" s="83"/>
      <c r="B300" s="283"/>
      <c r="C300" s="83"/>
      <c r="D300" s="83"/>
      <c r="E300" s="83"/>
      <c r="F300" s="83"/>
      <c r="G300" s="83"/>
      <c r="H300" s="284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>
      <c r="A301" s="83"/>
      <c r="B301" s="283"/>
      <c r="C301" s="83"/>
      <c r="D301" s="83"/>
      <c r="E301" s="83"/>
      <c r="F301" s="83"/>
      <c r="G301" s="83"/>
      <c r="H301" s="284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>
      <c r="A302" s="83"/>
      <c r="B302" s="283"/>
      <c r="C302" s="83"/>
      <c r="D302" s="83"/>
      <c r="E302" s="83"/>
      <c r="F302" s="83"/>
      <c r="G302" s="83"/>
      <c r="H302" s="284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>
      <c r="A303" s="83"/>
      <c r="B303" s="283"/>
      <c r="C303" s="83"/>
      <c r="D303" s="83"/>
      <c r="E303" s="83"/>
      <c r="F303" s="83"/>
      <c r="G303" s="83"/>
      <c r="H303" s="284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>
      <c r="A304" s="83"/>
      <c r="B304" s="283"/>
      <c r="C304" s="83"/>
      <c r="D304" s="83"/>
      <c r="E304" s="83"/>
      <c r="F304" s="83"/>
      <c r="G304" s="83"/>
      <c r="H304" s="284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>
      <c r="A305" s="83"/>
      <c r="B305" s="283"/>
      <c r="C305" s="83"/>
      <c r="D305" s="83"/>
      <c r="E305" s="83"/>
      <c r="F305" s="83"/>
      <c r="G305" s="83"/>
      <c r="H305" s="284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>
      <c r="A306" s="83"/>
      <c r="B306" s="283"/>
      <c r="C306" s="83"/>
      <c r="D306" s="83"/>
      <c r="E306" s="83"/>
      <c r="F306" s="83"/>
      <c r="G306" s="83"/>
      <c r="H306" s="284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>
      <c r="A307" s="83"/>
      <c r="B307" s="283"/>
      <c r="C307" s="83"/>
      <c r="D307" s="83"/>
      <c r="E307" s="83"/>
      <c r="F307" s="83"/>
      <c r="G307" s="83"/>
      <c r="H307" s="284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>
      <c r="A308" s="83"/>
      <c r="B308" s="283"/>
      <c r="C308" s="83"/>
      <c r="D308" s="83"/>
      <c r="E308" s="83"/>
      <c r="F308" s="83"/>
      <c r="G308" s="83"/>
      <c r="H308" s="284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>
      <c r="A309" s="83"/>
      <c r="B309" s="283"/>
      <c r="C309" s="83"/>
      <c r="D309" s="83"/>
      <c r="E309" s="83"/>
      <c r="F309" s="83"/>
      <c r="G309" s="83"/>
      <c r="H309" s="284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>
      <c r="A310" s="83"/>
      <c r="B310" s="283"/>
      <c r="C310" s="83"/>
      <c r="D310" s="83"/>
      <c r="E310" s="83"/>
      <c r="F310" s="83"/>
      <c r="G310" s="83"/>
      <c r="H310" s="284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>
      <c r="A311" s="83"/>
      <c r="B311" s="283"/>
      <c r="C311" s="83"/>
      <c r="D311" s="83"/>
      <c r="E311" s="83"/>
      <c r="F311" s="83"/>
      <c r="G311" s="83"/>
      <c r="H311" s="284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>
      <c r="A312" s="83"/>
      <c r="B312" s="283"/>
      <c r="C312" s="83"/>
      <c r="D312" s="83"/>
      <c r="E312" s="83"/>
      <c r="F312" s="83"/>
      <c r="G312" s="83"/>
      <c r="H312" s="284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>
      <c r="A313" s="83"/>
      <c r="B313" s="283"/>
      <c r="C313" s="83"/>
      <c r="D313" s="83"/>
      <c r="E313" s="83"/>
      <c r="F313" s="83"/>
      <c r="G313" s="83"/>
      <c r="H313" s="284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>
      <c r="A314" s="83"/>
      <c r="B314" s="283"/>
      <c r="C314" s="83"/>
      <c r="D314" s="83"/>
      <c r="E314" s="83"/>
      <c r="F314" s="83"/>
      <c r="G314" s="83"/>
      <c r="H314" s="284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>
      <c r="A315" s="83"/>
      <c r="B315" s="283"/>
      <c r="C315" s="83"/>
      <c r="D315" s="83"/>
      <c r="E315" s="83"/>
      <c r="F315" s="83"/>
      <c r="G315" s="83"/>
      <c r="H315" s="284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>
      <c r="A316" s="83"/>
      <c r="B316" s="283"/>
      <c r="C316" s="83"/>
      <c r="D316" s="83"/>
      <c r="E316" s="83"/>
      <c r="F316" s="83"/>
      <c r="G316" s="83"/>
      <c r="H316" s="284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>
      <c r="A317" s="83"/>
      <c r="B317" s="283"/>
      <c r="C317" s="83"/>
      <c r="D317" s="83"/>
      <c r="E317" s="83"/>
      <c r="F317" s="83"/>
      <c r="G317" s="83"/>
      <c r="H317" s="284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>
      <c r="A318" s="83"/>
      <c r="B318" s="283"/>
      <c r="C318" s="83"/>
      <c r="D318" s="83"/>
      <c r="E318" s="83"/>
      <c r="F318" s="83"/>
      <c r="G318" s="83"/>
      <c r="H318" s="284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>
      <c r="A319" s="83"/>
      <c r="B319" s="283"/>
      <c r="C319" s="83"/>
      <c r="D319" s="83"/>
      <c r="E319" s="83"/>
      <c r="F319" s="83"/>
      <c r="G319" s="83"/>
      <c r="H319" s="284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>
      <c r="A320" s="83"/>
      <c r="B320" s="283"/>
      <c r="C320" s="83"/>
      <c r="D320" s="83"/>
      <c r="E320" s="83"/>
      <c r="F320" s="83"/>
      <c r="G320" s="83"/>
      <c r="H320" s="284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>
      <c r="A321" s="83"/>
      <c r="B321" s="283"/>
      <c r="C321" s="83"/>
      <c r="D321" s="83"/>
      <c r="E321" s="83"/>
      <c r="F321" s="83"/>
      <c r="G321" s="83"/>
      <c r="H321" s="284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>
      <c r="A322" s="83"/>
      <c r="B322" s="283"/>
      <c r="C322" s="83"/>
      <c r="D322" s="83"/>
      <c r="E322" s="83"/>
      <c r="F322" s="83"/>
      <c r="G322" s="83"/>
      <c r="H322" s="284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>
      <c r="A323" s="83"/>
      <c r="B323" s="283"/>
      <c r="C323" s="83"/>
      <c r="D323" s="83"/>
      <c r="E323" s="83"/>
      <c r="F323" s="83"/>
      <c r="G323" s="83"/>
      <c r="H323" s="284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>
      <c r="A324" s="83"/>
      <c r="B324" s="283"/>
      <c r="C324" s="83"/>
      <c r="D324" s="83"/>
      <c r="E324" s="83"/>
      <c r="F324" s="83"/>
      <c r="G324" s="83"/>
      <c r="H324" s="284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>
      <c r="A325" s="83"/>
      <c r="B325" s="283"/>
      <c r="C325" s="83"/>
      <c r="D325" s="83"/>
      <c r="E325" s="83"/>
      <c r="F325" s="83"/>
      <c r="G325" s="83"/>
      <c r="H325" s="284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>
      <c r="A326" s="83"/>
      <c r="B326" s="283"/>
      <c r="C326" s="83"/>
      <c r="D326" s="83"/>
      <c r="E326" s="83"/>
      <c r="F326" s="83"/>
      <c r="G326" s="83"/>
      <c r="H326" s="284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>
      <c r="A327" s="83"/>
      <c r="B327" s="283"/>
      <c r="C327" s="83"/>
      <c r="D327" s="83"/>
      <c r="E327" s="83"/>
      <c r="F327" s="83"/>
      <c r="G327" s="83"/>
      <c r="H327" s="284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>
      <c r="A328" s="83"/>
      <c r="B328" s="283"/>
      <c r="C328" s="83"/>
      <c r="D328" s="83"/>
      <c r="E328" s="83"/>
      <c r="F328" s="83"/>
      <c r="G328" s="83"/>
      <c r="H328" s="284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>
      <c r="A329" s="83"/>
      <c r="B329" s="283"/>
      <c r="C329" s="83"/>
      <c r="D329" s="83"/>
      <c r="E329" s="83"/>
      <c r="F329" s="83"/>
      <c r="G329" s="83"/>
      <c r="H329" s="284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>
      <c r="A330" s="83"/>
      <c r="B330" s="283"/>
      <c r="C330" s="83"/>
      <c r="D330" s="83"/>
      <c r="E330" s="83"/>
      <c r="F330" s="83"/>
      <c r="G330" s="83"/>
      <c r="H330" s="284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>
      <c r="A331" s="83"/>
      <c r="B331" s="283"/>
      <c r="C331" s="83"/>
      <c r="D331" s="83"/>
      <c r="E331" s="83"/>
      <c r="F331" s="83"/>
      <c r="G331" s="83"/>
      <c r="H331" s="284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>
      <c r="A332" s="83"/>
      <c r="B332" s="283"/>
      <c r="C332" s="83"/>
      <c r="D332" s="83"/>
      <c r="E332" s="83"/>
      <c r="F332" s="83"/>
      <c r="G332" s="83"/>
      <c r="H332" s="284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>
      <c r="A333" s="83"/>
      <c r="B333" s="283"/>
      <c r="C333" s="83"/>
      <c r="D333" s="83"/>
      <c r="E333" s="83"/>
      <c r="F333" s="83"/>
      <c r="G333" s="83"/>
      <c r="H333" s="284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>
      <c r="A334" s="83"/>
      <c r="B334" s="283"/>
      <c r="C334" s="83"/>
      <c r="D334" s="83"/>
      <c r="E334" s="83"/>
      <c r="F334" s="83"/>
      <c r="G334" s="83"/>
      <c r="H334" s="284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>
      <c r="A335" s="83"/>
      <c r="B335" s="283"/>
      <c r="C335" s="83"/>
      <c r="D335" s="83"/>
      <c r="E335" s="83"/>
      <c r="F335" s="83"/>
      <c r="G335" s="83"/>
      <c r="H335" s="284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>
      <c r="A336" s="83"/>
      <c r="B336" s="283"/>
      <c r="C336" s="83"/>
      <c r="D336" s="83"/>
      <c r="E336" s="83"/>
      <c r="F336" s="83"/>
      <c r="G336" s="83"/>
      <c r="H336" s="284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>
      <c r="A337" s="83"/>
      <c r="B337" s="283"/>
      <c r="C337" s="83"/>
      <c r="D337" s="83"/>
      <c r="E337" s="83"/>
      <c r="F337" s="83"/>
      <c r="G337" s="83"/>
      <c r="H337" s="284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>
      <c r="A338" s="83"/>
      <c r="B338" s="283"/>
      <c r="C338" s="83"/>
      <c r="D338" s="83"/>
      <c r="E338" s="83"/>
      <c r="F338" s="83"/>
      <c r="G338" s="83"/>
      <c r="H338" s="284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>
      <c r="A339" s="83"/>
      <c r="B339" s="283"/>
      <c r="C339" s="83"/>
      <c r="D339" s="83"/>
      <c r="E339" s="83"/>
      <c r="F339" s="83"/>
      <c r="G339" s="83"/>
      <c r="H339" s="284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>
      <c r="A340" s="83"/>
      <c r="B340" s="283"/>
      <c r="C340" s="83"/>
      <c r="D340" s="83"/>
      <c r="E340" s="83"/>
      <c r="F340" s="83"/>
      <c r="G340" s="83"/>
      <c r="H340" s="284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>
      <c r="A341" s="83"/>
      <c r="B341" s="283"/>
      <c r="C341" s="83"/>
      <c r="D341" s="83"/>
      <c r="E341" s="83"/>
      <c r="F341" s="83"/>
      <c r="G341" s="83"/>
      <c r="H341" s="284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>
      <c r="A342" s="83"/>
      <c r="B342" s="283"/>
      <c r="C342" s="83"/>
      <c r="D342" s="83"/>
      <c r="E342" s="83"/>
      <c r="F342" s="83"/>
      <c r="G342" s="83"/>
      <c r="H342" s="284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>
      <c r="A343" s="83"/>
      <c r="B343" s="283"/>
      <c r="C343" s="83"/>
      <c r="D343" s="83"/>
      <c r="E343" s="83"/>
      <c r="F343" s="83"/>
      <c r="G343" s="83"/>
      <c r="H343" s="284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>
      <c r="A344" s="83"/>
      <c r="B344" s="283"/>
      <c r="C344" s="83"/>
      <c r="D344" s="83"/>
      <c r="E344" s="83"/>
      <c r="F344" s="83"/>
      <c r="G344" s="83"/>
      <c r="H344" s="284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>
      <c r="A345" s="83"/>
      <c r="B345" s="283"/>
      <c r="C345" s="83"/>
      <c r="D345" s="83"/>
      <c r="E345" s="83"/>
      <c r="F345" s="83"/>
      <c r="G345" s="83"/>
      <c r="H345" s="284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>
      <c r="A346" s="83"/>
      <c r="B346" s="283"/>
      <c r="C346" s="83"/>
      <c r="D346" s="83"/>
      <c r="E346" s="83"/>
      <c r="F346" s="83"/>
      <c r="G346" s="83"/>
      <c r="H346" s="284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>
      <c r="A347" s="83"/>
      <c r="B347" s="283"/>
      <c r="C347" s="83"/>
      <c r="D347" s="83"/>
      <c r="E347" s="83"/>
      <c r="F347" s="83"/>
      <c r="G347" s="83"/>
      <c r="H347" s="284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>
      <c r="A348" s="83"/>
      <c r="B348" s="283"/>
      <c r="C348" s="83"/>
      <c r="D348" s="83"/>
      <c r="E348" s="83"/>
      <c r="F348" s="83"/>
      <c r="G348" s="83"/>
      <c r="H348" s="284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>
      <c r="A349" s="83"/>
      <c r="B349" s="283"/>
      <c r="C349" s="83"/>
      <c r="D349" s="83"/>
      <c r="E349" s="83"/>
      <c r="F349" s="83"/>
      <c r="G349" s="83"/>
      <c r="H349" s="284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>
      <c r="A350" s="83"/>
      <c r="B350" s="283"/>
      <c r="C350" s="83"/>
      <c r="D350" s="83"/>
      <c r="E350" s="83"/>
      <c r="F350" s="83"/>
      <c r="G350" s="83"/>
      <c r="H350" s="284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>
      <c r="A351" s="83"/>
      <c r="B351" s="283"/>
      <c r="C351" s="83"/>
      <c r="D351" s="83"/>
      <c r="E351" s="83"/>
      <c r="F351" s="83"/>
      <c r="G351" s="83"/>
      <c r="H351" s="284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>
      <c r="A352" s="83"/>
      <c r="B352" s="283"/>
      <c r="C352" s="83"/>
      <c r="D352" s="83"/>
      <c r="E352" s="83"/>
      <c r="F352" s="83"/>
      <c r="G352" s="83"/>
      <c r="H352" s="284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>
      <c r="A353" s="83"/>
      <c r="B353" s="283"/>
      <c r="C353" s="83"/>
      <c r="D353" s="83"/>
      <c r="E353" s="83"/>
      <c r="F353" s="83"/>
      <c r="G353" s="83"/>
      <c r="H353" s="284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>
      <c r="A354" s="83"/>
      <c r="B354" s="283"/>
      <c r="C354" s="83"/>
      <c r="D354" s="83"/>
      <c r="E354" s="83"/>
      <c r="F354" s="83"/>
      <c r="G354" s="83"/>
      <c r="H354" s="284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>
      <c r="A355" s="83"/>
      <c r="B355" s="283"/>
      <c r="C355" s="83"/>
      <c r="D355" s="83"/>
      <c r="E355" s="83"/>
      <c r="F355" s="83"/>
      <c r="G355" s="83"/>
      <c r="H355" s="284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>
      <c r="A356" s="83"/>
      <c r="B356" s="283"/>
      <c r="C356" s="83"/>
      <c r="D356" s="83"/>
      <c r="E356" s="83"/>
      <c r="F356" s="83"/>
      <c r="G356" s="83"/>
      <c r="H356" s="284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>
      <c r="A357" s="83"/>
      <c r="B357" s="283"/>
      <c r="C357" s="83"/>
      <c r="D357" s="83"/>
      <c r="E357" s="83"/>
      <c r="F357" s="83"/>
      <c r="G357" s="83"/>
      <c r="H357" s="284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>
      <c r="A358" s="83"/>
      <c r="B358" s="283"/>
      <c r="C358" s="83"/>
      <c r="D358" s="83"/>
      <c r="E358" s="83"/>
      <c r="F358" s="83"/>
      <c r="G358" s="83"/>
      <c r="H358" s="284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>
      <c r="A359" s="83"/>
      <c r="B359" s="283"/>
      <c r="C359" s="83"/>
      <c r="D359" s="83"/>
      <c r="E359" s="83"/>
      <c r="F359" s="83"/>
      <c r="G359" s="83"/>
      <c r="H359" s="284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>
      <c r="A360" s="83"/>
      <c r="B360" s="283"/>
      <c r="C360" s="83"/>
      <c r="D360" s="83"/>
      <c r="E360" s="83"/>
      <c r="F360" s="83"/>
      <c r="G360" s="83"/>
      <c r="H360" s="284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>
      <c r="A361" s="83"/>
      <c r="B361" s="283"/>
      <c r="C361" s="83"/>
      <c r="D361" s="83"/>
      <c r="E361" s="83"/>
      <c r="F361" s="83"/>
      <c r="G361" s="83"/>
      <c r="H361" s="284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>
      <c r="A362" s="83"/>
      <c r="B362" s="283"/>
      <c r="C362" s="83"/>
      <c r="D362" s="83"/>
      <c r="E362" s="83"/>
      <c r="F362" s="83"/>
      <c r="G362" s="83"/>
      <c r="H362" s="284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>
      <c r="A363" s="83"/>
      <c r="B363" s="283"/>
      <c r="C363" s="83"/>
      <c r="D363" s="83"/>
      <c r="E363" s="83"/>
      <c r="F363" s="83"/>
      <c r="G363" s="83"/>
      <c r="H363" s="284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>
      <c r="A364" s="83"/>
      <c r="B364" s="283"/>
      <c r="C364" s="83"/>
      <c r="D364" s="83"/>
      <c r="E364" s="83"/>
      <c r="F364" s="83"/>
      <c r="G364" s="83"/>
      <c r="H364" s="284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>
      <c r="A365" s="83"/>
      <c r="B365" s="283"/>
      <c r="C365" s="83"/>
      <c r="D365" s="83"/>
      <c r="E365" s="83"/>
      <c r="F365" s="83"/>
      <c r="G365" s="83"/>
      <c r="H365" s="284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>
      <c r="A366" s="83"/>
      <c r="B366" s="283"/>
      <c r="C366" s="83"/>
      <c r="D366" s="83"/>
      <c r="E366" s="83"/>
      <c r="F366" s="83"/>
      <c r="G366" s="83"/>
      <c r="H366" s="284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>
      <c r="A367" s="83"/>
      <c r="B367" s="283"/>
      <c r="C367" s="83"/>
      <c r="D367" s="83"/>
      <c r="E367" s="83"/>
      <c r="F367" s="83"/>
      <c r="G367" s="83"/>
      <c r="H367" s="284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>
      <c r="A368" s="83"/>
      <c r="B368" s="283"/>
      <c r="C368" s="83"/>
      <c r="D368" s="83"/>
      <c r="E368" s="83"/>
      <c r="F368" s="83"/>
      <c r="G368" s="83"/>
      <c r="H368" s="284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>
      <c r="A369" s="83"/>
      <c r="B369" s="283"/>
      <c r="C369" s="83"/>
      <c r="D369" s="83"/>
      <c r="E369" s="83"/>
      <c r="F369" s="83"/>
      <c r="G369" s="83"/>
      <c r="H369" s="284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>
      <c r="A370" s="83"/>
      <c r="B370" s="283"/>
      <c r="C370" s="83"/>
      <c r="D370" s="83"/>
      <c r="E370" s="83"/>
      <c r="F370" s="83"/>
      <c r="G370" s="83"/>
      <c r="H370" s="284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>
      <c r="A371" s="83"/>
      <c r="B371" s="283"/>
      <c r="C371" s="83"/>
      <c r="D371" s="83"/>
      <c r="E371" s="83"/>
      <c r="F371" s="83"/>
      <c r="G371" s="83"/>
      <c r="H371" s="284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>
      <c r="A372" s="83"/>
      <c r="B372" s="283"/>
      <c r="C372" s="83"/>
      <c r="D372" s="83"/>
      <c r="E372" s="83"/>
      <c r="F372" s="83"/>
      <c r="G372" s="83"/>
      <c r="H372" s="284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>
      <c r="A373" s="83"/>
      <c r="B373" s="283"/>
      <c r="C373" s="83"/>
      <c r="D373" s="83"/>
      <c r="E373" s="83"/>
      <c r="F373" s="83"/>
      <c r="G373" s="83"/>
      <c r="H373" s="284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>
      <c r="A374" s="83"/>
      <c r="B374" s="283"/>
      <c r="C374" s="83"/>
      <c r="D374" s="83"/>
      <c r="E374" s="83"/>
      <c r="F374" s="83"/>
      <c r="G374" s="83"/>
      <c r="H374" s="284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>
      <c r="A375" s="83"/>
      <c r="B375" s="283"/>
      <c r="C375" s="83"/>
      <c r="D375" s="83"/>
      <c r="E375" s="83"/>
      <c r="F375" s="83"/>
      <c r="G375" s="83"/>
      <c r="H375" s="284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>
      <c r="A376" s="83"/>
      <c r="B376" s="283"/>
      <c r="C376" s="83"/>
      <c r="D376" s="83"/>
      <c r="E376" s="83"/>
      <c r="F376" s="83"/>
      <c r="G376" s="83"/>
      <c r="H376" s="284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>
      <c r="A377" s="83"/>
      <c r="B377" s="283"/>
      <c r="C377" s="83"/>
      <c r="D377" s="83"/>
      <c r="E377" s="83"/>
      <c r="F377" s="83"/>
      <c r="G377" s="83"/>
      <c r="H377" s="284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>
      <c r="A378" s="83"/>
      <c r="B378" s="283"/>
      <c r="C378" s="83"/>
      <c r="D378" s="83"/>
      <c r="E378" s="83"/>
      <c r="F378" s="83"/>
      <c r="G378" s="83"/>
      <c r="H378" s="284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>
      <c r="A379" s="83"/>
      <c r="B379" s="283"/>
      <c r="C379" s="83"/>
      <c r="D379" s="83"/>
      <c r="E379" s="83"/>
      <c r="F379" s="83"/>
      <c r="G379" s="83"/>
      <c r="H379" s="284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>
      <c r="A380" s="83"/>
      <c r="B380" s="283"/>
      <c r="C380" s="83"/>
      <c r="D380" s="83"/>
      <c r="E380" s="83"/>
      <c r="F380" s="83"/>
      <c r="G380" s="83"/>
      <c r="H380" s="284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>
      <c r="A381" s="83"/>
      <c r="B381" s="283"/>
      <c r="C381" s="83"/>
      <c r="D381" s="83"/>
      <c r="E381" s="83"/>
      <c r="F381" s="83"/>
      <c r="G381" s="83"/>
      <c r="H381" s="284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>
      <c r="A382" s="83"/>
      <c r="B382" s="283"/>
      <c r="C382" s="83"/>
      <c r="D382" s="83"/>
      <c r="E382" s="83"/>
      <c r="F382" s="83"/>
      <c r="G382" s="83"/>
      <c r="H382" s="284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>
      <c r="A383" s="83"/>
      <c r="B383" s="283"/>
      <c r="C383" s="83"/>
      <c r="D383" s="83"/>
      <c r="E383" s="83"/>
      <c r="F383" s="83"/>
      <c r="G383" s="83"/>
      <c r="H383" s="284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>
      <c r="A384" s="83"/>
      <c r="B384" s="283"/>
      <c r="C384" s="83"/>
      <c r="D384" s="83"/>
      <c r="E384" s="83"/>
      <c r="F384" s="83"/>
      <c r="G384" s="83"/>
      <c r="H384" s="284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>
      <c r="A385" s="83"/>
      <c r="B385" s="283"/>
      <c r="C385" s="83"/>
      <c r="D385" s="83"/>
      <c r="E385" s="83"/>
      <c r="F385" s="83"/>
      <c r="G385" s="83"/>
      <c r="H385" s="284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>
      <c r="A386" s="83"/>
      <c r="B386" s="283"/>
      <c r="C386" s="83"/>
      <c r="D386" s="83"/>
      <c r="E386" s="83"/>
      <c r="F386" s="83"/>
      <c r="G386" s="83"/>
      <c r="H386" s="284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>
      <c r="A387" s="83"/>
      <c r="B387" s="283"/>
      <c r="C387" s="83"/>
      <c r="D387" s="83"/>
      <c r="E387" s="83"/>
      <c r="F387" s="83"/>
      <c r="G387" s="83"/>
      <c r="H387" s="284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>
      <c r="A388" s="83"/>
      <c r="B388" s="283"/>
      <c r="C388" s="83"/>
      <c r="D388" s="83"/>
      <c r="E388" s="83"/>
      <c r="F388" s="83"/>
      <c r="G388" s="83"/>
      <c r="H388" s="284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>
      <c r="A389" s="83"/>
      <c r="B389" s="283"/>
      <c r="C389" s="83"/>
      <c r="D389" s="83"/>
      <c r="E389" s="83"/>
      <c r="F389" s="83"/>
      <c r="G389" s="83"/>
      <c r="H389" s="284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>
      <c r="A390" s="83"/>
      <c r="B390" s="283"/>
      <c r="C390" s="83"/>
      <c r="D390" s="83"/>
      <c r="E390" s="83"/>
      <c r="F390" s="83"/>
      <c r="G390" s="83"/>
      <c r="H390" s="284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>
      <c r="A391" s="83"/>
      <c r="B391" s="283"/>
      <c r="C391" s="83"/>
      <c r="D391" s="83"/>
      <c r="E391" s="83"/>
      <c r="F391" s="83"/>
      <c r="G391" s="83"/>
      <c r="H391" s="284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>
      <c r="A392" s="83"/>
      <c r="B392" s="283"/>
      <c r="C392" s="83"/>
      <c r="D392" s="83"/>
      <c r="E392" s="83"/>
      <c r="F392" s="83"/>
      <c r="G392" s="83"/>
      <c r="H392" s="284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>
      <c r="A393" s="83"/>
      <c r="B393" s="283"/>
      <c r="C393" s="83"/>
      <c r="D393" s="83"/>
      <c r="E393" s="83"/>
      <c r="F393" s="83"/>
      <c r="G393" s="83"/>
      <c r="H393" s="284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>
      <c r="A394" s="83"/>
      <c r="B394" s="283"/>
      <c r="C394" s="83"/>
      <c r="D394" s="83"/>
      <c r="E394" s="83"/>
      <c r="F394" s="83"/>
      <c r="G394" s="83"/>
      <c r="H394" s="284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>
      <c r="A395" s="83"/>
      <c r="B395" s="283"/>
      <c r="C395" s="83"/>
      <c r="D395" s="83"/>
      <c r="E395" s="83"/>
      <c r="F395" s="83"/>
      <c r="G395" s="83"/>
      <c r="H395" s="284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>
      <c r="A396" s="83"/>
      <c r="B396" s="283"/>
      <c r="C396" s="83"/>
      <c r="D396" s="83"/>
      <c r="E396" s="83"/>
      <c r="F396" s="83"/>
      <c r="G396" s="83"/>
      <c r="H396" s="284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>
      <c r="A397" s="83"/>
      <c r="B397" s="283"/>
      <c r="C397" s="83"/>
      <c r="D397" s="83"/>
      <c r="E397" s="83"/>
      <c r="F397" s="83"/>
      <c r="G397" s="83"/>
      <c r="H397" s="284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>
      <c r="A398" s="83"/>
      <c r="B398" s="283"/>
      <c r="C398" s="83"/>
      <c r="D398" s="83"/>
      <c r="E398" s="83"/>
      <c r="F398" s="83"/>
      <c r="G398" s="83"/>
      <c r="H398" s="284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>
      <c r="A399" s="83"/>
      <c r="B399" s="283"/>
      <c r="C399" s="83"/>
      <c r="D399" s="83"/>
      <c r="E399" s="83"/>
      <c r="F399" s="83"/>
      <c r="G399" s="83"/>
      <c r="H399" s="284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>
      <c r="A400" s="83"/>
      <c r="B400" s="283"/>
      <c r="C400" s="83"/>
      <c r="D400" s="83"/>
      <c r="E400" s="83"/>
      <c r="F400" s="83"/>
      <c r="G400" s="83"/>
      <c r="H400" s="284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>
      <c r="A401" s="83"/>
      <c r="B401" s="283"/>
      <c r="C401" s="83"/>
      <c r="D401" s="83"/>
      <c r="E401" s="83"/>
      <c r="F401" s="83"/>
      <c r="G401" s="83"/>
      <c r="H401" s="284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>
      <c r="A402" s="83"/>
      <c r="B402" s="283"/>
      <c r="C402" s="83"/>
      <c r="D402" s="83"/>
      <c r="E402" s="83"/>
      <c r="F402" s="83"/>
      <c r="G402" s="83"/>
      <c r="H402" s="284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>
      <c r="A403" s="83"/>
      <c r="B403" s="283"/>
      <c r="C403" s="83"/>
      <c r="D403" s="83"/>
      <c r="E403" s="83"/>
      <c r="F403" s="83"/>
      <c r="G403" s="83"/>
      <c r="H403" s="284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>
      <c r="A404" s="83"/>
      <c r="B404" s="283"/>
      <c r="C404" s="83"/>
      <c r="D404" s="83"/>
      <c r="E404" s="83"/>
      <c r="F404" s="83"/>
      <c r="G404" s="83"/>
      <c r="H404" s="284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>
      <c r="A405" s="83"/>
      <c r="B405" s="283"/>
      <c r="C405" s="83"/>
      <c r="D405" s="83"/>
      <c r="E405" s="83"/>
      <c r="F405" s="83"/>
      <c r="G405" s="83"/>
      <c r="H405" s="284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>
      <c r="A406" s="83"/>
      <c r="B406" s="283"/>
      <c r="C406" s="83"/>
      <c r="D406" s="83"/>
      <c r="E406" s="83"/>
      <c r="F406" s="83"/>
      <c r="G406" s="83"/>
      <c r="H406" s="284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>
      <c r="A407" s="83"/>
      <c r="B407" s="283"/>
      <c r="C407" s="83"/>
      <c r="D407" s="83"/>
      <c r="E407" s="83"/>
      <c r="F407" s="83"/>
      <c r="G407" s="83"/>
      <c r="H407" s="284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>
      <c r="A408" s="83"/>
      <c r="B408" s="283"/>
      <c r="C408" s="83"/>
      <c r="D408" s="83"/>
      <c r="E408" s="83"/>
      <c r="F408" s="83"/>
      <c r="G408" s="83"/>
      <c r="H408" s="284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>
      <c r="A409" s="83"/>
      <c r="B409" s="283"/>
      <c r="C409" s="83"/>
      <c r="D409" s="83"/>
      <c r="E409" s="83"/>
      <c r="F409" s="83"/>
      <c r="G409" s="83"/>
      <c r="H409" s="284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>
      <c r="A410" s="83"/>
      <c r="B410" s="283"/>
      <c r="C410" s="83"/>
      <c r="D410" s="83"/>
      <c r="E410" s="83"/>
      <c r="F410" s="83"/>
      <c r="G410" s="83"/>
      <c r="H410" s="284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>
      <c r="A411" s="83"/>
      <c r="B411" s="283"/>
      <c r="C411" s="83"/>
      <c r="D411" s="83"/>
      <c r="E411" s="83"/>
      <c r="F411" s="83"/>
      <c r="G411" s="83"/>
      <c r="H411" s="284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>
      <c r="A412" s="83"/>
      <c r="B412" s="283"/>
      <c r="C412" s="83"/>
      <c r="D412" s="83"/>
      <c r="E412" s="83"/>
      <c r="F412" s="83"/>
      <c r="G412" s="83"/>
      <c r="H412" s="284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>
      <c r="A413" s="83"/>
      <c r="B413" s="283"/>
      <c r="C413" s="83"/>
      <c r="D413" s="83"/>
      <c r="E413" s="83"/>
      <c r="F413" s="83"/>
      <c r="G413" s="83"/>
      <c r="H413" s="284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>
      <c r="A414" s="83"/>
      <c r="B414" s="283"/>
      <c r="C414" s="83"/>
      <c r="D414" s="83"/>
      <c r="E414" s="83"/>
      <c r="F414" s="83"/>
      <c r="G414" s="83"/>
      <c r="H414" s="284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>
      <c r="A415" s="83"/>
      <c r="B415" s="283"/>
      <c r="C415" s="83"/>
      <c r="D415" s="83"/>
      <c r="E415" s="83"/>
      <c r="F415" s="83"/>
      <c r="G415" s="83"/>
      <c r="H415" s="284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>
      <c r="A416" s="83"/>
      <c r="B416" s="283"/>
      <c r="C416" s="83"/>
      <c r="D416" s="83"/>
      <c r="E416" s="83"/>
      <c r="F416" s="83"/>
      <c r="G416" s="83"/>
      <c r="H416" s="284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>
      <c r="A417" s="83"/>
      <c r="B417" s="283"/>
      <c r="C417" s="83"/>
      <c r="D417" s="83"/>
      <c r="E417" s="83"/>
      <c r="F417" s="83"/>
      <c r="G417" s="83"/>
      <c r="H417" s="284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>
      <c r="A418" s="83"/>
      <c r="B418" s="283"/>
      <c r="C418" s="83"/>
      <c r="D418" s="83"/>
      <c r="E418" s="83"/>
      <c r="F418" s="83"/>
      <c r="G418" s="83"/>
      <c r="H418" s="284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>
      <c r="A419" s="83"/>
      <c r="B419" s="283"/>
      <c r="C419" s="83"/>
      <c r="D419" s="83"/>
      <c r="E419" s="83"/>
      <c r="F419" s="83"/>
      <c r="G419" s="83"/>
      <c r="H419" s="284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>
      <c r="A420" s="83"/>
      <c r="B420" s="283"/>
      <c r="C420" s="83"/>
      <c r="D420" s="83"/>
      <c r="E420" s="83"/>
      <c r="F420" s="83"/>
      <c r="G420" s="83"/>
      <c r="H420" s="284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>
      <c r="A421" s="83"/>
      <c r="B421" s="283"/>
      <c r="C421" s="83"/>
      <c r="D421" s="83"/>
      <c r="E421" s="83"/>
      <c r="F421" s="83"/>
      <c r="G421" s="83"/>
      <c r="H421" s="284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>
      <c r="A422" s="83"/>
      <c r="B422" s="283"/>
      <c r="C422" s="83"/>
      <c r="D422" s="83"/>
      <c r="E422" s="83"/>
      <c r="F422" s="83"/>
      <c r="G422" s="83"/>
      <c r="H422" s="284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>
      <c r="A423" s="83"/>
      <c r="B423" s="283"/>
      <c r="C423" s="83"/>
      <c r="D423" s="83"/>
      <c r="E423" s="83"/>
      <c r="F423" s="83"/>
      <c r="G423" s="83"/>
      <c r="H423" s="284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>
      <c r="A424" s="83"/>
      <c r="B424" s="283"/>
      <c r="C424" s="83"/>
      <c r="D424" s="83"/>
      <c r="E424" s="83"/>
      <c r="F424" s="83"/>
      <c r="G424" s="83"/>
      <c r="H424" s="284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>
      <c r="A425" s="83"/>
      <c r="B425" s="283"/>
      <c r="C425" s="83"/>
      <c r="D425" s="83"/>
      <c r="E425" s="83"/>
      <c r="F425" s="83"/>
      <c r="G425" s="83"/>
      <c r="H425" s="284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>
      <c r="A426" s="83"/>
      <c r="B426" s="283"/>
      <c r="C426" s="83"/>
      <c r="D426" s="83"/>
      <c r="E426" s="83"/>
      <c r="F426" s="83"/>
      <c r="G426" s="83"/>
      <c r="H426" s="284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>
      <c r="A427" s="83"/>
      <c r="B427" s="283"/>
      <c r="C427" s="83"/>
      <c r="D427" s="83"/>
      <c r="E427" s="83"/>
      <c r="F427" s="83"/>
      <c r="G427" s="83"/>
      <c r="H427" s="284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>
      <c r="A428" s="83"/>
      <c r="B428" s="283"/>
      <c r="C428" s="83"/>
      <c r="D428" s="83"/>
      <c r="E428" s="83"/>
      <c r="F428" s="83"/>
      <c r="G428" s="83"/>
      <c r="H428" s="284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>
      <c r="A429" s="83"/>
      <c r="B429" s="283"/>
      <c r="C429" s="83"/>
      <c r="D429" s="83"/>
      <c r="E429" s="83"/>
      <c r="F429" s="83"/>
      <c r="G429" s="83"/>
      <c r="H429" s="284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>
      <c r="A430" s="83"/>
      <c r="B430" s="283"/>
      <c r="C430" s="83"/>
      <c r="D430" s="83"/>
      <c r="E430" s="83"/>
      <c r="F430" s="83"/>
      <c r="G430" s="83"/>
      <c r="H430" s="284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>
      <c r="A431" s="83"/>
      <c r="B431" s="283"/>
      <c r="C431" s="83"/>
      <c r="D431" s="83"/>
      <c r="E431" s="83"/>
      <c r="F431" s="83"/>
      <c r="G431" s="83"/>
      <c r="H431" s="284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>
      <c r="A432" s="83"/>
      <c r="B432" s="283"/>
      <c r="C432" s="83"/>
      <c r="D432" s="83"/>
      <c r="E432" s="83"/>
      <c r="F432" s="83"/>
      <c r="G432" s="83"/>
      <c r="H432" s="284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>
      <c r="A433" s="83"/>
      <c r="B433" s="283"/>
      <c r="C433" s="83"/>
      <c r="D433" s="83"/>
      <c r="E433" s="83"/>
      <c r="F433" s="83"/>
      <c r="G433" s="83"/>
      <c r="H433" s="284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>
      <c r="A434" s="83"/>
      <c r="B434" s="283"/>
      <c r="C434" s="83"/>
      <c r="D434" s="83"/>
      <c r="E434" s="83"/>
      <c r="F434" s="83"/>
      <c r="G434" s="83"/>
      <c r="H434" s="284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>
      <c r="A435" s="83"/>
      <c r="B435" s="283"/>
      <c r="C435" s="83"/>
      <c r="D435" s="83"/>
      <c r="E435" s="83"/>
      <c r="F435" s="83"/>
      <c r="G435" s="83"/>
      <c r="H435" s="284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>
      <c r="A436" s="83"/>
      <c r="B436" s="283"/>
      <c r="C436" s="83"/>
      <c r="D436" s="83"/>
      <c r="E436" s="83"/>
      <c r="F436" s="83"/>
      <c r="G436" s="83"/>
      <c r="H436" s="284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>
      <c r="A437" s="83"/>
      <c r="B437" s="283"/>
      <c r="C437" s="83"/>
      <c r="D437" s="83"/>
      <c r="E437" s="83"/>
      <c r="F437" s="83"/>
      <c r="G437" s="83"/>
      <c r="H437" s="284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>
      <c r="A438" s="83"/>
      <c r="B438" s="283"/>
      <c r="C438" s="83"/>
      <c r="D438" s="83"/>
      <c r="E438" s="83"/>
      <c r="F438" s="83"/>
      <c r="G438" s="83"/>
      <c r="H438" s="284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>
      <c r="A439" s="83"/>
      <c r="B439" s="283"/>
      <c r="C439" s="83"/>
      <c r="D439" s="83"/>
      <c r="E439" s="83"/>
      <c r="F439" s="83"/>
      <c r="G439" s="83"/>
      <c r="H439" s="284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>
      <c r="A440" s="83"/>
      <c r="B440" s="283"/>
      <c r="C440" s="83"/>
      <c r="D440" s="83"/>
      <c r="E440" s="83"/>
      <c r="F440" s="83"/>
      <c r="G440" s="83"/>
      <c r="H440" s="284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>
      <c r="A441" s="83"/>
      <c r="B441" s="283"/>
      <c r="C441" s="83"/>
      <c r="D441" s="83"/>
      <c r="E441" s="83"/>
      <c r="F441" s="83"/>
      <c r="G441" s="83"/>
      <c r="H441" s="284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>
      <c r="A442" s="83"/>
      <c r="B442" s="283"/>
      <c r="C442" s="83"/>
      <c r="D442" s="83"/>
      <c r="E442" s="83"/>
      <c r="F442" s="83"/>
      <c r="G442" s="83"/>
      <c r="H442" s="284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>
      <c r="A443" s="83"/>
      <c r="B443" s="283"/>
      <c r="C443" s="83"/>
      <c r="D443" s="83"/>
      <c r="E443" s="83"/>
      <c r="F443" s="83"/>
      <c r="G443" s="83"/>
      <c r="H443" s="284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>
      <c r="A444" s="83"/>
      <c r="B444" s="283"/>
      <c r="C444" s="83"/>
      <c r="D444" s="83"/>
      <c r="E444" s="83"/>
      <c r="F444" s="83"/>
      <c r="G444" s="83"/>
      <c r="H444" s="284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>
      <c r="A445" s="83"/>
      <c r="B445" s="283"/>
      <c r="C445" s="83"/>
      <c r="D445" s="83"/>
      <c r="E445" s="83"/>
      <c r="F445" s="83"/>
      <c r="G445" s="83"/>
      <c r="H445" s="284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>
      <c r="A446" s="83"/>
      <c r="B446" s="283"/>
      <c r="C446" s="83"/>
      <c r="D446" s="83"/>
      <c r="E446" s="83"/>
      <c r="F446" s="83"/>
      <c r="G446" s="83"/>
      <c r="H446" s="284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>
      <c r="A447" s="83"/>
      <c r="B447" s="283"/>
      <c r="C447" s="83"/>
      <c r="D447" s="83"/>
      <c r="E447" s="83"/>
      <c r="F447" s="83"/>
      <c r="G447" s="83"/>
      <c r="H447" s="284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>
      <c r="A448" s="83"/>
      <c r="B448" s="283"/>
      <c r="C448" s="83"/>
      <c r="D448" s="83"/>
      <c r="E448" s="83"/>
      <c r="F448" s="83"/>
      <c r="G448" s="83"/>
      <c r="H448" s="284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>
      <c r="A449" s="83"/>
      <c r="B449" s="283"/>
      <c r="C449" s="83"/>
      <c r="D449" s="83"/>
      <c r="E449" s="83"/>
      <c r="F449" s="83"/>
      <c r="G449" s="83"/>
      <c r="H449" s="284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>
      <c r="A450" s="83"/>
      <c r="B450" s="283"/>
      <c r="C450" s="83"/>
      <c r="D450" s="83"/>
      <c r="E450" s="83"/>
      <c r="F450" s="83"/>
      <c r="G450" s="83"/>
      <c r="H450" s="284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>
      <c r="A451" s="83"/>
      <c r="B451" s="283"/>
      <c r="C451" s="83"/>
      <c r="D451" s="83"/>
      <c r="E451" s="83"/>
      <c r="F451" s="83"/>
      <c r="G451" s="83"/>
      <c r="H451" s="284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>
      <c r="A452" s="83"/>
      <c r="B452" s="283"/>
      <c r="C452" s="83"/>
      <c r="D452" s="83"/>
      <c r="E452" s="83"/>
      <c r="F452" s="83"/>
      <c r="G452" s="83"/>
      <c r="H452" s="284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>
      <c r="A453" s="83"/>
      <c r="B453" s="283"/>
      <c r="C453" s="83"/>
      <c r="D453" s="83"/>
      <c r="E453" s="83"/>
      <c r="F453" s="83"/>
      <c r="G453" s="83"/>
      <c r="H453" s="284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>
      <c r="A454" s="83"/>
      <c r="B454" s="283"/>
      <c r="C454" s="83"/>
      <c r="D454" s="83"/>
      <c r="E454" s="83"/>
      <c r="F454" s="83"/>
      <c r="G454" s="83"/>
      <c r="H454" s="284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>
      <c r="A455" s="83"/>
      <c r="B455" s="283"/>
      <c r="C455" s="83"/>
      <c r="D455" s="83"/>
      <c r="E455" s="83"/>
      <c r="F455" s="83"/>
      <c r="G455" s="83"/>
      <c r="H455" s="284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>
      <c r="A456" s="83"/>
      <c r="B456" s="283"/>
      <c r="C456" s="83"/>
      <c r="D456" s="83"/>
      <c r="E456" s="83"/>
      <c r="F456" s="83"/>
      <c r="G456" s="83"/>
      <c r="H456" s="284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>
      <c r="A457" s="83"/>
      <c r="B457" s="283"/>
      <c r="C457" s="83"/>
      <c r="D457" s="83"/>
      <c r="E457" s="83"/>
      <c r="F457" s="83"/>
      <c r="G457" s="83"/>
      <c r="H457" s="284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>
      <c r="A458" s="83"/>
      <c r="B458" s="283"/>
      <c r="C458" s="83"/>
      <c r="D458" s="83"/>
      <c r="E458" s="83"/>
      <c r="F458" s="83"/>
      <c r="G458" s="83"/>
      <c r="H458" s="284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>
      <c r="A459" s="83"/>
      <c r="B459" s="283"/>
      <c r="C459" s="83"/>
      <c r="D459" s="83"/>
      <c r="E459" s="83"/>
      <c r="F459" s="83"/>
      <c r="G459" s="83"/>
      <c r="H459" s="284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>
      <c r="A460" s="83"/>
      <c r="B460" s="283"/>
      <c r="C460" s="83"/>
      <c r="D460" s="83"/>
      <c r="E460" s="83"/>
      <c r="F460" s="83"/>
      <c r="G460" s="83"/>
      <c r="H460" s="284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>
      <c r="A461" s="83"/>
      <c r="B461" s="283"/>
      <c r="C461" s="83"/>
      <c r="D461" s="83"/>
      <c r="E461" s="83"/>
      <c r="F461" s="83"/>
      <c r="G461" s="83"/>
      <c r="H461" s="284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>
      <c r="A462" s="83"/>
      <c r="B462" s="283"/>
      <c r="C462" s="83"/>
      <c r="D462" s="83"/>
      <c r="E462" s="83"/>
      <c r="F462" s="83"/>
      <c r="G462" s="83"/>
      <c r="H462" s="284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>
      <c r="A463" s="83"/>
      <c r="B463" s="283"/>
      <c r="C463" s="83"/>
      <c r="D463" s="83"/>
      <c r="E463" s="83"/>
      <c r="F463" s="83"/>
      <c r="G463" s="83"/>
      <c r="H463" s="284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>
      <c r="A464" s="83"/>
      <c r="B464" s="283"/>
      <c r="C464" s="83"/>
      <c r="D464" s="83"/>
      <c r="E464" s="83"/>
      <c r="F464" s="83"/>
      <c r="G464" s="83"/>
      <c r="H464" s="284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>
      <c r="A465" s="83"/>
      <c r="B465" s="283"/>
      <c r="C465" s="83"/>
      <c r="D465" s="83"/>
      <c r="E465" s="83"/>
      <c r="F465" s="83"/>
      <c r="G465" s="83"/>
      <c r="H465" s="284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>
      <c r="A466" s="83"/>
      <c r="B466" s="283"/>
      <c r="C466" s="83"/>
      <c r="D466" s="83"/>
      <c r="E466" s="83"/>
      <c r="F466" s="83"/>
      <c r="G466" s="83"/>
      <c r="H466" s="284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>
      <c r="A467" s="83"/>
      <c r="B467" s="283"/>
      <c r="C467" s="83"/>
      <c r="D467" s="83"/>
      <c r="E467" s="83"/>
      <c r="F467" s="83"/>
      <c r="G467" s="83"/>
      <c r="H467" s="284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>
      <c r="A468" s="83"/>
      <c r="B468" s="283"/>
      <c r="C468" s="83"/>
      <c r="D468" s="83"/>
      <c r="E468" s="83"/>
      <c r="F468" s="83"/>
      <c r="G468" s="83"/>
      <c r="H468" s="284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>
      <c r="A469" s="83"/>
      <c r="B469" s="283"/>
      <c r="C469" s="83"/>
      <c r="D469" s="83"/>
      <c r="E469" s="83"/>
      <c r="F469" s="83"/>
      <c r="G469" s="83"/>
      <c r="H469" s="284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>
      <c r="A470" s="83"/>
      <c r="B470" s="283"/>
      <c r="C470" s="83"/>
      <c r="D470" s="83"/>
      <c r="E470" s="83"/>
      <c r="F470" s="83"/>
      <c r="G470" s="83"/>
      <c r="H470" s="284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>
      <c r="A471" s="83"/>
      <c r="B471" s="283"/>
      <c r="C471" s="83"/>
      <c r="D471" s="83"/>
      <c r="E471" s="83"/>
      <c r="F471" s="83"/>
      <c r="G471" s="83"/>
      <c r="H471" s="284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>
      <c r="A472" s="83"/>
      <c r="B472" s="283"/>
      <c r="C472" s="83"/>
      <c r="D472" s="83"/>
      <c r="E472" s="83"/>
      <c r="F472" s="83"/>
      <c r="G472" s="83"/>
      <c r="H472" s="284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>
      <c r="A473" s="83"/>
      <c r="B473" s="283"/>
      <c r="C473" s="83"/>
      <c r="D473" s="83"/>
      <c r="E473" s="83"/>
      <c r="F473" s="83"/>
      <c r="G473" s="83"/>
      <c r="H473" s="284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>
      <c r="A474" s="83"/>
      <c r="B474" s="283"/>
      <c r="C474" s="83"/>
      <c r="D474" s="83"/>
      <c r="E474" s="83"/>
      <c r="F474" s="83"/>
      <c r="G474" s="83"/>
      <c r="H474" s="284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>
      <c r="A475" s="83"/>
      <c r="B475" s="283"/>
      <c r="C475" s="83"/>
      <c r="D475" s="83"/>
      <c r="E475" s="83"/>
      <c r="F475" s="83"/>
      <c r="G475" s="83"/>
      <c r="H475" s="284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>
      <c r="A476" s="83"/>
      <c r="B476" s="283"/>
      <c r="C476" s="83"/>
      <c r="D476" s="83"/>
      <c r="E476" s="83"/>
      <c r="F476" s="83"/>
      <c r="G476" s="83"/>
      <c r="H476" s="284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>
      <c r="A477" s="83"/>
      <c r="B477" s="283"/>
      <c r="C477" s="83"/>
      <c r="D477" s="83"/>
      <c r="E477" s="83"/>
      <c r="F477" s="83"/>
      <c r="G477" s="83"/>
      <c r="H477" s="284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>
      <c r="A478" s="83"/>
      <c r="B478" s="283"/>
      <c r="C478" s="83"/>
      <c r="D478" s="83"/>
      <c r="E478" s="83"/>
      <c r="F478" s="83"/>
      <c r="G478" s="83"/>
      <c r="H478" s="284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>
      <c r="A479" s="83"/>
      <c r="B479" s="283"/>
      <c r="C479" s="83"/>
      <c r="D479" s="83"/>
      <c r="E479" s="83"/>
      <c r="F479" s="83"/>
      <c r="G479" s="83"/>
      <c r="H479" s="284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>
      <c r="A480" s="83"/>
      <c r="B480" s="283"/>
      <c r="C480" s="83"/>
      <c r="D480" s="83"/>
      <c r="E480" s="83"/>
      <c r="F480" s="83"/>
      <c r="G480" s="83"/>
      <c r="H480" s="284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>
      <c r="A481" s="83"/>
      <c r="B481" s="283"/>
      <c r="C481" s="83"/>
      <c r="D481" s="83"/>
      <c r="E481" s="83"/>
      <c r="F481" s="83"/>
      <c r="G481" s="83"/>
      <c r="H481" s="284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>
      <c r="A482" s="83"/>
      <c r="B482" s="283"/>
      <c r="C482" s="83"/>
      <c r="D482" s="83"/>
      <c r="E482" s="83"/>
      <c r="F482" s="83"/>
      <c r="G482" s="83"/>
      <c r="H482" s="284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>
      <c r="A483" s="83"/>
      <c r="B483" s="283"/>
      <c r="C483" s="83"/>
      <c r="D483" s="83"/>
      <c r="E483" s="83"/>
      <c r="F483" s="83"/>
      <c r="G483" s="83"/>
      <c r="H483" s="284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>
      <c r="A484" s="83"/>
      <c r="B484" s="283"/>
      <c r="C484" s="83"/>
      <c r="D484" s="83"/>
      <c r="E484" s="83"/>
      <c r="F484" s="83"/>
      <c r="G484" s="83"/>
      <c r="H484" s="284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>
      <c r="A485" s="83"/>
      <c r="B485" s="283"/>
      <c r="C485" s="83"/>
      <c r="D485" s="83"/>
      <c r="E485" s="83"/>
      <c r="F485" s="83"/>
      <c r="G485" s="83"/>
      <c r="H485" s="284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>
      <c r="A486" s="83"/>
      <c r="B486" s="283"/>
      <c r="C486" s="83"/>
      <c r="D486" s="83"/>
      <c r="E486" s="83"/>
      <c r="F486" s="83"/>
      <c r="G486" s="83"/>
      <c r="H486" s="284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>
      <c r="A487" s="83"/>
      <c r="B487" s="283"/>
      <c r="C487" s="83"/>
      <c r="D487" s="83"/>
      <c r="E487" s="83"/>
      <c r="F487" s="83"/>
      <c r="G487" s="83"/>
      <c r="H487" s="284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>
      <c r="A488" s="83"/>
      <c r="B488" s="283"/>
      <c r="C488" s="83"/>
      <c r="D488" s="83"/>
      <c r="E488" s="83"/>
      <c r="F488" s="83"/>
      <c r="G488" s="83"/>
      <c r="H488" s="284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>
      <c r="A489" s="83"/>
      <c r="B489" s="283"/>
      <c r="C489" s="83"/>
      <c r="D489" s="83"/>
      <c r="E489" s="83"/>
      <c r="F489" s="83"/>
      <c r="G489" s="83"/>
      <c r="H489" s="284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>
      <c r="A490" s="83"/>
      <c r="B490" s="283"/>
      <c r="C490" s="83"/>
      <c r="D490" s="83"/>
      <c r="E490" s="83"/>
      <c r="F490" s="83"/>
      <c r="G490" s="83"/>
      <c r="H490" s="284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>
      <c r="A491" s="83"/>
      <c r="B491" s="283"/>
      <c r="C491" s="83"/>
      <c r="D491" s="83"/>
      <c r="E491" s="83"/>
      <c r="F491" s="83"/>
      <c r="G491" s="83"/>
      <c r="H491" s="284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>
      <c r="A492" s="83"/>
      <c r="B492" s="283"/>
      <c r="C492" s="83"/>
      <c r="D492" s="83"/>
      <c r="E492" s="83"/>
      <c r="F492" s="83"/>
      <c r="G492" s="83"/>
      <c r="H492" s="284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>
      <c r="A493" s="83"/>
      <c r="B493" s="283"/>
      <c r="C493" s="83"/>
      <c r="D493" s="83"/>
      <c r="E493" s="83"/>
      <c r="F493" s="83"/>
      <c r="G493" s="83"/>
      <c r="H493" s="284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>
      <c r="A494" s="83"/>
      <c r="B494" s="283"/>
      <c r="C494" s="83"/>
      <c r="D494" s="83"/>
      <c r="E494" s="83"/>
      <c r="F494" s="83"/>
      <c r="G494" s="83"/>
      <c r="H494" s="284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>
      <c r="A495" s="83"/>
      <c r="B495" s="283"/>
      <c r="C495" s="83"/>
      <c r="D495" s="83"/>
      <c r="E495" s="83"/>
      <c r="F495" s="83"/>
      <c r="G495" s="83"/>
      <c r="H495" s="284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>
      <c r="A496" s="83"/>
      <c r="B496" s="283"/>
      <c r="C496" s="83"/>
      <c r="D496" s="83"/>
      <c r="E496" s="83"/>
      <c r="F496" s="83"/>
      <c r="G496" s="83"/>
      <c r="H496" s="284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>
      <c r="A497" s="83"/>
      <c r="B497" s="283"/>
      <c r="C497" s="83"/>
      <c r="D497" s="83"/>
      <c r="E497" s="83"/>
      <c r="F497" s="83"/>
      <c r="G497" s="83"/>
      <c r="H497" s="284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>
      <c r="A498" s="83"/>
      <c r="B498" s="283"/>
      <c r="C498" s="83"/>
      <c r="D498" s="83"/>
      <c r="E498" s="83"/>
      <c r="F498" s="83"/>
      <c r="G498" s="83"/>
      <c r="H498" s="284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>
      <c r="A499" s="83"/>
      <c r="B499" s="283"/>
      <c r="C499" s="83"/>
      <c r="D499" s="83"/>
      <c r="E499" s="83"/>
      <c r="F499" s="83"/>
      <c r="G499" s="83"/>
      <c r="H499" s="284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>
      <c r="A500" s="83"/>
      <c r="B500" s="283"/>
      <c r="C500" s="83"/>
      <c r="D500" s="83"/>
      <c r="E500" s="83"/>
      <c r="F500" s="83"/>
      <c r="G500" s="83"/>
      <c r="H500" s="284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>
      <c r="A501" s="83"/>
      <c r="B501" s="283"/>
      <c r="C501" s="83"/>
      <c r="D501" s="83"/>
      <c r="E501" s="83"/>
      <c r="F501" s="83"/>
      <c r="G501" s="83"/>
      <c r="H501" s="284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>
      <c r="A502" s="83"/>
      <c r="B502" s="283"/>
      <c r="C502" s="83"/>
      <c r="D502" s="83"/>
      <c r="E502" s="83"/>
      <c r="F502" s="83"/>
      <c r="G502" s="83"/>
      <c r="H502" s="284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>
      <c r="A503" s="83"/>
      <c r="B503" s="283"/>
      <c r="C503" s="83"/>
      <c r="D503" s="83"/>
      <c r="E503" s="83"/>
      <c r="F503" s="83"/>
      <c r="G503" s="83"/>
      <c r="H503" s="284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>
      <c r="A504" s="83"/>
      <c r="B504" s="283"/>
      <c r="C504" s="83"/>
      <c r="D504" s="83"/>
      <c r="E504" s="83"/>
      <c r="F504" s="83"/>
      <c r="G504" s="83"/>
      <c r="H504" s="284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>
      <c r="A505" s="83"/>
      <c r="B505" s="283"/>
      <c r="C505" s="83"/>
      <c r="D505" s="83"/>
      <c r="E505" s="83"/>
      <c r="F505" s="83"/>
      <c r="G505" s="83"/>
      <c r="H505" s="284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>
      <c r="A506" s="83"/>
      <c r="B506" s="283"/>
      <c r="C506" s="83"/>
      <c r="D506" s="83"/>
      <c r="E506" s="83"/>
      <c r="F506" s="83"/>
      <c r="G506" s="83"/>
      <c r="H506" s="284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>
      <c r="A507" s="83"/>
      <c r="B507" s="283"/>
      <c r="C507" s="83"/>
      <c r="D507" s="83"/>
      <c r="E507" s="83"/>
      <c r="F507" s="83"/>
      <c r="G507" s="83"/>
      <c r="H507" s="284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>
      <c r="A508" s="83"/>
      <c r="B508" s="283"/>
      <c r="C508" s="83"/>
      <c r="D508" s="83"/>
      <c r="E508" s="83"/>
      <c r="F508" s="83"/>
      <c r="G508" s="83"/>
      <c r="H508" s="284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>
      <c r="A509" s="83"/>
      <c r="B509" s="283"/>
      <c r="C509" s="83"/>
      <c r="D509" s="83"/>
      <c r="E509" s="83"/>
      <c r="F509" s="83"/>
      <c r="G509" s="83"/>
      <c r="H509" s="284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>
      <c r="A510" s="83"/>
      <c r="B510" s="283"/>
      <c r="C510" s="83"/>
      <c r="D510" s="83"/>
      <c r="E510" s="83"/>
      <c r="F510" s="83"/>
      <c r="G510" s="83"/>
      <c r="H510" s="284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>
      <c r="A511" s="83"/>
      <c r="B511" s="283"/>
      <c r="C511" s="83"/>
      <c r="D511" s="83"/>
      <c r="E511" s="83"/>
      <c r="F511" s="83"/>
      <c r="G511" s="83"/>
      <c r="H511" s="284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>
      <c r="A512" s="83"/>
      <c r="B512" s="283"/>
      <c r="C512" s="83"/>
      <c r="D512" s="83"/>
      <c r="E512" s="83"/>
      <c r="F512" s="83"/>
      <c r="G512" s="83"/>
      <c r="H512" s="284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>
      <c r="A513" s="83"/>
      <c r="B513" s="283"/>
      <c r="C513" s="83"/>
      <c r="D513" s="83"/>
      <c r="E513" s="83"/>
      <c r="F513" s="83"/>
      <c r="G513" s="83"/>
      <c r="H513" s="284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>
      <c r="A514" s="83"/>
      <c r="B514" s="283"/>
      <c r="C514" s="83"/>
      <c r="D514" s="83"/>
      <c r="E514" s="83"/>
      <c r="F514" s="83"/>
      <c r="G514" s="83"/>
      <c r="H514" s="284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>
      <c r="A515" s="83"/>
      <c r="B515" s="283"/>
      <c r="C515" s="83"/>
      <c r="D515" s="83"/>
      <c r="E515" s="83"/>
      <c r="F515" s="83"/>
      <c r="G515" s="83"/>
      <c r="H515" s="284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>
      <c r="A516" s="83"/>
      <c r="B516" s="283"/>
      <c r="C516" s="83"/>
      <c r="D516" s="83"/>
      <c r="E516" s="83"/>
      <c r="F516" s="83"/>
      <c r="G516" s="83"/>
      <c r="H516" s="284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>
      <c r="A517" s="83"/>
      <c r="B517" s="283"/>
      <c r="C517" s="83"/>
      <c r="D517" s="83"/>
      <c r="E517" s="83"/>
      <c r="F517" s="83"/>
      <c r="G517" s="83"/>
      <c r="H517" s="284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>
      <c r="A518" s="83"/>
      <c r="B518" s="283"/>
      <c r="C518" s="83"/>
      <c r="D518" s="83"/>
      <c r="E518" s="83"/>
      <c r="F518" s="83"/>
      <c r="G518" s="83"/>
      <c r="H518" s="284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>
      <c r="A519" s="83"/>
      <c r="B519" s="283"/>
      <c r="C519" s="83"/>
      <c r="D519" s="83"/>
      <c r="E519" s="83"/>
      <c r="F519" s="83"/>
      <c r="G519" s="83"/>
      <c r="H519" s="284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>
      <c r="A520" s="83"/>
      <c r="B520" s="283"/>
      <c r="C520" s="83"/>
      <c r="D520" s="83"/>
      <c r="E520" s="83"/>
      <c r="F520" s="83"/>
      <c r="G520" s="83"/>
      <c r="H520" s="284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>
      <c r="A521" s="83"/>
      <c r="B521" s="283"/>
      <c r="C521" s="83"/>
      <c r="D521" s="83"/>
      <c r="E521" s="83"/>
      <c r="F521" s="83"/>
      <c r="G521" s="83"/>
      <c r="H521" s="284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>
      <c r="A522" s="83"/>
      <c r="B522" s="283"/>
      <c r="C522" s="83"/>
      <c r="D522" s="83"/>
      <c r="E522" s="83"/>
      <c r="F522" s="83"/>
      <c r="G522" s="83"/>
      <c r="H522" s="284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>
      <c r="A523" s="83"/>
      <c r="B523" s="283"/>
      <c r="C523" s="83"/>
      <c r="D523" s="83"/>
      <c r="E523" s="83"/>
      <c r="F523" s="83"/>
      <c r="G523" s="83"/>
      <c r="H523" s="284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>
      <c r="A524" s="83"/>
      <c r="B524" s="283"/>
      <c r="C524" s="83"/>
      <c r="D524" s="83"/>
      <c r="E524" s="83"/>
      <c r="F524" s="83"/>
      <c r="G524" s="83"/>
      <c r="H524" s="284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>
      <c r="A525" s="83"/>
      <c r="B525" s="283"/>
      <c r="C525" s="83"/>
      <c r="D525" s="83"/>
      <c r="E525" s="83"/>
      <c r="F525" s="83"/>
      <c r="G525" s="83"/>
      <c r="H525" s="284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>
      <c r="A526" s="83"/>
      <c r="B526" s="283"/>
      <c r="C526" s="83"/>
      <c r="D526" s="83"/>
      <c r="E526" s="83"/>
      <c r="F526" s="83"/>
      <c r="G526" s="83"/>
      <c r="H526" s="284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>
      <c r="A527" s="83"/>
      <c r="B527" s="283"/>
      <c r="C527" s="83"/>
      <c r="D527" s="83"/>
      <c r="E527" s="83"/>
      <c r="F527" s="83"/>
      <c r="G527" s="83"/>
      <c r="H527" s="284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>
      <c r="A528" s="83"/>
      <c r="B528" s="283"/>
      <c r="C528" s="83"/>
      <c r="D528" s="83"/>
      <c r="E528" s="83"/>
      <c r="F528" s="83"/>
      <c r="G528" s="83"/>
      <c r="H528" s="284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>
      <c r="A529" s="83"/>
      <c r="B529" s="283"/>
      <c r="C529" s="83"/>
      <c r="D529" s="83"/>
      <c r="E529" s="83"/>
      <c r="F529" s="83"/>
      <c r="G529" s="83"/>
      <c r="H529" s="284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>
      <c r="A530" s="83"/>
      <c r="B530" s="283"/>
      <c r="C530" s="83"/>
      <c r="D530" s="83"/>
      <c r="E530" s="83"/>
      <c r="F530" s="83"/>
      <c r="G530" s="83"/>
      <c r="H530" s="284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>
      <c r="A531" s="83"/>
      <c r="B531" s="283"/>
      <c r="C531" s="83"/>
      <c r="D531" s="83"/>
      <c r="E531" s="83"/>
      <c r="F531" s="83"/>
      <c r="G531" s="83"/>
      <c r="H531" s="284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>
      <c r="A532" s="83"/>
      <c r="B532" s="283"/>
      <c r="C532" s="83"/>
      <c r="D532" s="83"/>
      <c r="E532" s="83"/>
      <c r="F532" s="83"/>
      <c r="G532" s="83"/>
      <c r="H532" s="284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>
      <c r="A533" s="83"/>
      <c r="B533" s="283"/>
      <c r="C533" s="83"/>
      <c r="D533" s="83"/>
      <c r="E533" s="83"/>
      <c r="F533" s="83"/>
      <c r="G533" s="83"/>
      <c r="H533" s="284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>
      <c r="A534" s="83"/>
      <c r="B534" s="283"/>
      <c r="C534" s="83"/>
      <c r="D534" s="83"/>
      <c r="E534" s="83"/>
      <c r="F534" s="83"/>
      <c r="G534" s="83"/>
      <c r="H534" s="284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>
      <c r="A535" s="83"/>
      <c r="B535" s="283"/>
      <c r="C535" s="83"/>
      <c r="D535" s="83"/>
      <c r="E535" s="83"/>
      <c r="F535" s="83"/>
      <c r="G535" s="83"/>
      <c r="H535" s="284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>
      <c r="A536" s="83"/>
      <c r="B536" s="283"/>
      <c r="C536" s="83"/>
      <c r="D536" s="83"/>
      <c r="E536" s="83"/>
      <c r="F536" s="83"/>
      <c r="G536" s="83"/>
      <c r="H536" s="284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>
      <c r="A537" s="83"/>
      <c r="B537" s="283"/>
      <c r="C537" s="83"/>
      <c r="D537" s="83"/>
      <c r="E537" s="83"/>
      <c r="F537" s="83"/>
      <c r="G537" s="83"/>
      <c r="H537" s="284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>
      <c r="A538" s="83"/>
      <c r="B538" s="283"/>
      <c r="C538" s="83"/>
      <c r="D538" s="83"/>
      <c r="E538" s="83"/>
      <c r="F538" s="83"/>
      <c r="G538" s="83"/>
      <c r="H538" s="284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>
      <c r="A539" s="83"/>
      <c r="B539" s="283"/>
      <c r="C539" s="83"/>
      <c r="D539" s="83"/>
      <c r="E539" s="83"/>
      <c r="F539" s="83"/>
      <c r="G539" s="83"/>
      <c r="H539" s="284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>
      <c r="A540" s="83"/>
      <c r="B540" s="283"/>
      <c r="C540" s="83"/>
      <c r="D540" s="83"/>
      <c r="E540" s="83"/>
      <c r="F540" s="83"/>
      <c r="G540" s="83"/>
      <c r="H540" s="284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>
      <c r="A541" s="83"/>
      <c r="B541" s="283"/>
      <c r="C541" s="83"/>
      <c r="D541" s="83"/>
      <c r="E541" s="83"/>
      <c r="F541" s="83"/>
      <c r="G541" s="83"/>
      <c r="H541" s="284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>
      <c r="A542" s="83"/>
      <c r="B542" s="283"/>
      <c r="C542" s="83"/>
      <c r="D542" s="83"/>
      <c r="E542" s="83"/>
      <c r="F542" s="83"/>
      <c r="G542" s="83"/>
      <c r="H542" s="284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>
      <c r="A543" s="83"/>
      <c r="B543" s="283"/>
      <c r="C543" s="83"/>
      <c r="D543" s="83"/>
      <c r="E543" s="83"/>
      <c r="F543" s="83"/>
      <c r="G543" s="83"/>
      <c r="H543" s="284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>
      <c r="A544" s="83"/>
      <c r="B544" s="283"/>
      <c r="C544" s="83"/>
      <c r="D544" s="83"/>
      <c r="E544" s="83"/>
      <c r="F544" s="83"/>
      <c r="G544" s="83"/>
      <c r="H544" s="284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>
      <c r="A545" s="83"/>
      <c r="B545" s="283"/>
      <c r="C545" s="83"/>
      <c r="D545" s="83"/>
      <c r="E545" s="83"/>
      <c r="F545" s="83"/>
      <c r="G545" s="83"/>
      <c r="H545" s="284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>
      <c r="A546" s="83"/>
      <c r="B546" s="283"/>
      <c r="C546" s="83"/>
      <c r="D546" s="83"/>
      <c r="E546" s="83"/>
      <c r="F546" s="83"/>
      <c r="G546" s="83"/>
      <c r="H546" s="284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>
      <c r="A547" s="83"/>
      <c r="B547" s="283"/>
      <c r="C547" s="83"/>
      <c r="D547" s="83"/>
      <c r="E547" s="83"/>
      <c r="F547" s="83"/>
      <c r="G547" s="83"/>
      <c r="H547" s="284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>
      <c r="A548" s="83"/>
      <c r="B548" s="283"/>
      <c r="C548" s="83"/>
      <c r="D548" s="83"/>
      <c r="E548" s="83"/>
      <c r="F548" s="83"/>
      <c r="G548" s="83"/>
      <c r="H548" s="284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>
      <c r="A549" s="83"/>
      <c r="B549" s="283"/>
      <c r="C549" s="83"/>
      <c r="D549" s="83"/>
      <c r="E549" s="83"/>
      <c r="F549" s="83"/>
      <c r="G549" s="83"/>
      <c r="H549" s="284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>
      <c r="A550" s="83"/>
      <c r="B550" s="283"/>
      <c r="C550" s="83"/>
      <c r="D550" s="83"/>
      <c r="E550" s="83"/>
      <c r="F550" s="83"/>
      <c r="G550" s="83"/>
      <c r="H550" s="284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>
      <c r="A551" s="83"/>
      <c r="B551" s="283"/>
      <c r="C551" s="83"/>
      <c r="D551" s="83"/>
      <c r="E551" s="83"/>
      <c r="F551" s="83"/>
      <c r="G551" s="83"/>
      <c r="H551" s="284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>
      <c r="A552" s="83"/>
      <c r="B552" s="283"/>
      <c r="C552" s="83"/>
      <c r="D552" s="83"/>
      <c r="E552" s="83"/>
      <c r="F552" s="83"/>
      <c r="G552" s="83"/>
      <c r="H552" s="284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>
      <c r="A553" s="83"/>
      <c r="B553" s="283"/>
      <c r="C553" s="83"/>
      <c r="D553" s="83"/>
      <c r="E553" s="83"/>
      <c r="F553" s="83"/>
      <c r="G553" s="83"/>
      <c r="H553" s="284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>
      <c r="A554" s="83"/>
      <c r="B554" s="283"/>
      <c r="C554" s="83"/>
      <c r="D554" s="83"/>
      <c r="E554" s="83"/>
      <c r="F554" s="83"/>
      <c r="G554" s="83"/>
      <c r="H554" s="284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>
      <c r="A555" s="83"/>
      <c r="B555" s="283"/>
      <c r="C555" s="83"/>
      <c r="D555" s="83"/>
      <c r="E555" s="83"/>
      <c r="F555" s="83"/>
      <c r="G555" s="83"/>
      <c r="H555" s="284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>
      <c r="A556" s="83"/>
      <c r="B556" s="283"/>
      <c r="C556" s="83"/>
      <c r="D556" s="83"/>
      <c r="E556" s="83"/>
      <c r="F556" s="83"/>
      <c r="G556" s="83"/>
      <c r="H556" s="284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>
      <c r="A557" s="83"/>
      <c r="B557" s="283"/>
      <c r="C557" s="83"/>
      <c r="D557" s="83"/>
      <c r="E557" s="83"/>
      <c r="F557" s="83"/>
      <c r="G557" s="83"/>
      <c r="H557" s="284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>
      <c r="A558" s="83"/>
      <c r="B558" s="283"/>
      <c r="C558" s="83"/>
      <c r="D558" s="83"/>
      <c r="E558" s="83"/>
      <c r="F558" s="83"/>
      <c r="G558" s="83"/>
      <c r="H558" s="284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>
      <c r="A559" s="83"/>
      <c r="B559" s="283"/>
      <c r="C559" s="83"/>
      <c r="D559" s="83"/>
      <c r="E559" s="83"/>
      <c r="F559" s="83"/>
      <c r="G559" s="83"/>
      <c r="H559" s="284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>
      <c r="A560" s="83"/>
      <c r="B560" s="283"/>
      <c r="C560" s="83"/>
      <c r="D560" s="83"/>
      <c r="E560" s="83"/>
      <c r="F560" s="83"/>
      <c r="G560" s="83"/>
      <c r="H560" s="284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>
      <c r="A561" s="83"/>
      <c r="B561" s="283"/>
      <c r="C561" s="83"/>
      <c r="D561" s="83"/>
      <c r="E561" s="83"/>
      <c r="F561" s="83"/>
      <c r="G561" s="83"/>
      <c r="H561" s="284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>
      <c r="A562" s="83"/>
      <c r="B562" s="283"/>
      <c r="C562" s="83"/>
      <c r="D562" s="83"/>
      <c r="E562" s="83"/>
      <c r="F562" s="83"/>
      <c r="G562" s="83"/>
      <c r="H562" s="284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>
      <c r="A563" s="83"/>
      <c r="B563" s="283"/>
      <c r="C563" s="83"/>
      <c r="D563" s="83"/>
      <c r="E563" s="83"/>
      <c r="F563" s="83"/>
      <c r="G563" s="83"/>
      <c r="H563" s="284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>
      <c r="A564" s="83"/>
      <c r="B564" s="283"/>
      <c r="C564" s="83"/>
      <c r="D564" s="83"/>
      <c r="E564" s="83"/>
      <c r="F564" s="83"/>
      <c r="G564" s="83"/>
      <c r="H564" s="284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>
      <c r="A565" s="83"/>
      <c r="B565" s="283"/>
      <c r="C565" s="83"/>
      <c r="D565" s="83"/>
      <c r="E565" s="83"/>
      <c r="F565" s="83"/>
      <c r="G565" s="83"/>
      <c r="H565" s="284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>
      <c r="A566" s="83"/>
      <c r="B566" s="283"/>
      <c r="C566" s="83"/>
      <c r="D566" s="83"/>
      <c r="E566" s="83"/>
      <c r="F566" s="83"/>
      <c r="G566" s="83"/>
      <c r="H566" s="284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>
      <c r="A567" s="83"/>
      <c r="B567" s="283"/>
      <c r="C567" s="83"/>
      <c r="D567" s="83"/>
      <c r="E567" s="83"/>
      <c r="F567" s="83"/>
      <c r="G567" s="83"/>
      <c r="H567" s="284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>
      <c r="A568" s="83"/>
      <c r="B568" s="283"/>
      <c r="C568" s="83"/>
      <c r="D568" s="83"/>
      <c r="E568" s="83"/>
      <c r="F568" s="83"/>
      <c r="G568" s="83"/>
      <c r="H568" s="284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>
      <c r="A569" s="83"/>
      <c r="B569" s="283"/>
      <c r="C569" s="83"/>
      <c r="D569" s="83"/>
      <c r="E569" s="83"/>
      <c r="F569" s="83"/>
      <c r="G569" s="83"/>
      <c r="H569" s="284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>
      <c r="A570" s="83"/>
      <c r="B570" s="283"/>
      <c r="C570" s="83"/>
      <c r="D570" s="83"/>
      <c r="E570" s="83"/>
      <c r="F570" s="83"/>
      <c r="G570" s="83"/>
      <c r="H570" s="284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>
      <c r="A571" s="83"/>
      <c r="B571" s="283"/>
      <c r="C571" s="83"/>
      <c r="D571" s="83"/>
      <c r="E571" s="83"/>
      <c r="F571" s="83"/>
      <c r="G571" s="83"/>
      <c r="H571" s="284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>
      <c r="A572" s="83"/>
      <c r="B572" s="283"/>
      <c r="C572" s="83"/>
      <c r="D572" s="83"/>
      <c r="E572" s="83"/>
      <c r="F572" s="83"/>
      <c r="G572" s="83"/>
      <c r="H572" s="284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>
      <c r="A573" s="83"/>
      <c r="B573" s="283"/>
      <c r="C573" s="83"/>
      <c r="D573" s="83"/>
      <c r="E573" s="83"/>
      <c r="F573" s="83"/>
      <c r="G573" s="83"/>
      <c r="H573" s="284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>
      <c r="A574" s="83"/>
      <c r="B574" s="283"/>
      <c r="C574" s="83"/>
      <c r="D574" s="83"/>
      <c r="E574" s="83"/>
      <c r="F574" s="83"/>
      <c r="G574" s="83"/>
      <c r="H574" s="284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>
      <c r="A575" s="83"/>
      <c r="B575" s="283"/>
      <c r="C575" s="83"/>
      <c r="D575" s="83"/>
      <c r="E575" s="83"/>
      <c r="F575" s="83"/>
      <c r="G575" s="83"/>
      <c r="H575" s="284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>
      <c r="A576" s="83"/>
      <c r="B576" s="283"/>
      <c r="C576" s="83"/>
      <c r="D576" s="83"/>
      <c r="E576" s="83"/>
      <c r="F576" s="83"/>
      <c r="G576" s="83"/>
      <c r="H576" s="284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>
      <c r="A577" s="83"/>
      <c r="B577" s="283"/>
      <c r="C577" s="83"/>
      <c r="D577" s="83"/>
      <c r="E577" s="83"/>
      <c r="F577" s="83"/>
      <c r="G577" s="83"/>
      <c r="H577" s="284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>
      <c r="A578" s="83"/>
      <c r="B578" s="283"/>
      <c r="C578" s="83"/>
      <c r="D578" s="83"/>
      <c r="E578" s="83"/>
      <c r="F578" s="83"/>
      <c r="G578" s="83"/>
      <c r="H578" s="284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>
      <c r="A579" s="83"/>
      <c r="B579" s="283"/>
      <c r="C579" s="83"/>
      <c r="D579" s="83"/>
      <c r="E579" s="83"/>
      <c r="F579" s="83"/>
      <c r="G579" s="83"/>
      <c r="H579" s="284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>
      <c r="A580" s="83"/>
      <c r="B580" s="283"/>
      <c r="C580" s="83"/>
      <c r="D580" s="83"/>
      <c r="E580" s="83"/>
      <c r="F580" s="83"/>
      <c r="G580" s="83"/>
      <c r="H580" s="284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>
      <c r="A581" s="83"/>
      <c r="B581" s="283"/>
      <c r="C581" s="83"/>
      <c r="D581" s="83"/>
      <c r="E581" s="83"/>
      <c r="F581" s="83"/>
      <c r="G581" s="83"/>
      <c r="H581" s="284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>
      <c r="A582" s="83"/>
      <c r="B582" s="283"/>
      <c r="C582" s="83"/>
      <c r="D582" s="83"/>
      <c r="E582" s="83"/>
      <c r="F582" s="83"/>
      <c r="G582" s="83"/>
      <c r="H582" s="284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>
      <c r="A583" s="83"/>
      <c r="B583" s="283"/>
      <c r="C583" s="83"/>
      <c r="D583" s="83"/>
      <c r="E583" s="83"/>
      <c r="F583" s="83"/>
      <c r="G583" s="83"/>
      <c r="H583" s="284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>
      <c r="A584" s="83"/>
      <c r="B584" s="283"/>
      <c r="C584" s="83"/>
      <c r="D584" s="83"/>
      <c r="E584" s="83"/>
      <c r="F584" s="83"/>
      <c r="G584" s="83"/>
      <c r="H584" s="284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>
      <c r="A585" s="83"/>
      <c r="B585" s="283"/>
      <c r="C585" s="83"/>
      <c r="D585" s="83"/>
      <c r="E585" s="83"/>
      <c r="F585" s="83"/>
      <c r="G585" s="83"/>
      <c r="H585" s="284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>
      <c r="A586" s="83"/>
      <c r="B586" s="283"/>
      <c r="C586" s="83"/>
      <c r="D586" s="83"/>
      <c r="E586" s="83"/>
      <c r="F586" s="83"/>
      <c r="G586" s="83"/>
      <c r="H586" s="284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>
      <c r="A587" s="83"/>
      <c r="B587" s="283"/>
      <c r="C587" s="83"/>
      <c r="D587" s="83"/>
      <c r="E587" s="83"/>
      <c r="F587" s="83"/>
      <c r="G587" s="83"/>
      <c r="H587" s="284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>
      <c r="A588" s="83"/>
      <c r="B588" s="283"/>
      <c r="C588" s="83"/>
      <c r="D588" s="83"/>
      <c r="E588" s="83"/>
      <c r="F588" s="83"/>
      <c r="G588" s="83"/>
      <c r="H588" s="284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>
      <c r="A589" s="83"/>
      <c r="B589" s="283"/>
      <c r="C589" s="83"/>
      <c r="D589" s="83"/>
      <c r="E589" s="83"/>
      <c r="F589" s="83"/>
      <c r="G589" s="83"/>
      <c r="H589" s="284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>
      <c r="A590" s="83"/>
      <c r="B590" s="283"/>
      <c r="C590" s="83"/>
      <c r="D590" s="83"/>
      <c r="E590" s="83"/>
      <c r="F590" s="83"/>
      <c r="G590" s="83"/>
      <c r="H590" s="284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>
      <c r="A591" s="83"/>
      <c r="B591" s="283"/>
      <c r="C591" s="83"/>
      <c r="D591" s="83"/>
      <c r="E591" s="83"/>
      <c r="F591" s="83"/>
      <c r="G591" s="83"/>
      <c r="H591" s="284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>
      <c r="A592" s="83"/>
      <c r="B592" s="283"/>
      <c r="C592" s="83"/>
      <c r="D592" s="83"/>
      <c r="E592" s="83"/>
      <c r="F592" s="83"/>
      <c r="G592" s="83"/>
      <c r="H592" s="284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>
      <c r="A593" s="83"/>
      <c r="B593" s="283"/>
      <c r="C593" s="83"/>
      <c r="D593" s="83"/>
      <c r="E593" s="83"/>
      <c r="F593" s="83"/>
      <c r="G593" s="83"/>
      <c r="H593" s="284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>
      <c r="A594" s="83"/>
      <c r="B594" s="283"/>
      <c r="C594" s="83"/>
      <c r="D594" s="83"/>
      <c r="E594" s="83"/>
      <c r="F594" s="83"/>
      <c r="G594" s="83"/>
      <c r="H594" s="284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>
      <c r="A595" s="83"/>
      <c r="B595" s="283"/>
      <c r="C595" s="83"/>
      <c r="D595" s="83"/>
      <c r="E595" s="83"/>
      <c r="F595" s="83"/>
      <c r="G595" s="83"/>
      <c r="H595" s="284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>
      <c r="A596" s="83"/>
      <c r="B596" s="283"/>
      <c r="C596" s="83"/>
      <c r="D596" s="83"/>
      <c r="E596" s="83"/>
      <c r="F596" s="83"/>
      <c r="G596" s="83"/>
      <c r="H596" s="284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>
      <c r="A597" s="83"/>
      <c r="B597" s="283"/>
      <c r="C597" s="83"/>
      <c r="D597" s="83"/>
      <c r="E597" s="83"/>
      <c r="F597" s="83"/>
      <c r="G597" s="83"/>
      <c r="H597" s="284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>
      <c r="A598" s="83"/>
      <c r="B598" s="283"/>
      <c r="C598" s="83"/>
      <c r="D598" s="83"/>
      <c r="E598" s="83"/>
      <c r="F598" s="83"/>
      <c r="G598" s="83"/>
      <c r="H598" s="284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>
      <c r="A599" s="83"/>
      <c r="B599" s="283"/>
      <c r="C599" s="83"/>
      <c r="D599" s="83"/>
      <c r="E599" s="83"/>
      <c r="F599" s="83"/>
      <c r="G599" s="83"/>
      <c r="H599" s="284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>
      <c r="A600" s="83"/>
      <c r="B600" s="283"/>
      <c r="C600" s="83"/>
      <c r="D600" s="83"/>
      <c r="E600" s="83"/>
      <c r="F600" s="83"/>
      <c r="G600" s="83"/>
      <c r="H600" s="284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>
      <c r="A601" s="83"/>
      <c r="B601" s="283"/>
      <c r="C601" s="83"/>
      <c r="D601" s="83"/>
      <c r="E601" s="83"/>
      <c r="F601" s="83"/>
      <c r="G601" s="83"/>
      <c r="H601" s="284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>
      <c r="A602" s="83"/>
      <c r="B602" s="283"/>
      <c r="C602" s="83"/>
      <c r="D602" s="83"/>
      <c r="E602" s="83"/>
      <c r="F602" s="83"/>
      <c r="G602" s="83"/>
      <c r="H602" s="284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>
      <c r="A603" s="83"/>
      <c r="B603" s="283"/>
      <c r="C603" s="83"/>
      <c r="D603" s="83"/>
      <c r="E603" s="83"/>
      <c r="F603" s="83"/>
      <c r="G603" s="83"/>
      <c r="H603" s="284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>
      <c r="A604" s="83"/>
      <c r="B604" s="283"/>
      <c r="C604" s="83"/>
      <c r="D604" s="83"/>
      <c r="E604" s="83"/>
      <c r="F604" s="83"/>
      <c r="G604" s="83"/>
      <c r="H604" s="284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>
      <c r="A605" s="83"/>
      <c r="B605" s="283"/>
      <c r="C605" s="83"/>
      <c r="D605" s="83"/>
      <c r="E605" s="83"/>
      <c r="F605" s="83"/>
      <c r="G605" s="83"/>
      <c r="H605" s="284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>
      <c r="A606" s="83"/>
      <c r="B606" s="283"/>
      <c r="C606" s="83"/>
      <c r="D606" s="83"/>
      <c r="E606" s="83"/>
      <c r="F606" s="83"/>
      <c r="G606" s="83"/>
      <c r="H606" s="284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>
      <c r="A607" s="83"/>
      <c r="B607" s="283"/>
      <c r="C607" s="83"/>
      <c r="D607" s="83"/>
      <c r="E607" s="83"/>
      <c r="F607" s="83"/>
      <c r="G607" s="83"/>
      <c r="H607" s="284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>
      <c r="A608" s="83"/>
      <c r="B608" s="283"/>
      <c r="C608" s="83"/>
      <c r="D608" s="83"/>
      <c r="E608" s="83"/>
      <c r="F608" s="83"/>
      <c r="G608" s="83"/>
      <c r="H608" s="284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>
      <c r="A609" s="83"/>
      <c r="B609" s="283"/>
      <c r="C609" s="83"/>
      <c r="D609" s="83"/>
      <c r="E609" s="83"/>
      <c r="F609" s="83"/>
      <c r="G609" s="83"/>
      <c r="H609" s="284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>
      <c r="A610" s="83"/>
      <c r="B610" s="283"/>
      <c r="C610" s="83"/>
      <c r="D610" s="83"/>
      <c r="E610" s="83"/>
      <c r="F610" s="83"/>
      <c r="G610" s="83"/>
      <c r="H610" s="284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>
      <c r="A611" s="83"/>
      <c r="B611" s="283"/>
      <c r="C611" s="83"/>
      <c r="D611" s="83"/>
      <c r="E611" s="83"/>
      <c r="F611" s="83"/>
      <c r="G611" s="83"/>
      <c r="H611" s="284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>
      <c r="A612" s="83"/>
      <c r="B612" s="283"/>
      <c r="C612" s="83"/>
      <c r="D612" s="83"/>
      <c r="E612" s="83"/>
      <c r="F612" s="83"/>
      <c r="G612" s="83"/>
      <c r="H612" s="284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>
      <c r="A613" s="83"/>
      <c r="B613" s="283"/>
      <c r="C613" s="83"/>
      <c r="D613" s="83"/>
      <c r="E613" s="83"/>
      <c r="F613" s="83"/>
      <c r="G613" s="83"/>
      <c r="H613" s="284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>
      <c r="A614" s="83"/>
      <c r="B614" s="283"/>
      <c r="C614" s="83"/>
      <c r="D614" s="83"/>
      <c r="E614" s="83"/>
      <c r="F614" s="83"/>
      <c r="G614" s="83"/>
      <c r="H614" s="284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>
      <c r="A615" s="83"/>
      <c r="B615" s="283"/>
      <c r="C615" s="83"/>
      <c r="D615" s="83"/>
      <c r="E615" s="83"/>
      <c r="F615" s="83"/>
      <c r="G615" s="83"/>
      <c r="H615" s="284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>
      <c r="A616" s="83"/>
      <c r="B616" s="283"/>
      <c r="C616" s="83"/>
      <c r="D616" s="83"/>
      <c r="E616" s="83"/>
      <c r="F616" s="83"/>
      <c r="G616" s="83"/>
      <c r="H616" s="284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>
      <c r="A617" s="83"/>
      <c r="B617" s="283"/>
      <c r="C617" s="83"/>
      <c r="D617" s="83"/>
      <c r="E617" s="83"/>
      <c r="F617" s="83"/>
      <c r="G617" s="83"/>
      <c r="H617" s="284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>
      <c r="A618" s="83"/>
      <c r="B618" s="283"/>
      <c r="C618" s="83"/>
      <c r="D618" s="83"/>
      <c r="E618" s="83"/>
      <c r="F618" s="83"/>
      <c r="G618" s="83"/>
      <c r="H618" s="284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>
      <c r="A619" s="83"/>
      <c r="B619" s="283"/>
      <c r="C619" s="83"/>
      <c r="D619" s="83"/>
      <c r="E619" s="83"/>
      <c r="F619" s="83"/>
      <c r="G619" s="83"/>
      <c r="H619" s="284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>
      <c r="A620" s="83"/>
      <c r="B620" s="283"/>
      <c r="C620" s="83"/>
      <c r="D620" s="83"/>
      <c r="E620" s="83"/>
      <c r="F620" s="83"/>
      <c r="G620" s="83"/>
      <c r="H620" s="284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>
      <c r="A621" s="83"/>
      <c r="B621" s="283"/>
      <c r="C621" s="83"/>
      <c r="D621" s="83"/>
      <c r="E621" s="83"/>
      <c r="F621" s="83"/>
      <c r="G621" s="83"/>
      <c r="H621" s="284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>
      <c r="A622" s="83"/>
      <c r="B622" s="283"/>
      <c r="C622" s="83"/>
      <c r="D622" s="83"/>
      <c r="E622" s="83"/>
      <c r="F622" s="83"/>
      <c r="G622" s="83"/>
      <c r="H622" s="284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>
      <c r="A623" s="83"/>
      <c r="B623" s="283"/>
      <c r="C623" s="83"/>
      <c r="D623" s="83"/>
      <c r="E623" s="83"/>
      <c r="F623" s="83"/>
      <c r="G623" s="83"/>
      <c r="H623" s="284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>
      <c r="A624" s="83"/>
      <c r="B624" s="283"/>
      <c r="C624" s="83"/>
      <c r="D624" s="83"/>
      <c r="E624" s="83"/>
      <c r="F624" s="83"/>
      <c r="G624" s="83"/>
      <c r="H624" s="284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>
      <c r="A625" s="83"/>
      <c r="B625" s="283"/>
      <c r="C625" s="83"/>
      <c r="D625" s="83"/>
      <c r="E625" s="83"/>
      <c r="F625" s="83"/>
      <c r="G625" s="83"/>
      <c r="H625" s="284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>
      <c r="A626" s="83"/>
      <c r="B626" s="283"/>
      <c r="C626" s="83"/>
      <c r="D626" s="83"/>
      <c r="E626" s="83"/>
      <c r="F626" s="83"/>
      <c r="G626" s="83"/>
      <c r="H626" s="284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>
      <c r="A627" s="83"/>
      <c r="B627" s="283"/>
      <c r="C627" s="83"/>
      <c r="D627" s="83"/>
      <c r="E627" s="83"/>
      <c r="F627" s="83"/>
      <c r="G627" s="83"/>
      <c r="H627" s="284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>
      <c r="A628" s="83"/>
      <c r="B628" s="283"/>
      <c r="C628" s="83"/>
      <c r="D628" s="83"/>
      <c r="E628" s="83"/>
      <c r="F628" s="83"/>
      <c r="G628" s="83"/>
      <c r="H628" s="284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>
      <c r="A629" s="83"/>
      <c r="B629" s="283"/>
      <c r="C629" s="83"/>
      <c r="D629" s="83"/>
      <c r="E629" s="83"/>
      <c r="F629" s="83"/>
      <c r="G629" s="83"/>
      <c r="H629" s="284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>
      <c r="A630" s="83"/>
      <c r="B630" s="283"/>
      <c r="C630" s="83"/>
      <c r="D630" s="83"/>
      <c r="E630" s="83"/>
      <c r="F630" s="83"/>
      <c r="G630" s="83"/>
      <c r="H630" s="284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>
      <c r="A631" s="83"/>
      <c r="B631" s="283"/>
      <c r="C631" s="83"/>
      <c r="D631" s="83"/>
      <c r="E631" s="83"/>
      <c r="F631" s="83"/>
      <c r="G631" s="83"/>
      <c r="H631" s="284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>
      <c r="A632" s="83"/>
      <c r="B632" s="283"/>
      <c r="C632" s="83"/>
      <c r="D632" s="83"/>
      <c r="E632" s="83"/>
      <c r="F632" s="83"/>
      <c r="G632" s="83"/>
      <c r="H632" s="284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>
      <c r="A633" s="83"/>
      <c r="B633" s="283"/>
      <c r="C633" s="83"/>
      <c r="D633" s="83"/>
      <c r="E633" s="83"/>
      <c r="F633" s="83"/>
      <c r="G633" s="83"/>
      <c r="H633" s="284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>
      <c r="A634" s="83"/>
      <c r="B634" s="283"/>
      <c r="C634" s="83"/>
      <c r="D634" s="83"/>
      <c r="E634" s="83"/>
      <c r="F634" s="83"/>
      <c r="G634" s="83"/>
      <c r="H634" s="284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>
      <c r="A635" s="83"/>
      <c r="B635" s="283"/>
      <c r="C635" s="83"/>
      <c r="D635" s="83"/>
      <c r="E635" s="83"/>
      <c r="F635" s="83"/>
      <c r="G635" s="83"/>
      <c r="H635" s="284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>
      <c r="A636" s="83"/>
      <c r="B636" s="283"/>
      <c r="C636" s="83"/>
      <c r="D636" s="83"/>
      <c r="E636" s="83"/>
      <c r="F636" s="83"/>
      <c r="G636" s="83"/>
      <c r="H636" s="284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>
      <c r="A637" s="83"/>
      <c r="B637" s="283"/>
      <c r="C637" s="83"/>
      <c r="D637" s="83"/>
      <c r="E637" s="83"/>
      <c r="F637" s="83"/>
      <c r="G637" s="83"/>
      <c r="H637" s="284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>
      <c r="A638" s="83"/>
      <c r="B638" s="283"/>
      <c r="C638" s="83"/>
      <c r="D638" s="83"/>
      <c r="E638" s="83"/>
      <c r="F638" s="83"/>
      <c r="G638" s="83"/>
      <c r="H638" s="284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>
      <c r="A639" s="83"/>
      <c r="B639" s="283"/>
      <c r="C639" s="83"/>
      <c r="D639" s="83"/>
      <c r="E639" s="83"/>
      <c r="F639" s="83"/>
      <c r="G639" s="83"/>
      <c r="H639" s="284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>
      <c r="A640" s="83"/>
      <c r="B640" s="283"/>
      <c r="C640" s="83"/>
      <c r="D640" s="83"/>
      <c r="E640" s="83"/>
      <c r="F640" s="83"/>
      <c r="G640" s="83"/>
      <c r="H640" s="284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>
      <c r="A641" s="83"/>
      <c r="B641" s="283"/>
      <c r="C641" s="83"/>
      <c r="D641" s="83"/>
      <c r="E641" s="83"/>
      <c r="F641" s="83"/>
      <c r="G641" s="83"/>
      <c r="H641" s="284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>
      <c r="A642" s="83"/>
      <c r="B642" s="283"/>
      <c r="C642" s="83"/>
      <c r="D642" s="83"/>
      <c r="E642" s="83"/>
      <c r="F642" s="83"/>
      <c r="G642" s="83"/>
      <c r="H642" s="284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>
      <c r="A643" s="83"/>
      <c r="B643" s="283"/>
      <c r="C643" s="83"/>
      <c r="D643" s="83"/>
      <c r="E643" s="83"/>
      <c r="F643" s="83"/>
      <c r="G643" s="83"/>
      <c r="H643" s="284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>
      <c r="A644" s="83"/>
      <c r="B644" s="283"/>
      <c r="C644" s="83"/>
      <c r="D644" s="83"/>
      <c r="E644" s="83"/>
      <c r="F644" s="83"/>
      <c r="G644" s="83"/>
      <c r="H644" s="284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>
      <c r="A645" s="83"/>
      <c r="B645" s="283"/>
      <c r="C645" s="83"/>
      <c r="D645" s="83"/>
      <c r="E645" s="83"/>
      <c r="F645" s="83"/>
      <c r="G645" s="83"/>
      <c r="H645" s="284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>
      <c r="A646" s="83"/>
      <c r="B646" s="283"/>
      <c r="C646" s="83"/>
      <c r="D646" s="83"/>
      <c r="E646" s="83"/>
      <c r="F646" s="83"/>
      <c r="G646" s="83"/>
      <c r="H646" s="284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>
      <c r="A647" s="83"/>
      <c r="B647" s="283"/>
      <c r="C647" s="83"/>
      <c r="D647" s="83"/>
      <c r="E647" s="83"/>
      <c r="F647" s="83"/>
      <c r="G647" s="83"/>
      <c r="H647" s="284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>
      <c r="A648" s="83"/>
      <c r="B648" s="283"/>
      <c r="C648" s="83"/>
      <c r="D648" s="83"/>
      <c r="E648" s="83"/>
      <c r="F648" s="83"/>
      <c r="G648" s="83"/>
      <c r="H648" s="284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>
      <c r="A649" s="83"/>
      <c r="B649" s="283"/>
      <c r="C649" s="83"/>
      <c r="D649" s="83"/>
      <c r="E649" s="83"/>
      <c r="F649" s="83"/>
      <c r="G649" s="83"/>
      <c r="H649" s="284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>
      <c r="A650" s="83"/>
      <c r="B650" s="283"/>
      <c r="C650" s="83"/>
      <c r="D650" s="83"/>
      <c r="E650" s="83"/>
      <c r="F650" s="83"/>
      <c r="G650" s="83"/>
      <c r="H650" s="284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>
      <c r="A651" s="83"/>
      <c r="B651" s="283"/>
      <c r="C651" s="83"/>
      <c r="D651" s="83"/>
      <c r="E651" s="83"/>
      <c r="F651" s="83"/>
      <c r="G651" s="83"/>
      <c r="H651" s="284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>
      <c r="A652" s="83"/>
      <c r="B652" s="283"/>
      <c r="C652" s="83"/>
      <c r="D652" s="83"/>
      <c r="E652" s="83"/>
      <c r="F652" s="83"/>
      <c r="G652" s="83"/>
      <c r="H652" s="284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>
      <c r="A653" s="83"/>
      <c r="B653" s="283"/>
      <c r="C653" s="83"/>
      <c r="D653" s="83"/>
      <c r="E653" s="83"/>
      <c r="F653" s="83"/>
      <c r="G653" s="83"/>
      <c r="H653" s="284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>
      <c r="A654" s="83"/>
      <c r="B654" s="283"/>
      <c r="C654" s="83"/>
      <c r="D654" s="83"/>
      <c r="E654" s="83"/>
      <c r="F654" s="83"/>
      <c r="G654" s="83"/>
      <c r="H654" s="284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>
      <c r="A655" s="83"/>
      <c r="B655" s="283"/>
      <c r="C655" s="83"/>
      <c r="D655" s="83"/>
      <c r="E655" s="83"/>
      <c r="F655" s="83"/>
      <c r="G655" s="83"/>
      <c r="H655" s="284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>
      <c r="A656" s="83"/>
      <c r="B656" s="283"/>
      <c r="C656" s="83"/>
      <c r="D656" s="83"/>
      <c r="E656" s="83"/>
      <c r="F656" s="83"/>
      <c r="G656" s="83"/>
      <c r="H656" s="284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>
      <c r="A657" s="83"/>
      <c r="B657" s="283"/>
      <c r="C657" s="83"/>
      <c r="D657" s="83"/>
      <c r="E657" s="83"/>
      <c r="F657" s="83"/>
      <c r="G657" s="83"/>
      <c r="H657" s="284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>
      <c r="A658" s="83"/>
      <c r="B658" s="283"/>
      <c r="C658" s="83"/>
      <c r="D658" s="83"/>
      <c r="E658" s="83"/>
      <c r="F658" s="83"/>
      <c r="G658" s="83"/>
      <c r="H658" s="284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>
      <c r="A659" s="83"/>
      <c r="B659" s="283"/>
      <c r="C659" s="83"/>
      <c r="D659" s="83"/>
      <c r="E659" s="83"/>
      <c r="F659" s="83"/>
      <c r="G659" s="83"/>
      <c r="H659" s="284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>
      <c r="A660" s="83"/>
      <c r="B660" s="283"/>
      <c r="C660" s="83"/>
      <c r="D660" s="83"/>
      <c r="E660" s="83"/>
      <c r="F660" s="83"/>
      <c r="G660" s="83"/>
      <c r="H660" s="284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>
      <c r="A661" s="83"/>
      <c r="B661" s="283"/>
      <c r="C661" s="83"/>
      <c r="D661" s="83"/>
      <c r="E661" s="83"/>
      <c r="F661" s="83"/>
      <c r="G661" s="83"/>
      <c r="H661" s="284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>
      <c r="A662" s="83"/>
      <c r="B662" s="283"/>
      <c r="C662" s="83"/>
      <c r="D662" s="83"/>
      <c r="E662" s="83"/>
      <c r="F662" s="83"/>
      <c r="G662" s="83"/>
      <c r="H662" s="284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>
      <c r="A663" s="83"/>
      <c r="B663" s="283"/>
      <c r="C663" s="83"/>
      <c r="D663" s="83"/>
      <c r="E663" s="83"/>
      <c r="F663" s="83"/>
      <c r="G663" s="83"/>
      <c r="H663" s="284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>
      <c r="A664" s="83"/>
      <c r="B664" s="283"/>
      <c r="C664" s="83"/>
      <c r="D664" s="83"/>
      <c r="E664" s="83"/>
      <c r="F664" s="83"/>
      <c r="G664" s="83"/>
      <c r="H664" s="284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>
      <c r="A665" s="83"/>
      <c r="B665" s="283"/>
      <c r="C665" s="83"/>
      <c r="D665" s="83"/>
      <c r="E665" s="83"/>
      <c r="F665" s="83"/>
      <c r="G665" s="83"/>
      <c r="H665" s="284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>
      <c r="A666" s="83"/>
      <c r="B666" s="283"/>
      <c r="C666" s="83"/>
      <c r="D666" s="83"/>
      <c r="E666" s="83"/>
      <c r="F666" s="83"/>
      <c r="G666" s="83"/>
      <c r="H666" s="284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>
      <c r="A667" s="83"/>
      <c r="B667" s="283"/>
      <c r="C667" s="83"/>
      <c r="D667" s="83"/>
      <c r="E667" s="83"/>
      <c r="F667" s="83"/>
      <c r="G667" s="83"/>
      <c r="H667" s="284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>
      <c r="A668" s="83"/>
      <c r="B668" s="283"/>
      <c r="C668" s="83"/>
      <c r="D668" s="83"/>
      <c r="E668" s="83"/>
      <c r="F668" s="83"/>
      <c r="G668" s="83"/>
      <c r="H668" s="284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>
      <c r="A669" s="83"/>
      <c r="B669" s="283"/>
      <c r="C669" s="83"/>
      <c r="D669" s="83"/>
      <c r="E669" s="83"/>
      <c r="F669" s="83"/>
      <c r="G669" s="83"/>
      <c r="H669" s="284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>
      <c r="A670" s="83"/>
      <c r="B670" s="283"/>
      <c r="C670" s="83"/>
      <c r="D670" s="83"/>
      <c r="E670" s="83"/>
      <c r="F670" s="83"/>
      <c r="G670" s="83"/>
      <c r="H670" s="284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>
      <c r="A671" s="83"/>
      <c r="B671" s="283"/>
      <c r="C671" s="83"/>
      <c r="D671" s="83"/>
      <c r="E671" s="83"/>
      <c r="F671" s="83"/>
      <c r="G671" s="83"/>
      <c r="H671" s="284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>
      <c r="A672" s="83"/>
      <c r="B672" s="283"/>
      <c r="C672" s="83"/>
      <c r="D672" s="83"/>
      <c r="E672" s="83"/>
      <c r="F672" s="83"/>
      <c r="G672" s="83"/>
      <c r="H672" s="284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>
      <c r="A673" s="83"/>
      <c r="B673" s="283"/>
      <c r="C673" s="83"/>
      <c r="D673" s="83"/>
      <c r="E673" s="83"/>
      <c r="F673" s="83"/>
      <c r="G673" s="83"/>
      <c r="H673" s="284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>
      <c r="A674" s="83"/>
      <c r="B674" s="283"/>
      <c r="C674" s="83"/>
      <c r="D674" s="83"/>
      <c r="E674" s="83"/>
      <c r="F674" s="83"/>
      <c r="G674" s="83"/>
      <c r="H674" s="284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>
      <c r="A675" s="83"/>
      <c r="B675" s="283"/>
      <c r="C675" s="83"/>
      <c r="D675" s="83"/>
      <c r="E675" s="83"/>
      <c r="F675" s="83"/>
      <c r="G675" s="83"/>
      <c r="H675" s="284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>
      <c r="A676" s="83"/>
      <c r="B676" s="283"/>
      <c r="C676" s="83"/>
      <c r="D676" s="83"/>
      <c r="E676" s="83"/>
      <c r="F676" s="83"/>
      <c r="G676" s="83"/>
      <c r="H676" s="284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>
      <c r="A677" s="83"/>
      <c r="B677" s="283"/>
      <c r="C677" s="83"/>
      <c r="D677" s="83"/>
      <c r="E677" s="83"/>
      <c r="F677" s="83"/>
      <c r="G677" s="83"/>
      <c r="H677" s="284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>
      <c r="A678" s="83"/>
      <c r="B678" s="283"/>
      <c r="C678" s="83"/>
      <c r="D678" s="83"/>
      <c r="E678" s="83"/>
      <c r="F678" s="83"/>
      <c r="G678" s="83"/>
      <c r="H678" s="284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>
      <c r="A679" s="83"/>
      <c r="B679" s="283"/>
      <c r="C679" s="83"/>
      <c r="D679" s="83"/>
      <c r="E679" s="83"/>
      <c r="F679" s="83"/>
      <c r="G679" s="83"/>
      <c r="H679" s="284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>
      <c r="A680" s="83"/>
      <c r="B680" s="283"/>
      <c r="C680" s="83"/>
      <c r="D680" s="83"/>
      <c r="E680" s="83"/>
      <c r="F680" s="83"/>
      <c r="G680" s="83"/>
      <c r="H680" s="284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>
      <c r="A681" s="83"/>
      <c r="B681" s="283"/>
      <c r="C681" s="83"/>
      <c r="D681" s="83"/>
      <c r="E681" s="83"/>
      <c r="F681" s="83"/>
      <c r="G681" s="83"/>
      <c r="H681" s="284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>
      <c r="A682" s="83"/>
      <c r="B682" s="283"/>
      <c r="C682" s="83"/>
      <c r="D682" s="83"/>
      <c r="E682" s="83"/>
      <c r="F682" s="83"/>
      <c r="G682" s="83"/>
      <c r="H682" s="284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>
      <c r="A683" s="83"/>
      <c r="B683" s="283"/>
      <c r="C683" s="83"/>
      <c r="D683" s="83"/>
      <c r="E683" s="83"/>
      <c r="F683" s="83"/>
      <c r="G683" s="83"/>
      <c r="H683" s="284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>
      <c r="A684" s="83"/>
      <c r="B684" s="283"/>
      <c r="C684" s="83"/>
      <c r="D684" s="83"/>
      <c r="E684" s="83"/>
      <c r="F684" s="83"/>
      <c r="G684" s="83"/>
      <c r="H684" s="284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>
      <c r="A685" s="83"/>
      <c r="B685" s="283"/>
      <c r="C685" s="83"/>
      <c r="D685" s="83"/>
      <c r="E685" s="83"/>
      <c r="F685" s="83"/>
      <c r="G685" s="83"/>
      <c r="H685" s="284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>
      <c r="A686" s="83"/>
      <c r="B686" s="283"/>
      <c r="C686" s="83"/>
      <c r="D686" s="83"/>
      <c r="E686" s="83"/>
      <c r="F686" s="83"/>
      <c r="G686" s="83"/>
      <c r="H686" s="284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>
      <c r="A687" s="83"/>
      <c r="B687" s="283"/>
      <c r="C687" s="83"/>
      <c r="D687" s="83"/>
      <c r="E687" s="83"/>
      <c r="F687" s="83"/>
      <c r="G687" s="83"/>
      <c r="H687" s="284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>
      <c r="A688" s="83"/>
      <c r="B688" s="283"/>
      <c r="C688" s="83"/>
      <c r="D688" s="83"/>
      <c r="E688" s="83"/>
      <c r="F688" s="83"/>
      <c r="G688" s="83"/>
      <c r="H688" s="284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>
      <c r="A689" s="83"/>
      <c r="B689" s="283"/>
      <c r="C689" s="83"/>
      <c r="D689" s="83"/>
      <c r="E689" s="83"/>
      <c r="F689" s="83"/>
      <c r="G689" s="83"/>
      <c r="H689" s="284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>
      <c r="A690" s="83"/>
      <c r="B690" s="283"/>
      <c r="C690" s="83"/>
      <c r="D690" s="83"/>
      <c r="E690" s="83"/>
      <c r="F690" s="83"/>
      <c r="G690" s="83"/>
      <c r="H690" s="284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>
      <c r="A691" s="83"/>
      <c r="B691" s="283"/>
      <c r="C691" s="83"/>
      <c r="D691" s="83"/>
      <c r="E691" s="83"/>
      <c r="F691" s="83"/>
      <c r="G691" s="83"/>
      <c r="H691" s="284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>
      <c r="A692" s="83"/>
      <c r="B692" s="283"/>
      <c r="C692" s="83"/>
      <c r="D692" s="83"/>
      <c r="E692" s="83"/>
      <c r="F692" s="83"/>
      <c r="G692" s="83"/>
      <c r="H692" s="284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>
      <c r="A693" s="83"/>
      <c r="B693" s="283"/>
      <c r="C693" s="83"/>
      <c r="D693" s="83"/>
      <c r="E693" s="83"/>
      <c r="F693" s="83"/>
      <c r="G693" s="83"/>
      <c r="H693" s="284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>
      <c r="A694" s="83"/>
      <c r="B694" s="283"/>
      <c r="C694" s="83"/>
      <c r="D694" s="83"/>
      <c r="E694" s="83"/>
      <c r="F694" s="83"/>
      <c r="G694" s="83"/>
      <c r="H694" s="284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>
      <c r="A695" s="83"/>
      <c r="B695" s="283"/>
      <c r="C695" s="83"/>
      <c r="D695" s="83"/>
      <c r="E695" s="83"/>
      <c r="F695" s="83"/>
      <c r="G695" s="83"/>
      <c r="H695" s="284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>
      <c r="A696" s="83"/>
      <c r="B696" s="283"/>
      <c r="C696" s="83"/>
      <c r="D696" s="83"/>
      <c r="E696" s="83"/>
      <c r="F696" s="83"/>
      <c r="G696" s="83"/>
      <c r="H696" s="284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>
      <c r="A697" s="83"/>
      <c r="B697" s="283"/>
      <c r="C697" s="83"/>
      <c r="D697" s="83"/>
      <c r="E697" s="83"/>
      <c r="F697" s="83"/>
      <c r="G697" s="83"/>
      <c r="H697" s="284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>
      <c r="A698" s="83"/>
      <c r="B698" s="283"/>
      <c r="C698" s="83"/>
      <c r="D698" s="83"/>
      <c r="E698" s="83"/>
      <c r="F698" s="83"/>
      <c r="G698" s="83"/>
      <c r="H698" s="284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>
      <c r="A699" s="83"/>
      <c r="B699" s="283"/>
      <c r="C699" s="83"/>
      <c r="D699" s="83"/>
      <c r="E699" s="83"/>
      <c r="F699" s="83"/>
      <c r="G699" s="83"/>
      <c r="H699" s="284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>
      <c r="A700" s="83"/>
      <c r="B700" s="283"/>
      <c r="C700" s="83"/>
      <c r="D700" s="83"/>
      <c r="E700" s="83"/>
      <c r="F700" s="83"/>
      <c r="G700" s="83"/>
      <c r="H700" s="284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>
      <c r="A701" s="83"/>
      <c r="B701" s="283"/>
      <c r="C701" s="83"/>
      <c r="D701" s="83"/>
      <c r="E701" s="83"/>
      <c r="F701" s="83"/>
      <c r="G701" s="83"/>
      <c r="H701" s="284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>
      <c r="A702" s="83"/>
      <c r="B702" s="283"/>
      <c r="C702" s="83"/>
      <c r="D702" s="83"/>
      <c r="E702" s="83"/>
      <c r="F702" s="83"/>
      <c r="G702" s="83"/>
      <c r="H702" s="284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>
      <c r="A703" s="83"/>
      <c r="B703" s="283"/>
      <c r="C703" s="83"/>
      <c r="D703" s="83"/>
      <c r="E703" s="83"/>
      <c r="F703" s="83"/>
      <c r="G703" s="83"/>
      <c r="H703" s="284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>
      <c r="A704" s="83"/>
      <c r="B704" s="283"/>
      <c r="C704" s="83"/>
      <c r="D704" s="83"/>
      <c r="E704" s="83"/>
      <c r="F704" s="83"/>
      <c r="G704" s="83"/>
      <c r="H704" s="284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>
      <c r="A705" s="83"/>
      <c r="B705" s="283"/>
      <c r="C705" s="83"/>
      <c r="D705" s="83"/>
      <c r="E705" s="83"/>
      <c r="F705" s="83"/>
      <c r="G705" s="83"/>
      <c r="H705" s="284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>
      <c r="A706" s="83"/>
      <c r="B706" s="283"/>
      <c r="C706" s="83"/>
      <c r="D706" s="83"/>
      <c r="E706" s="83"/>
      <c r="F706" s="83"/>
      <c r="G706" s="83"/>
      <c r="H706" s="284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>
      <c r="A707" s="83"/>
      <c r="B707" s="283"/>
      <c r="C707" s="83"/>
      <c r="D707" s="83"/>
      <c r="E707" s="83"/>
      <c r="F707" s="83"/>
      <c r="G707" s="83"/>
      <c r="H707" s="284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>
      <c r="A708" s="83"/>
      <c r="B708" s="283"/>
      <c r="C708" s="83"/>
      <c r="D708" s="83"/>
      <c r="E708" s="83"/>
      <c r="F708" s="83"/>
      <c r="G708" s="83"/>
      <c r="H708" s="284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>
      <c r="A709" s="83"/>
      <c r="B709" s="283"/>
      <c r="C709" s="83"/>
      <c r="D709" s="83"/>
      <c r="E709" s="83"/>
      <c r="F709" s="83"/>
      <c r="G709" s="83"/>
      <c r="H709" s="284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>
      <c r="A710" s="83"/>
      <c r="B710" s="283"/>
      <c r="C710" s="83"/>
      <c r="D710" s="83"/>
      <c r="E710" s="83"/>
      <c r="F710" s="83"/>
      <c r="G710" s="83"/>
      <c r="H710" s="284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>
      <c r="A711" s="83"/>
      <c r="B711" s="283"/>
      <c r="C711" s="83"/>
      <c r="D711" s="83"/>
      <c r="E711" s="83"/>
      <c r="F711" s="83"/>
      <c r="G711" s="83"/>
      <c r="H711" s="284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>
      <c r="A712" s="83"/>
      <c r="B712" s="283"/>
      <c r="C712" s="83"/>
      <c r="D712" s="83"/>
      <c r="E712" s="83"/>
      <c r="F712" s="83"/>
      <c r="G712" s="83"/>
      <c r="H712" s="284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>
      <c r="A713" s="83"/>
      <c r="B713" s="283"/>
      <c r="C713" s="83"/>
      <c r="D713" s="83"/>
      <c r="E713" s="83"/>
      <c r="F713" s="83"/>
      <c r="G713" s="83"/>
      <c r="H713" s="284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>
      <c r="A714" s="83"/>
      <c r="B714" s="283"/>
      <c r="C714" s="83"/>
      <c r="D714" s="83"/>
      <c r="E714" s="83"/>
      <c r="F714" s="83"/>
      <c r="G714" s="83"/>
      <c r="H714" s="284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>
      <c r="A715" s="83"/>
      <c r="B715" s="283"/>
      <c r="C715" s="83"/>
      <c r="D715" s="83"/>
      <c r="E715" s="83"/>
      <c r="F715" s="83"/>
      <c r="G715" s="83"/>
      <c r="H715" s="284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>
      <c r="A716" s="83"/>
      <c r="B716" s="283"/>
      <c r="C716" s="83"/>
      <c r="D716" s="83"/>
      <c r="E716" s="83"/>
      <c r="F716" s="83"/>
      <c r="G716" s="83"/>
      <c r="H716" s="284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>
      <c r="A717" s="83"/>
      <c r="B717" s="283"/>
      <c r="C717" s="83"/>
      <c r="D717" s="83"/>
      <c r="E717" s="83"/>
      <c r="F717" s="83"/>
      <c r="G717" s="83"/>
      <c r="H717" s="284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>
      <c r="A718" s="83"/>
      <c r="B718" s="283"/>
      <c r="C718" s="83"/>
      <c r="D718" s="83"/>
      <c r="E718" s="83"/>
      <c r="F718" s="83"/>
      <c r="G718" s="83"/>
      <c r="H718" s="284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>
      <c r="A719" s="83"/>
      <c r="B719" s="283"/>
      <c r="C719" s="83"/>
      <c r="D719" s="83"/>
      <c r="E719" s="83"/>
      <c r="F719" s="83"/>
      <c r="G719" s="83"/>
      <c r="H719" s="284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>
      <c r="A720" s="83"/>
      <c r="B720" s="283"/>
      <c r="C720" s="83"/>
      <c r="D720" s="83"/>
      <c r="E720" s="83"/>
      <c r="F720" s="83"/>
      <c r="G720" s="83"/>
      <c r="H720" s="284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>
      <c r="A721" s="83"/>
      <c r="B721" s="283"/>
      <c r="C721" s="83"/>
      <c r="D721" s="83"/>
      <c r="E721" s="83"/>
      <c r="F721" s="83"/>
      <c r="G721" s="83"/>
      <c r="H721" s="284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>
      <c r="A722" s="83"/>
      <c r="B722" s="283"/>
      <c r="C722" s="83"/>
      <c r="D722" s="83"/>
      <c r="E722" s="83"/>
      <c r="F722" s="83"/>
      <c r="G722" s="83"/>
      <c r="H722" s="284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>
      <c r="A723" s="83"/>
      <c r="B723" s="283"/>
      <c r="C723" s="83"/>
      <c r="D723" s="83"/>
      <c r="E723" s="83"/>
      <c r="F723" s="83"/>
      <c r="G723" s="83"/>
      <c r="H723" s="284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>
      <c r="A724" s="83"/>
      <c r="B724" s="283"/>
      <c r="C724" s="83"/>
      <c r="D724" s="83"/>
      <c r="E724" s="83"/>
      <c r="F724" s="83"/>
      <c r="G724" s="83"/>
      <c r="H724" s="284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>
      <c r="A725" s="83"/>
      <c r="B725" s="283"/>
      <c r="C725" s="83"/>
      <c r="D725" s="83"/>
      <c r="E725" s="83"/>
      <c r="F725" s="83"/>
      <c r="G725" s="83"/>
      <c r="H725" s="284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>
      <c r="A726" s="83"/>
      <c r="B726" s="283"/>
      <c r="C726" s="83"/>
      <c r="D726" s="83"/>
      <c r="E726" s="83"/>
      <c r="F726" s="83"/>
      <c r="G726" s="83"/>
      <c r="H726" s="284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>
      <c r="A727" s="83"/>
      <c r="B727" s="283"/>
      <c r="C727" s="83"/>
      <c r="D727" s="83"/>
      <c r="E727" s="83"/>
      <c r="F727" s="83"/>
      <c r="G727" s="83"/>
      <c r="H727" s="284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>
      <c r="A728" s="83"/>
      <c r="B728" s="283"/>
      <c r="C728" s="83"/>
      <c r="D728" s="83"/>
      <c r="E728" s="83"/>
      <c r="F728" s="83"/>
      <c r="G728" s="83"/>
      <c r="H728" s="284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>
      <c r="A729" s="83"/>
      <c r="B729" s="283"/>
      <c r="C729" s="83"/>
      <c r="D729" s="83"/>
      <c r="E729" s="83"/>
      <c r="F729" s="83"/>
      <c r="G729" s="83"/>
      <c r="H729" s="284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>
      <c r="A730" s="83"/>
      <c r="B730" s="283"/>
      <c r="C730" s="83"/>
      <c r="D730" s="83"/>
      <c r="E730" s="83"/>
      <c r="F730" s="83"/>
      <c r="G730" s="83"/>
      <c r="H730" s="284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>
      <c r="A731" s="83"/>
      <c r="B731" s="283"/>
      <c r="C731" s="83"/>
      <c r="D731" s="83"/>
      <c r="E731" s="83"/>
      <c r="F731" s="83"/>
      <c r="G731" s="83"/>
      <c r="H731" s="284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>
      <c r="A732" s="83"/>
      <c r="B732" s="283"/>
      <c r="C732" s="83"/>
      <c r="D732" s="83"/>
      <c r="E732" s="83"/>
      <c r="F732" s="83"/>
      <c r="G732" s="83"/>
      <c r="H732" s="284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>
      <c r="A733" s="83"/>
      <c r="B733" s="283"/>
      <c r="C733" s="83"/>
      <c r="D733" s="83"/>
      <c r="E733" s="83"/>
      <c r="F733" s="83"/>
      <c r="G733" s="83"/>
      <c r="H733" s="284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>
      <c r="A734" s="83"/>
      <c r="B734" s="283"/>
      <c r="C734" s="83"/>
      <c r="D734" s="83"/>
      <c r="E734" s="83"/>
      <c r="F734" s="83"/>
      <c r="G734" s="83"/>
      <c r="H734" s="284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>
      <c r="A735" s="83"/>
      <c r="B735" s="283"/>
      <c r="C735" s="83"/>
      <c r="D735" s="83"/>
      <c r="E735" s="83"/>
      <c r="F735" s="83"/>
      <c r="G735" s="83"/>
      <c r="H735" s="284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>
      <c r="A736" s="83"/>
      <c r="B736" s="283"/>
      <c r="C736" s="83"/>
      <c r="D736" s="83"/>
      <c r="E736" s="83"/>
      <c r="F736" s="83"/>
      <c r="G736" s="83"/>
      <c r="H736" s="284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>
      <c r="A737" s="83"/>
      <c r="B737" s="283"/>
      <c r="C737" s="83"/>
      <c r="D737" s="83"/>
      <c r="E737" s="83"/>
      <c r="F737" s="83"/>
      <c r="G737" s="83"/>
      <c r="H737" s="284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>
      <c r="A738" s="83"/>
      <c r="B738" s="283"/>
      <c r="C738" s="83"/>
      <c r="D738" s="83"/>
      <c r="E738" s="83"/>
      <c r="F738" s="83"/>
      <c r="G738" s="83"/>
      <c r="H738" s="284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>
      <c r="A739" s="83"/>
      <c r="B739" s="283"/>
      <c r="C739" s="83"/>
      <c r="D739" s="83"/>
      <c r="E739" s="83"/>
      <c r="F739" s="83"/>
      <c r="G739" s="83"/>
      <c r="H739" s="284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>
      <c r="A740" s="83"/>
      <c r="B740" s="283"/>
      <c r="C740" s="83"/>
      <c r="D740" s="83"/>
      <c r="E740" s="83"/>
      <c r="F740" s="83"/>
      <c r="G740" s="83"/>
      <c r="H740" s="284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>
      <c r="A741" s="83"/>
      <c r="B741" s="283"/>
      <c r="C741" s="83"/>
      <c r="D741" s="83"/>
      <c r="E741" s="83"/>
      <c r="F741" s="83"/>
      <c r="G741" s="83"/>
      <c r="H741" s="284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>
      <c r="A742" s="83"/>
      <c r="B742" s="283"/>
      <c r="C742" s="83"/>
      <c r="D742" s="83"/>
      <c r="E742" s="83"/>
      <c r="F742" s="83"/>
      <c r="G742" s="83"/>
      <c r="H742" s="284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>
      <c r="A743" s="83"/>
      <c r="B743" s="283"/>
      <c r="C743" s="83"/>
      <c r="D743" s="83"/>
      <c r="E743" s="83"/>
      <c r="F743" s="83"/>
      <c r="G743" s="83"/>
      <c r="H743" s="284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>
      <c r="A744" s="83"/>
      <c r="B744" s="283"/>
      <c r="C744" s="83"/>
      <c r="D744" s="83"/>
      <c r="E744" s="83"/>
      <c r="F744" s="83"/>
      <c r="G744" s="83"/>
      <c r="H744" s="284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>
      <c r="A745" s="83"/>
      <c r="B745" s="283"/>
      <c r="C745" s="83"/>
      <c r="D745" s="83"/>
      <c r="E745" s="83"/>
      <c r="F745" s="83"/>
      <c r="G745" s="83"/>
      <c r="H745" s="284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>
      <c r="A746" s="83"/>
      <c r="B746" s="283"/>
      <c r="C746" s="83"/>
      <c r="D746" s="83"/>
      <c r="E746" s="83"/>
      <c r="F746" s="83"/>
      <c r="G746" s="83"/>
      <c r="H746" s="284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>
      <c r="A747" s="83"/>
      <c r="B747" s="283"/>
      <c r="C747" s="83"/>
      <c r="D747" s="83"/>
      <c r="E747" s="83"/>
      <c r="F747" s="83"/>
      <c r="G747" s="83"/>
      <c r="H747" s="284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>
      <c r="A748" s="83"/>
      <c r="B748" s="283"/>
      <c r="C748" s="83"/>
      <c r="D748" s="83"/>
      <c r="E748" s="83"/>
      <c r="F748" s="83"/>
      <c r="G748" s="83"/>
      <c r="H748" s="284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>
      <c r="A749" s="83"/>
      <c r="B749" s="283"/>
      <c r="C749" s="83"/>
      <c r="D749" s="83"/>
      <c r="E749" s="83"/>
      <c r="F749" s="83"/>
      <c r="G749" s="83"/>
      <c r="H749" s="284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>
      <c r="A750" s="83"/>
      <c r="B750" s="283"/>
      <c r="C750" s="83"/>
      <c r="D750" s="83"/>
      <c r="E750" s="83"/>
      <c r="F750" s="83"/>
      <c r="G750" s="83"/>
      <c r="H750" s="284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>
      <c r="A751" s="83"/>
      <c r="B751" s="283"/>
      <c r="C751" s="83"/>
      <c r="D751" s="83"/>
      <c r="E751" s="83"/>
      <c r="F751" s="83"/>
      <c r="G751" s="83"/>
      <c r="H751" s="284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>
      <c r="A752" s="83"/>
      <c r="B752" s="283"/>
      <c r="C752" s="83"/>
      <c r="D752" s="83"/>
      <c r="E752" s="83"/>
      <c r="F752" s="83"/>
      <c r="G752" s="83"/>
      <c r="H752" s="284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>
      <c r="A753" s="83"/>
      <c r="B753" s="283"/>
      <c r="C753" s="83"/>
      <c r="D753" s="83"/>
      <c r="E753" s="83"/>
      <c r="F753" s="83"/>
      <c r="G753" s="83"/>
      <c r="H753" s="284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>
      <c r="A754" s="83"/>
      <c r="B754" s="283"/>
      <c r="C754" s="83"/>
      <c r="D754" s="83"/>
      <c r="E754" s="83"/>
      <c r="F754" s="83"/>
      <c r="G754" s="83"/>
      <c r="H754" s="284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>
      <c r="A755" s="83"/>
      <c r="B755" s="283"/>
      <c r="C755" s="83"/>
      <c r="D755" s="83"/>
      <c r="E755" s="83"/>
      <c r="F755" s="83"/>
      <c r="G755" s="83"/>
      <c r="H755" s="284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>
      <c r="A756" s="83"/>
      <c r="B756" s="283"/>
      <c r="C756" s="83"/>
      <c r="D756" s="83"/>
      <c r="E756" s="83"/>
      <c r="F756" s="83"/>
      <c r="G756" s="83"/>
      <c r="H756" s="284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>
      <c r="A757" s="83"/>
      <c r="B757" s="283"/>
      <c r="C757" s="83"/>
      <c r="D757" s="83"/>
      <c r="E757" s="83"/>
      <c r="F757" s="83"/>
      <c r="G757" s="83"/>
      <c r="H757" s="284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>
      <c r="A758" s="83"/>
      <c r="B758" s="283"/>
      <c r="C758" s="83"/>
      <c r="D758" s="83"/>
      <c r="E758" s="83"/>
      <c r="F758" s="83"/>
      <c r="G758" s="83"/>
      <c r="H758" s="284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>
      <c r="A759" s="83"/>
      <c r="B759" s="283"/>
      <c r="C759" s="83"/>
      <c r="D759" s="83"/>
      <c r="E759" s="83"/>
      <c r="F759" s="83"/>
      <c r="G759" s="83"/>
      <c r="H759" s="284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>
      <c r="A760" s="83"/>
      <c r="B760" s="283"/>
      <c r="C760" s="83"/>
      <c r="D760" s="83"/>
      <c r="E760" s="83"/>
      <c r="F760" s="83"/>
      <c r="G760" s="83"/>
      <c r="H760" s="284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>
      <c r="A761" s="83"/>
      <c r="B761" s="283"/>
      <c r="C761" s="83"/>
      <c r="D761" s="83"/>
      <c r="E761" s="83"/>
      <c r="F761" s="83"/>
      <c r="G761" s="83"/>
      <c r="H761" s="284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>
      <c r="A762" s="83"/>
      <c r="B762" s="283"/>
      <c r="C762" s="83"/>
      <c r="D762" s="83"/>
      <c r="E762" s="83"/>
      <c r="F762" s="83"/>
      <c r="G762" s="83"/>
      <c r="H762" s="284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>
      <c r="A763" s="83"/>
      <c r="B763" s="283"/>
      <c r="C763" s="83"/>
      <c r="D763" s="83"/>
      <c r="E763" s="83"/>
      <c r="F763" s="83"/>
      <c r="G763" s="83"/>
      <c r="H763" s="284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>
      <c r="A764" s="83"/>
      <c r="B764" s="283"/>
      <c r="C764" s="83"/>
      <c r="D764" s="83"/>
      <c r="E764" s="83"/>
      <c r="F764" s="83"/>
      <c r="G764" s="83"/>
      <c r="H764" s="284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>
      <c r="A765" s="83"/>
      <c r="B765" s="283"/>
      <c r="C765" s="83"/>
      <c r="D765" s="83"/>
      <c r="E765" s="83"/>
      <c r="F765" s="83"/>
      <c r="G765" s="83"/>
      <c r="H765" s="284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>
      <c r="A766" s="83"/>
      <c r="B766" s="283"/>
      <c r="C766" s="83"/>
      <c r="D766" s="83"/>
      <c r="E766" s="83"/>
      <c r="F766" s="83"/>
      <c r="G766" s="83"/>
      <c r="H766" s="284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>
      <c r="A767" s="83"/>
      <c r="B767" s="283"/>
      <c r="C767" s="83"/>
      <c r="D767" s="83"/>
      <c r="E767" s="83"/>
      <c r="F767" s="83"/>
      <c r="G767" s="83"/>
      <c r="H767" s="284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>
      <c r="A768" s="83"/>
      <c r="B768" s="283"/>
      <c r="C768" s="83"/>
      <c r="D768" s="83"/>
      <c r="E768" s="83"/>
      <c r="F768" s="83"/>
      <c r="G768" s="83"/>
      <c r="H768" s="284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>
      <c r="A769" s="83"/>
      <c r="B769" s="283"/>
      <c r="C769" s="83"/>
      <c r="D769" s="83"/>
      <c r="E769" s="83"/>
      <c r="F769" s="83"/>
      <c r="G769" s="83"/>
      <c r="H769" s="284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>
      <c r="A770" s="83"/>
      <c r="B770" s="283"/>
      <c r="C770" s="83"/>
      <c r="D770" s="83"/>
      <c r="E770" s="83"/>
      <c r="F770" s="83"/>
      <c r="G770" s="83"/>
      <c r="H770" s="284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>
      <c r="A771" s="83"/>
      <c r="B771" s="283"/>
      <c r="C771" s="83"/>
      <c r="D771" s="83"/>
      <c r="E771" s="83"/>
      <c r="F771" s="83"/>
      <c r="G771" s="83"/>
      <c r="H771" s="284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>
      <c r="A772" s="83"/>
      <c r="B772" s="283"/>
      <c r="C772" s="83"/>
      <c r="D772" s="83"/>
      <c r="E772" s="83"/>
      <c r="F772" s="83"/>
      <c r="G772" s="83"/>
      <c r="H772" s="284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>
      <c r="A773" s="83"/>
      <c r="B773" s="283"/>
      <c r="C773" s="83"/>
      <c r="D773" s="83"/>
      <c r="E773" s="83"/>
      <c r="F773" s="83"/>
      <c r="G773" s="83"/>
      <c r="H773" s="284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>
      <c r="A774" s="83"/>
      <c r="B774" s="283"/>
      <c r="C774" s="83"/>
      <c r="D774" s="83"/>
      <c r="E774" s="83"/>
      <c r="F774" s="83"/>
      <c r="G774" s="83"/>
      <c r="H774" s="284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>
      <c r="A775" s="83"/>
      <c r="B775" s="283"/>
      <c r="C775" s="83"/>
      <c r="D775" s="83"/>
      <c r="E775" s="83"/>
      <c r="F775" s="83"/>
      <c r="G775" s="83"/>
      <c r="H775" s="284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>
      <c r="A776" s="83"/>
      <c r="B776" s="283"/>
      <c r="C776" s="83"/>
      <c r="D776" s="83"/>
      <c r="E776" s="83"/>
      <c r="F776" s="83"/>
      <c r="G776" s="83"/>
      <c r="H776" s="284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>
      <c r="A777" s="83"/>
      <c r="B777" s="283"/>
      <c r="C777" s="83"/>
      <c r="D777" s="83"/>
      <c r="E777" s="83"/>
      <c r="F777" s="83"/>
      <c r="G777" s="83"/>
      <c r="H777" s="284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>
      <c r="A778" s="83"/>
      <c r="B778" s="283"/>
      <c r="C778" s="83"/>
      <c r="D778" s="83"/>
      <c r="E778" s="83"/>
      <c r="F778" s="83"/>
      <c r="G778" s="83"/>
      <c r="H778" s="284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>
      <c r="A779" s="83"/>
      <c r="B779" s="283"/>
      <c r="C779" s="83"/>
      <c r="D779" s="83"/>
      <c r="E779" s="83"/>
      <c r="F779" s="83"/>
      <c r="G779" s="83"/>
      <c r="H779" s="284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>
      <c r="A780" s="83"/>
      <c r="B780" s="283"/>
      <c r="C780" s="83"/>
      <c r="D780" s="83"/>
      <c r="E780" s="83"/>
      <c r="F780" s="83"/>
      <c r="G780" s="83"/>
      <c r="H780" s="284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>
      <c r="A781" s="83"/>
      <c r="B781" s="283"/>
      <c r="C781" s="83"/>
      <c r="D781" s="83"/>
      <c r="E781" s="83"/>
      <c r="F781" s="83"/>
      <c r="G781" s="83"/>
      <c r="H781" s="284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>
      <c r="A782" s="83"/>
      <c r="B782" s="283"/>
      <c r="C782" s="83"/>
      <c r="D782" s="83"/>
      <c r="E782" s="83"/>
      <c r="F782" s="83"/>
      <c r="G782" s="83"/>
      <c r="H782" s="284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>
      <c r="A783" s="83"/>
      <c r="B783" s="283"/>
      <c r="C783" s="83"/>
      <c r="D783" s="83"/>
      <c r="E783" s="83"/>
      <c r="F783" s="83"/>
      <c r="G783" s="83"/>
      <c r="H783" s="284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>
      <c r="A784" s="83"/>
      <c r="B784" s="283"/>
      <c r="C784" s="83"/>
      <c r="D784" s="83"/>
      <c r="E784" s="83"/>
      <c r="F784" s="83"/>
      <c r="G784" s="83"/>
      <c r="H784" s="284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>
      <c r="A785" s="83"/>
      <c r="B785" s="283"/>
      <c r="C785" s="83"/>
      <c r="D785" s="83"/>
      <c r="E785" s="83"/>
      <c r="F785" s="83"/>
      <c r="G785" s="83"/>
      <c r="H785" s="284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>
      <c r="A786" s="83"/>
      <c r="B786" s="283"/>
      <c r="C786" s="83"/>
      <c r="D786" s="83"/>
      <c r="E786" s="83"/>
      <c r="F786" s="83"/>
      <c r="G786" s="83"/>
      <c r="H786" s="284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>
      <c r="A787" s="83"/>
      <c r="B787" s="283"/>
      <c r="C787" s="83"/>
      <c r="D787" s="83"/>
      <c r="E787" s="83"/>
      <c r="F787" s="83"/>
      <c r="G787" s="83"/>
      <c r="H787" s="284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>
      <c r="A788" s="83"/>
      <c r="B788" s="283"/>
      <c r="C788" s="83"/>
      <c r="D788" s="83"/>
      <c r="E788" s="83"/>
      <c r="F788" s="83"/>
      <c r="G788" s="83"/>
      <c r="H788" s="284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>
      <c r="A789" s="83"/>
      <c r="B789" s="283"/>
      <c r="C789" s="83"/>
      <c r="D789" s="83"/>
      <c r="E789" s="83"/>
      <c r="F789" s="83"/>
      <c r="G789" s="83"/>
      <c r="H789" s="284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>
      <c r="A790" s="83"/>
      <c r="B790" s="283"/>
      <c r="C790" s="83"/>
      <c r="D790" s="83"/>
      <c r="E790" s="83"/>
      <c r="F790" s="83"/>
      <c r="G790" s="83"/>
      <c r="H790" s="284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>
      <c r="A791" s="83"/>
      <c r="B791" s="283"/>
      <c r="C791" s="83"/>
      <c r="D791" s="83"/>
      <c r="E791" s="83"/>
      <c r="F791" s="83"/>
      <c r="G791" s="83"/>
      <c r="H791" s="284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>
      <c r="A792" s="83"/>
      <c r="B792" s="283"/>
      <c r="C792" s="83"/>
      <c r="D792" s="83"/>
      <c r="E792" s="83"/>
      <c r="F792" s="83"/>
      <c r="G792" s="83"/>
      <c r="H792" s="284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>
      <c r="A793" s="83"/>
      <c r="B793" s="283"/>
      <c r="C793" s="83"/>
      <c r="D793" s="83"/>
      <c r="E793" s="83"/>
      <c r="F793" s="83"/>
      <c r="G793" s="83"/>
      <c r="H793" s="284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>
      <c r="A794" s="83"/>
      <c r="B794" s="283"/>
      <c r="C794" s="83"/>
      <c r="D794" s="83"/>
      <c r="E794" s="83"/>
      <c r="F794" s="83"/>
      <c r="G794" s="83"/>
      <c r="H794" s="284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>
      <c r="A795" s="83"/>
      <c r="B795" s="283"/>
      <c r="C795" s="83"/>
      <c r="D795" s="83"/>
      <c r="E795" s="83"/>
      <c r="F795" s="83"/>
      <c r="G795" s="83"/>
      <c r="H795" s="284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>
      <c r="A796" s="83"/>
      <c r="B796" s="283"/>
      <c r="C796" s="83"/>
      <c r="D796" s="83"/>
      <c r="E796" s="83"/>
      <c r="F796" s="83"/>
      <c r="G796" s="83"/>
      <c r="H796" s="284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>
      <c r="A797" s="83"/>
      <c r="B797" s="283"/>
      <c r="C797" s="83"/>
      <c r="D797" s="83"/>
      <c r="E797" s="83"/>
      <c r="F797" s="83"/>
      <c r="G797" s="83"/>
      <c r="H797" s="284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>
      <c r="A798" s="83"/>
      <c r="B798" s="283"/>
      <c r="C798" s="83"/>
      <c r="D798" s="83"/>
      <c r="E798" s="83"/>
      <c r="F798" s="83"/>
      <c r="G798" s="83"/>
      <c r="H798" s="284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>
      <c r="A799" s="83"/>
      <c r="B799" s="283"/>
      <c r="C799" s="83"/>
      <c r="D799" s="83"/>
      <c r="E799" s="83"/>
      <c r="F799" s="83"/>
      <c r="G799" s="83"/>
      <c r="H799" s="284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>
      <c r="A800" s="83"/>
      <c r="B800" s="283"/>
      <c r="C800" s="83"/>
      <c r="D800" s="83"/>
      <c r="E800" s="83"/>
      <c r="F800" s="83"/>
      <c r="G800" s="83"/>
      <c r="H800" s="284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>
      <c r="A801" s="83"/>
      <c r="B801" s="283"/>
      <c r="C801" s="83"/>
      <c r="D801" s="83"/>
      <c r="E801" s="83"/>
      <c r="F801" s="83"/>
      <c r="G801" s="83"/>
      <c r="H801" s="284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>
      <c r="A802" s="83"/>
      <c r="B802" s="283"/>
      <c r="C802" s="83"/>
      <c r="D802" s="83"/>
      <c r="E802" s="83"/>
      <c r="F802" s="83"/>
      <c r="G802" s="83"/>
      <c r="H802" s="284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>
      <c r="A803" s="83"/>
      <c r="B803" s="283"/>
      <c r="C803" s="83"/>
      <c r="D803" s="83"/>
      <c r="E803" s="83"/>
      <c r="F803" s="83"/>
      <c r="G803" s="83"/>
      <c r="H803" s="284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>
      <c r="A804" s="83"/>
      <c r="B804" s="283"/>
      <c r="C804" s="83"/>
      <c r="D804" s="83"/>
      <c r="E804" s="83"/>
      <c r="F804" s="83"/>
      <c r="G804" s="83"/>
      <c r="H804" s="284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>
      <c r="A805" s="83"/>
      <c r="B805" s="283"/>
      <c r="C805" s="83"/>
      <c r="D805" s="83"/>
      <c r="E805" s="83"/>
      <c r="F805" s="83"/>
      <c r="G805" s="83"/>
      <c r="H805" s="284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>
      <c r="A806" s="83"/>
      <c r="B806" s="283"/>
      <c r="C806" s="83"/>
      <c r="D806" s="83"/>
      <c r="E806" s="83"/>
      <c r="F806" s="83"/>
      <c r="G806" s="83"/>
      <c r="H806" s="284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>
      <c r="A807" s="83"/>
      <c r="B807" s="283"/>
      <c r="C807" s="83"/>
      <c r="D807" s="83"/>
      <c r="E807" s="83"/>
      <c r="F807" s="83"/>
      <c r="G807" s="83"/>
      <c r="H807" s="284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>
      <c r="A808" s="83"/>
      <c r="B808" s="283"/>
      <c r="C808" s="83"/>
      <c r="D808" s="83"/>
      <c r="E808" s="83"/>
      <c r="F808" s="83"/>
      <c r="G808" s="83"/>
      <c r="H808" s="284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>
      <c r="A809" s="83"/>
      <c r="B809" s="283"/>
      <c r="C809" s="83"/>
      <c r="D809" s="83"/>
      <c r="E809" s="83"/>
      <c r="F809" s="83"/>
      <c r="G809" s="83"/>
      <c r="H809" s="284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>
      <c r="A810" s="83"/>
      <c r="B810" s="283"/>
      <c r="C810" s="83"/>
      <c r="D810" s="83"/>
      <c r="E810" s="83"/>
      <c r="F810" s="83"/>
      <c r="G810" s="83"/>
      <c r="H810" s="284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>
      <c r="A811" s="83"/>
      <c r="B811" s="283"/>
      <c r="C811" s="83"/>
      <c r="D811" s="83"/>
      <c r="E811" s="83"/>
      <c r="F811" s="83"/>
      <c r="G811" s="83"/>
      <c r="H811" s="284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>
      <c r="A812" s="83"/>
      <c r="B812" s="283"/>
      <c r="C812" s="83"/>
      <c r="D812" s="83"/>
      <c r="E812" s="83"/>
      <c r="F812" s="83"/>
      <c r="G812" s="83"/>
      <c r="H812" s="284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>
      <c r="A813" s="83"/>
      <c r="B813" s="283"/>
      <c r="C813" s="83"/>
      <c r="D813" s="83"/>
      <c r="E813" s="83"/>
      <c r="F813" s="83"/>
      <c r="G813" s="83"/>
      <c r="H813" s="284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>
      <c r="A814" s="83"/>
      <c r="B814" s="283"/>
      <c r="C814" s="83"/>
      <c r="D814" s="83"/>
      <c r="E814" s="83"/>
      <c r="F814" s="83"/>
      <c r="G814" s="83"/>
      <c r="H814" s="284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>
      <c r="A815" s="83"/>
      <c r="B815" s="283"/>
      <c r="C815" s="83"/>
      <c r="D815" s="83"/>
      <c r="E815" s="83"/>
      <c r="F815" s="83"/>
      <c r="G815" s="83"/>
      <c r="H815" s="284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>
      <c r="A816" s="83"/>
      <c r="B816" s="283"/>
      <c r="C816" s="83"/>
      <c r="D816" s="83"/>
      <c r="E816" s="83"/>
      <c r="F816" s="83"/>
      <c r="G816" s="83"/>
      <c r="H816" s="284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>
      <c r="A817" s="83"/>
      <c r="B817" s="283"/>
      <c r="C817" s="83"/>
      <c r="D817" s="83"/>
      <c r="E817" s="83"/>
      <c r="F817" s="83"/>
      <c r="G817" s="83"/>
      <c r="H817" s="284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>
      <c r="A818" s="83"/>
      <c r="B818" s="283"/>
      <c r="C818" s="83"/>
      <c r="D818" s="83"/>
      <c r="E818" s="83"/>
      <c r="F818" s="83"/>
      <c r="G818" s="83"/>
      <c r="H818" s="284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>
      <c r="A819" s="83"/>
      <c r="B819" s="283"/>
      <c r="C819" s="83"/>
      <c r="D819" s="83"/>
      <c r="E819" s="83"/>
      <c r="F819" s="83"/>
      <c r="G819" s="83"/>
      <c r="H819" s="284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>
      <c r="A820" s="83"/>
      <c r="B820" s="283"/>
      <c r="C820" s="83"/>
      <c r="D820" s="83"/>
      <c r="E820" s="83"/>
      <c r="F820" s="83"/>
      <c r="G820" s="83"/>
      <c r="H820" s="284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>
      <c r="A821" s="83"/>
      <c r="B821" s="283"/>
      <c r="C821" s="83"/>
      <c r="D821" s="83"/>
      <c r="E821" s="83"/>
      <c r="F821" s="83"/>
      <c r="G821" s="83"/>
      <c r="H821" s="284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>
      <c r="A822" s="83"/>
      <c r="B822" s="283"/>
      <c r="C822" s="83"/>
      <c r="D822" s="83"/>
      <c r="E822" s="83"/>
      <c r="F822" s="83"/>
      <c r="G822" s="83"/>
      <c r="H822" s="284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>
      <c r="A823" s="83"/>
      <c r="B823" s="283"/>
      <c r="C823" s="83"/>
      <c r="D823" s="83"/>
      <c r="E823" s="83"/>
      <c r="F823" s="83"/>
      <c r="G823" s="83"/>
      <c r="H823" s="284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>
      <c r="A824" s="83"/>
      <c r="B824" s="283"/>
      <c r="C824" s="83"/>
      <c r="D824" s="83"/>
      <c r="E824" s="83"/>
      <c r="F824" s="83"/>
      <c r="G824" s="83"/>
      <c r="H824" s="284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>
      <c r="A825" s="83"/>
      <c r="B825" s="283"/>
      <c r="C825" s="83"/>
      <c r="D825" s="83"/>
      <c r="E825" s="83"/>
      <c r="F825" s="83"/>
      <c r="G825" s="83"/>
      <c r="H825" s="284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>
      <c r="A826" s="83"/>
      <c r="B826" s="283"/>
      <c r="C826" s="83"/>
      <c r="D826" s="83"/>
      <c r="E826" s="83"/>
      <c r="F826" s="83"/>
      <c r="G826" s="83"/>
      <c r="H826" s="284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>
      <c r="A827" s="83"/>
      <c r="B827" s="283"/>
      <c r="C827" s="83"/>
      <c r="D827" s="83"/>
      <c r="E827" s="83"/>
      <c r="F827" s="83"/>
      <c r="G827" s="83"/>
      <c r="H827" s="284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>
      <c r="A828" s="83"/>
      <c r="B828" s="283"/>
      <c r="C828" s="83"/>
      <c r="D828" s="83"/>
      <c r="E828" s="83"/>
      <c r="F828" s="83"/>
      <c r="G828" s="83"/>
      <c r="H828" s="284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>
      <c r="A829" s="83"/>
      <c r="B829" s="283"/>
      <c r="C829" s="83"/>
      <c r="D829" s="83"/>
      <c r="E829" s="83"/>
      <c r="F829" s="83"/>
      <c r="G829" s="83"/>
      <c r="H829" s="284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>
      <c r="A830" s="83"/>
      <c r="B830" s="283"/>
      <c r="C830" s="83"/>
      <c r="D830" s="83"/>
      <c r="E830" s="83"/>
      <c r="F830" s="83"/>
      <c r="G830" s="83"/>
      <c r="H830" s="284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>
      <c r="A831" s="83"/>
      <c r="B831" s="283"/>
      <c r="C831" s="83"/>
      <c r="D831" s="83"/>
      <c r="E831" s="83"/>
      <c r="F831" s="83"/>
      <c r="G831" s="83"/>
      <c r="H831" s="284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>
      <c r="A832" s="83"/>
      <c r="B832" s="283"/>
      <c r="C832" s="83"/>
      <c r="D832" s="83"/>
      <c r="E832" s="83"/>
      <c r="F832" s="83"/>
      <c r="G832" s="83"/>
      <c r="H832" s="284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>
      <c r="A833" s="83"/>
      <c r="B833" s="283"/>
      <c r="C833" s="83"/>
      <c r="D833" s="83"/>
      <c r="E833" s="83"/>
      <c r="F833" s="83"/>
      <c r="G833" s="83"/>
      <c r="H833" s="284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>
      <c r="A834" s="83"/>
      <c r="B834" s="283"/>
      <c r="C834" s="83"/>
      <c r="D834" s="83"/>
      <c r="E834" s="83"/>
      <c r="F834" s="83"/>
      <c r="G834" s="83"/>
      <c r="H834" s="284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>
      <c r="A835" s="83"/>
      <c r="B835" s="283"/>
      <c r="C835" s="83"/>
      <c r="D835" s="83"/>
      <c r="E835" s="83"/>
      <c r="F835" s="83"/>
      <c r="G835" s="83"/>
      <c r="H835" s="284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>
      <c r="A836" s="83"/>
      <c r="B836" s="283"/>
      <c r="C836" s="83"/>
      <c r="D836" s="83"/>
      <c r="E836" s="83"/>
      <c r="F836" s="83"/>
      <c r="G836" s="83"/>
      <c r="H836" s="284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>
      <c r="A837" s="83"/>
      <c r="B837" s="283"/>
      <c r="C837" s="83"/>
      <c r="D837" s="83"/>
      <c r="E837" s="83"/>
      <c r="F837" s="83"/>
      <c r="G837" s="83"/>
      <c r="H837" s="284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>
      <c r="A838" s="83"/>
      <c r="B838" s="283"/>
      <c r="C838" s="83"/>
      <c r="D838" s="83"/>
      <c r="E838" s="83"/>
      <c r="F838" s="83"/>
      <c r="G838" s="83"/>
      <c r="H838" s="284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>
      <c r="A839" s="83"/>
      <c r="B839" s="283"/>
      <c r="C839" s="83"/>
      <c r="D839" s="83"/>
      <c r="E839" s="83"/>
      <c r="F839" s="83"/>
      <c r="G839" s="83"/>
      <c r="H839" s="284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>
      <c r="A840" s="83"/>
      <c r="B840" s="283"/>
      <c r="C840" s="83"/>
      <c r="D840" s="83"/>
      <c r="E840" s="83"/>
      <c r="F840" s="83"/>
      <c r="G840" s="83"/>
      <c r="H840" s="284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>
      <c r="A841" s="83"/>
      <c r="B841" s="283"/>
      <c r="C841" s="83"/>
      <c r="D841" s="83"/>
      <c r="E841" s="83"/>
      <c r="F841" s="83"/>
      <c r="G841" s="83"/>
      <c r="H841" s="284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>
      <c r="A842" s="83"/>
      <c r="B842" s="283"/>
      <c r="C842" s="83"/>
      <c r="D842" s="83"/>
      <c r="E842" s="83"/>
      <c r="F842" s="83"/>
      <c r="G842" s="83"/>
      <c r="H842" s="284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>
      <c r="A843" s="83"/>
      <c r="B843" s="283"/>
      <c r="C843" s="83"/>
      <c r="D843" s="83"/>
      <c r="E843" s="83"/>
      <c r="F843" s="83"/>
      <c r="G843" s="83"/>
      <c r="H843" s="284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>
      <c r="A844" s="83"/>
      <c r="B844" s="283"/>
      <c r="C844" s="83"/>
      <c r="D844" s="83"/>
      <c r="E844" s="83"/>
      <c r="F844" s="83"/>
      <c r="G844" s="83"/>
      <c r="H844" s="284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>
      <c r="A845" s="83"/>
      <c r="B845" s="283"/>
      <c r="C845" s="83"/>
      <c r="D845" s="83"/>
      <c r="E845" s="83"/>
      <c r="F845" s="83"/>
      <c r="G845" s="83"/>
      <c r="H845" s="284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>
      <c r="A846" s="83"/>
      <c r="B846" s="283"/>
      <c r="C846" s="83"/>
      <c r="D846" s="83"/>
      <c r="E846" s="83"/>
      <c r="F846" s="83"/>
      <c r="G846" s="83"/>
      <c r="H846" s="284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>
      <c r="A847" s="83"/>
      <c r="B847" s="283"/>
      <c r="C847" s="83"/>
      <c r="D847" s="83"/>
      <c r="E847" s="83"/>
      <c r="F847" s="83"/>
      <c r="G847" s="83"/>
      <c r="H847" s="284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>
      <c r="A848" s="83"/>
      <c r="B848" s="283"/>
      <c r="C848" s="83"/>
      <c r="D848" s="83"/>
      <c r="E848" s="83"/>
      <c r="F848" s="83"/>
      <c r="G848" s="83"/>
      <c r="H848" s="284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>
      <c r="A849" s="83"/>
      <c r="B849" s="283"/>
      <c r="C849" s="83"/>
      <c r="D849" s="83"/>
      <c r="E849" s="83"/>
      <c r="F849" s="83"/>
      <c r="G849" s="83"/>
      <c r="H849" s="284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>
      <c r="A850" s="83"/>
      <c r="B850" s="283"/>
      <c r="C850" s="83"/>
      <c r="D850" s="83"/>
      <c r="E850" s="83"/>
      <c r="F850" s="83"/>
      <c r="G850" s="83"/>
      <c r="H850" s="284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>
      <c r="A851" s="83"/>
      <c r="B851" s="283"/>
      <c r="C851" s="83"/>
      <c r="D851" s="83"/>
      <c r="E851" s="83"/>
      <c r="F851" s="83"/>
      <c r="G851" s="83"/>
      <c r="H851" s="284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>
      <c r="A852" s="83"/>
      <c r="B852" s="283"/>
      <c r="C852" s="83"/>
      <c r="D852" s="83"/>
      <c r="E852" s="83"/>
      <c r="F852" s="83"/>
      <c r="G852" s="83"/>
      <c r="H852" s="284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>
      <c r="A853" s="83"/>
      <c r="B853" s="283"/>
      <c r="C853" s="83"/>
      <c r="D853" s="83"/>
      <c r="E853" s="83"/>
      <c r="F853" s="83"/>
      <c r="G853" s="83"/>
      <c r="H853" s="284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>
      <c r="A854" s="83"/>
      <c r="B854" s="283"/>
      <c r="C854" s="83"/>
      <c r="D854" s="83"/>
      <c r="E854" s="83"/>
      <c r="F854" s="83"/>
      <c r="G854" s="83"/>
      <c r="H854" s="284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>
      <c r="A855" s="83"/>
      <c r="B855" s="283"/>
      <c r="C855" s="83"/>
      <c r="D855" s="83"/>
      <c r="E855" s="83"/>
      <c r="F855" s="83"/>
      <c r="G855" s="83"/>
      <c r="H855" s="284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>
      <c r="A856" s="83"/>
      <c r="B856" s="283"/>
      <c r="C856" s="83"/>
      <c r="D856" s="83"/>
      <c r="E856" s="83"/>
      <c r="F856" s="83"/>
      <c r="G856" s="83"/>
      <c r="H856" s="284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>
      <c r="A857" s="83"/>
      <c r="B857" s="283"/>
      <c r="C857" s="83"/>
      <c r="D857" s="83"/>
      <c r="E857" s="83"/>
      <c r="F857" s="83"/>
      <c r="G857" s="83"/>
      <c r="H857" s="284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>
      <c r="A858" s="83"/>
      <c r="B858" s="283"/>
      <c r="C858" s="83"/>
      <c r="D858" s="83"/>
      <c r="E858" s="83"/>
      <c r="F858" s="83"/>
      <c r="G858" s="83"/>
      <c r="H858" s="284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>
      <c r="A859" s="83"/>
      <c r="B859" s="283"/>
      <c r="C859" s="83"/>
      <c r="D859" s="83"/>
      <c r="E859" s="83"/>
      <c r="F859" s="83"/>
      <c r="G859" s="83"/>
      <c r="H859" s="284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>
      <c r="A860" s="83"/>
      <c r="B860" s="283"/>
      <c r="C860" s="83"/>
      <c r="D860" s="83"/>
      <c r="E860" s="83"/>
      <c r="F860" s="83"/>
      <c r="G860" s="83"/>
      <c r="H860" s="284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>
      <c r="A861" s="83"/>
      <c r="B861" s="283"/>
      <c r="C861" s="83"/>
      <c r="D861" s="83"/>
      <c r="E861" s="83"/>
      <c r="F861" s="83"/>
      <c r="G861" s="83"/>
      <c r="H861" s="284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>
      <c r="A862" s="83"/>
      <c r="B862" s="283"/>
      <c r="C862" s="83"/>
      <c r="D862" s="83"/>
      <c r="E862" s="83"/>
      <c r="F862" s="83"/>
      <c r="G862" s="83"/>
      <c r="H862" s="284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>
      <c r="A863" s="83"/>
      <c r="B863" s="283"/>
      <c r="C863" s="83"/>
      <c r="D863" s="83"/>
      <c r="E863" s="83"/>
      <c r="F863" s="83"/>
      <c r="G863" s="83"/>
      <c r="H863" s="284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>
      <c r="A864" s="83"/>
      <c r="B864" s="283"/>
      <c r="C864" s="83"/>
      <c r="D864" s="83"/>
      <c r="E864" s="83"/>
      <c r="F864" s="83"/>
      <c r="G864" s="83"/>
      <c r="H864" s="284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>
      <c r="A865" s="83"/>
      <c r="B865" s="283"/>
      <c r="C865" s="83"/>
      <c r="D865" s="83"/>
      <c r="E865" s="83"/>
      <c r="F865" s="83"/>
      <c r="G865" s="83"/>
      <c r="H865" s="284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>
      <c r="A866" s="83"/>
      <c r="B866" s="283"/>
      <c r="C866" s="83"/>
      <c r="D866" s="83"/>
      <c r="E866" s="83"/>
      <c r="F866" s="83"/>
      <c r="G866" s="83"/>
      <c r="H866" s="284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>
      <c r="A867" s="83"/>
      <c r="B867" s="283"/>
      <c r="C867" s="83"/>
      <c r="D867" s="83"/>
      <c r="E867" s="83"/>
      <c r="F867" s="83"/>
      <c r="G867" s="83"/>
      <c r="H867" s="284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>
      <c r="A868" s="83"/>
      <c r="B868" s="283"/>
      <c r="C868" s="83"/>
      <c r="D868" s="83"/>
      <c r="E868" s="83"/>
      <c r="F868" s="83"/>
      <c r="G868" s="83"/>
      <c r="H868" s="284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>
      <c r="A869" s="83"/>
      <c r="B869" s="283"/>
      <c r="C869" s="83"/>
      <c r="D869" s="83"/>
      <c r="E869" s="83"/>
      <c r="F869" s="83"/>
      <c r="G869" s="83"/>
      <c r="H869" s="284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>
      <c r="A870" s="83"/>
      <c r="B870" s="283"/>
      <c r="C870" s="83"/>
      <c r="D870" s="83"/>
      <c r="E870" s="83"/>
      <c r="F870" s="83"/>
      <c r="G870" s="83"/>
      <c r="H870" s="284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>
      <c r="A871" s="83"/>
      <c r="B871" s="283"/>
      <c r="C871" s="83"/>
      <c r="D871" s="83"/>
      <c r="E871" s="83"/>
      <c r="F871" s="83"/>
      <c r="G871" s="83"/>
      <c r="H871" s="284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>
      <c r="A872" s="83"/>
      <c r="B872" s="283"/>
      <c r="C872" s="83"/>
      <c r="D872" s="83"/>
      <c r="E872" s="83"/>
      <c r="F872" s="83"/>
      <c r="G872" s="83"/>
      <c r="H872" s="284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>
      <c r="A873" s="83"/>
      <c r="B873" s="283"/>
      <c r="C873" s="83"/>
      <c r="D873" s="83"/>
      <c r="E873" s="83"/>
      <c r="F873" s="83"/>
      <c r="G873" s="83"/>
      <c r="H873" s="284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>
      <c r="A874" s="83"/>
      <c r="B874" s="283"/>
      <c r="C874" s="83"/>
      <c r="D874" s="83"/>
      <c r="E874" s="83"/>
      <c r="F874" s="83"/>
      <c r="G874" s="83"/>
      <c r="H874" s="284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>
      <c r="A875" s="83"/>
      <c r="B875" s="283"/>
      <c r="C875" s="83"/>
      <c r="D875" s="83"/>
      <c r="E875" s="83"/>
      <c r="F875" s="83"/>
      <c r="G875" s="83"/>
      <c r="H875" s="284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>
      <c r="A876" s="83"/>
      <c r="B876" s="283"/>
      <c r="C876" s="83"/>
      <c r="D876" s="83"/>
      <c r="E876" s="83"/>
      <c r="F876" s="83"/>
      <c r="G876" s="83"/>
      <c r="H876" s="284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>
      <c r="A877" s="83"/>
      <c r="B877" s="283"/>
      <c r="C877" s="83"/>
      <c r="D877" s="83"/>
      <c r="E877" s="83"/>
      <c r="F877" s="83"/>
      <c r="G877" s="83"/>
      <c r="H877" s="284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>
      <c r="A878" s="83"/>
      <c r="B878" s="283"/>
      <c r="C878" s="83"/>
      <c r="D878" s="83"/>
      <c r="E878" s="83"/>
      <c r="F878" s="83"/>
      <c r="G878" s="83"/>
      <c r="H878" s="284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>
      <c r="A879" s="83"/>
      <c r="B879" s="283"/>
      <c r="C879" s="83"/>
      <c r="D879" s="83"/>
      <c r="E879" s="83"/>
      <c r="F879" s="83"/>
      <c r="G879" s="83"/>
      <c r="H879" s="284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>
      <c r="A880" s="83"/>
      <c r="B880" s="283"/>
      <c r="C880" s="83"/>
      <c r="D880" s="83"/>
      <c r="E880" s="83"/>
      <c r="F880" s="83"/>
      <c r="G880" s="83"/>
      <c r="H880" s="284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>
      <c r="A881" s="83"/>
      <c r="B881" s="283"/>
      <c r="C881" s="83"/>
      <c r="D881" s="83"/>
      <c r="E881" s="83"/>
      <c r="F881" s="83"/>
      <c r="G881" s="83"/>
      <c r="H881" s="284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>
      <c r="A882" s="83"/>
      <c r="B882" s="283"/>
      <c r="C882" s="83"/>
      <c r="D882" s="83"/>
      <c r="E882" s="83"/>
      <c r="F882" s="83"/>
      <c r="G882" s="83"/>
      <c r="H882" s="284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>
      <c r="A883" s="83"/>
      <c r="B883" s="283"/>
      <c r="C883" s="83"/>
      <c r="D883" s="83"/>
      <c r="E883" s="83"/>
      <c r="F883" s="83"/>
      <c r="G883" s="83"/>
      <c r="H883" s="284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>
      <c r="A884" s="83"/>
      <c r="B884" s="283"/>
      <c r="C884" s="83"/>
      <c r="D884" s="83"/>
      <c r="E884" s="83"/>
      <c r="F884" s="83"/>
      <c r="G884" s="83"/>
      <c r="H884" s="284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>
      <c r="A885" s="83"/>
      <c r="B885" s="283"/>
      <c r="C885" s="83"/>
      <c r="D885" s="83"/>
      <c r="E885" s="83"/>
      <c r="F885" s="83"/>
      <c r="G885" s="83"/>
      <c r="H885" s="284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>
      <c r="A886" s="83"/>
      <c r="B886" s="283"/>
      <c r="C886" s="83"/>
      <c r="D886" s="83"/>
      <c r="E886" s="83"/>
      <c r="F886" s="83"/>
      <c r="G886" s="83"/>
      <c r="H886" s="284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>
      <c r="A887" s="83"/>
      <c r="B887" s="283"/>
      <c r="C887" s="83"/>
      <c r="D887" s="83"/>
      <c r="E887" s="83"/>
      <c r="F887" s="83"/>
      <c r="G887" s="83"/>
      <c r="H887" s="284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>
      <c r="A888" s="83"/>
      <c r="B888" s="283"/>
      <c r="C888" s="83"/>
      <c r="D888" s="83"/>
      <c r="E888" s="83"/>
      <c r="F888" s="83"/>
      <c r="G888" s="83"/>
      <c r="H888" s="284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>
      <c r="A889" s="83"/>
      <c r="B889" s="283"/>
      <c r="C889" s="83"/>
      <c r="D889" s="83"/>
      <c r="E889" s="83"/>
      <c r="F889" s="83"/>
      <c r="G889" s="83"/>
      <c r="H889" s="284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>
      <c r="A890" s="83"/>
      <c r="B890" s="283"/>
      <c r="C890" s="83"/>
      <c r="D890" s="83"/>
      <c r="E890" s="83"/>
      <c r="F890" s="83"/>
      <c r="G890" s="83"/>
      <c r="H890" s="284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>
      <c r="A891" s="83"/>
      <c r="B891" s="283"/>
      <c r="C891" s="83"/>
      <c r="D891" s="83"/>
      <c r="E891" s="83"/>
      <c r="F891" s="83"/>
      <c r="G891" s="83"/>
      <c r="H891" s="284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>
      <c r="A892" s="83"/>
      <c r="B892" s="283"/>
      <c r="C892" s="83"/>
      <c r="D892" s="83"/>
      <c r="E892" s="83"/>
      <c r="F892" s="83"/>
      <c r="G892" s="83"/>
      <c r="H892" s="284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>
      <c r="A893" s="83"/>
      <c r="B893" s="283"/>
      <c r="C893" s="83"/>
      <c r="D893" s="83"/>
      <c r="E893" s="83"/>
      <c r="F893" s="83"/>
      <c r="G893" s="83"/>
      <c r="H893" s="284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>
      <c r="A894" s="83"/>
      <c r="B894" s="283"/>
      <c r="C894" s="83"/>
      <c r="D894" s="83"/>
      <c r="E894" s="83"/>
      <c r="F894" s="83"/>
      <c r="G894" s="83"/>
      <c r="H894" s="284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>
      <c r="A895" s="83"/>
      <c r="B895" s="283"/>
      <c r="C895" s="83"/>
      <c r="D895" s="83"/>
      <c r="E895" s="83"/>
      <c r="F895" s="83"/>
      <c r="G895" s="83"/>
      <c r="H895" s="284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>
      <c r="A896" s="83"/>
      <c r="B896" s="283"/>
      <c r="C896" s="83"/>
      <c r="D896" s="83"/>
      <c r="E896" s="83"/>
      <c r="F896" s="83"/>
      <c r="G896" s="83"/>
      <c r="H896" s="284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>
      <c r="A897" s="83"/>
      <c r="B897" s="283"/>
      <c r="C897" s="83"/>
      <c r="D897" s="83"/>
      <c r="E897" s="83"/>
      <c r="F897" s="83"/>
      <c r="G897" s="83"/>
      <c r="H897" s="284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>
      <c r="A898" s="83"/>
      <c r="B898" s="283"/>
      <c r="C898" s="83"/>
      <c r="D898" s="83"/>
      <c r="E898" s="83"/>
      <c r="F898" s="83"/>
      <c r="G898" s="83"/>
      <c r="H898" s="284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>
      <c r="A899" s="83"/>
      <c r="B899" s="283"/>
      <c r="C899" s="83"/>
      <c r="D899" s="83"/>
      <c r="E899" s="83"/>
      <c r="F899" s="83"/>
      <c r="G899" s="83"/>
      <c r="H899" s="284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>
      <c r="A900" s="83"/>
      <c r="B900" s="283"/>
      <c r="C900" s="83"/>
      <c r="D900" s="83"/>
      <c r="E900" s="83"/>
      <c r="F900" s="83"/>
      <c r="G900" s="83"/>
      <c r="H900" s="284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>
      <c r="A901" s="83"/>
      <c r="B901" s="283"/>
      <c r="C901" s="83"/>
      <c r="D901" s="83"/>
      <c r="E901" s="83"/>
      <c r="F901" s="83"/>
      <c r="G901" s="83"/>
      <c r="H901" s="284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>
      <c r="A902" s="83"/>
      <c r="B902" s="283"/>
      <c r="C902" s="83"/>
      <c r="D902" s="83"/>
      <c r="E902" s="83"/>
      <c r="F902" s="83"/>
      <c r="G902" s="83"/>
      <c r="H902" s="284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>
      <c r="A903" s="83"/>
      <c r="B903" s="283"/>
      <c r="C903" s="83"/>
      <c r="D903" s="83"/>
      <c r="E903" s="83"/>
      <c r="F903" s="83"/>
      <c r="G903" s="83"/>
      <c r="H903" s="284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>
      <c r="A904" s="83"/>
      <c r="B904" s="283"/>
      <c r="C904" s="83"/>
      <c r="D904" s="83"/>
      <c r="E904" s="83"/>
      <c r="F904" s="83"/>
      <c r="G904" s="83"/>
      <c r="H904" s="284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>
      <c r="A905" s="83"/>
      <c r="B905" s="283"/>
      <c r="C905" s="83"/>
      <c r="D905" s="83"/>
      <c r="E905" s="83"/>
      <c r="F905" s="83"/>
      <c r="G905" s="83"/>
      <c r="H905" s="284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>
      <c r="A906" s="83"/>
      <c r="B906" s="283"/>
      <c r="C906" s="83"/>
      <c r="D906" s="83"/>
      <c r="E906" s="83"/>
      <c r="F906" s="83"/>
      <c r="G906" s="83"/>
      <c r="H906" s="284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>
      <c r="A907" s="83"/>
      <c r="B907" s="283"/>
      <c r="C907" s="83"/>
      <c r="D907" s="83"/>
      <c r="E907" s="83"/>
      <c r="F907" s="83"/>
      <c r="G907" s="83"/>
      <c r="H907" s="284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>
      <c r="A908" s="83"/>
      <c r="B908" s="283"/>
      <c r="C908" s="83"/>
      <c r="D908" s="83"/>
      <c r="E908" s="83"/>
      <c r="F908" s="83"/>
      <c r="G908" s="83"/>
      <c r="H908" s="284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>
      <c r="A909" s="83"/>
      <c r="B909" s="283"/>
      <c r="C909" s="83"/>
      <c r="D909" s="83"/>
      <c r="E909" s="83"/>
      <c r="F909" s="83"/>
      <c r="G909" s="83"/>
      <c r="H909" s="284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>
      <c r="A910" s="83"/>
      <c r="B910" s="283"/>
      <c r="C910" s="83"/>
      <c r="D910" s="83"/>
      <c r="E910" s="83"/>
      <c r="F910" s="83"/>
      <c r="G910" s="83"/>
      <c r="H910" s="284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>
      <c r="A911" s="83"/>
      <c r="B911" s="283"/>
      <c r="C911" s="83"/>
      <c r="D911" s="83"/>
      <c r="E911" s="83"/>
      <c r="F911" s="83"/>
      <c r="G911" s="83"/>
      <c r="H911" s="284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>
      <c r="A912" s="83"/>
      <c r="B912" s="283"/>
      <c r="C912" s="83"/>
      <c r="D912" s="83"/>
      <c r="E912" s="83"/>
      <c r="F912" s="83"/>
      <c r="G912" s="83"/>
      <c r="H912" s="284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>
      <c r="A913" s="83"/>
      <c r="B913" s="283"/>
      <c r="C913" s="83"/>
      <c r="D913" s="83"/>
      <c r="E913" s="83"/>
      <c r="F913" s="83"/>
      <c r="G913" s="83"/>
      <c r="H913" s="284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>
      <c r="A914" s="83"/>
      <c r="B914" s="283"/>
      <c r="C914" s="83"/>
      <c r="D914" s="83"/>
      <c r="E914" s="83"/>
      <c r="F914" s="83"/>
      <c r="G914" s="83"/>
      <c r="H914" s="284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>
      <c r="A915" s="83"/>
      <c r="B915" s="283"/>
      <c r="C915" s="83"/>
      <c r="D915" s="83"/>
      <c r="E915" s="83"/>
      <c r="F915" s="83"/>
      <c r="G915" s="83"/>
      <c r="H915" s="284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>
      <c r="A916" s="83"/>
      <c r="B916" s="283"/>
      <c r="C916" s="83"/>
      <c r="D916" s="83"/>
      <c r="E916" s="83"/>
      <c r="F916" s="83"/>
      <c r="G916" s="83"/>
      <c r="H916" s="284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>
      <c r="A917" s="83"/>
      <c r="B917" s="283"/>
      <c r="C917" s="83"/>
      <c r="D917" s="83"/>
      <c r="E917" s="83"/>
      <c r="F917" s="83"/>
      <c r="G917" s="83"/>
      <c r="H917" s="284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>
      <c r="A918" s="83"/>
      <c r="B918" s="283"/>
      <c r="C918" s="83"/>
      <c r="D918" s="83"/>
      <c r="E918" s="83"/>
      <c r="F918" s="83"/>
      <c r="G918" s="83"/>
      <c r="H918" s="284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>
      <c r="A919" s="83"/>
      <c r="B919" s="283"/>
      <c r="C919" s="83"/>
      <c r="D919" s="83"/>
      <c r="E919" s="83"/>
      <c r="F919" s="83"/>
      <c r="G919" s="83"/>
      <c r="H919" s="284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>
      <c r="A920" s="83"/>
      <c r="B920" s="283"/>
      <c r="C920" s="83"/>
      <c r="D920" s="83"/>
      <c r="E920" s="83"/>
      <c r="F920" s="83"/>
      <c r="G920" s="83"/>
      <c r="H920" s="284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>
      <c r="A921" s="83"/>
      <c r="B921" s="283"/>
      <c r="C921" s="83"/>
      <c r="D921" s="83"/>
      <c r="E921" s="83"/>
      <c r="F921" s="83"/>
      <c r="G921" s="83"/>
      <c r="H921" s="284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>
      <c r="A922" s="83"/>
      <c r="B922" s="283"/>
      <c r="C922" s="83"/>
      <c r="D922" s="83"/>
      <c r="E922" s="83"/>
      <c r="F922" s="83"/>
      <c r="G922" s="83"/>
      <c r="H922" s="284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>
      <c r="A923" s="83"/>
      <c r="B923" s="283"/>
      <c r="C923" s="83"/>
      <c r="D923" s="83"/>
      <c r="E923" s="83"/>
      <c r="F923" s="83"/>
      <c r="G923" s="83"/>
      <c r="H923" s="284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>
      <c r="A924" s="83"/>
      <c r="B924" s="283"/>
      <c r="C924" s="83"/>
      <c r="D924" s="83"/>
      <c r="E924" s="83"/>
      <c r="F924" s="83"/>
      <c r="G924" s="83"/>
      <c r="H924" s="284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>
      <c r="A925" s="83"/>
      <c r="B925" s="283"/>
      <c r="C925" s="83"/>
      <c r="D925" s="83"/>
      <c r="E925" s="83"/>
      <c r="F925" s="83"/>
      <c r="G925" s="83"/>
      <c r="H925" s="284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>
      <c r="A926" s="83"/>
      <c r="B926" s="283"/>
      <c r="C926" s="83"/>
      <c r="D926" s="83"/>
      <c r="E926" s="83"/>
      <c r="F926" s="83"/>
      <c r="G926" s="83"/>
      <c r="H926" s="284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>
      <c r="A927" s="83"/>
      <c r="B927" s="283"/>
      <c r="C927" s="83"/>
      <c r="D927" s="83"/>
      <c r="E927" s="83"/>
      <c r="F927" s="83"/>
      <c r="G927" s="83"/>
      <c r="H927" s="284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>
      <c r="A928" s="83"/>
      <c r="B928" s="283"/>
      <c r="C928" s="83"/>
      <c r="D928" s="83"/>
      <c r="E928" s="83"/>
      <c r="F928" s="83"/>
      <c r="G928" s="83"/>
      <c r="H928" s="284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>
      <c r="A929" s="83"/>
      <c r="B929" s="283"/>
      <c r="C929" s="83"/>
      <c r="D929" s="83"/>
      <c r="E929" s="83"/>
      <c r="F929" s="83"/>
      <c r="G929" s="83"/>
      <c r="H929" s="284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>
      <c r="A930" s="83"/>
      <c r="B930" s="283"/>
      <c r="C930" s="83"/>
      <c r="D930" s="83"/>
      <c r="E930" s="83"/>
      <c r="F930" s="83"/>
      <c r="G930" s="83"/>
      <c r="H930" s="284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>
      <c r="A931" s="83"/>
      <c r="B931" s="283"/>
      <c r="C931" s="83"/>
      <c r="D931" s="83"/>
      <c r="E931" s="83"/>
      <c r="F931" s="83"/>
      <c r="G931" s="83"/>
      <c r="H931" s="284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>
      <c r="A932" s="83"/>
      <c r="B932" s="283"/>
      <c r="C932" s="83"/>
      <c r="D932" s="83"/>
      <c r="E932" s="83"/>
      <c r="F932" s="83"/>
      <c r="G932" s="83"/>
      <c r="H932" s="284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>
      <c r="A933" s="83"/>
      <c r="B933" s="283"/>
      <c r="C933" s="83"/>
      <c r="D933" s="83"/>
      <c r="E933" s="83"/>
      <c r="F933" s="83"/>
      <c r="G933" s="83"/>
      <c r="H933" s="284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>
      <c r="A934" s="83"/>
      <c r="B934" s="283"/>
      <c r="C934" s="83"/>
      <c r="D934" s="83"/>
      <c r="E934" s="83"/>
      <c r="F934" s="83"/>
      <c r="G934" s="83"/>
      <c r="H934" s="284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>
      <c r="A935" s="83"/>
      <c r="B935" s="283"/>
      <c r="C935" s="83"/>
      <c r="D935" s="83"/>
      <c r="E935" s="83"/>
      <c r="F935" s="83"/>
      <c r="G935" s="83"/>
      <c r="H935" s="284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>
      <c r="A936" s="83"/>
      <c r="B936" s="283"/>
      <c r="C936" s="83"/>
      <c r="D936" s="83"/>
      <c r="E936" s="83"/>
      <c r="F936" s="83"/>
      <c r="G936" s="83"/>
      <c r="H936" s="284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>
      <c r="A937" s="83"/>
      <c r="B937" s="283"/>
      <c r="C937" s="83"/>
      <c r="D937" s="83"/>
      <c r="E937" s="83"/>
      <c r="F937" s="83"/>
      <c r="G937" s="83"/>
      <c r="H937" s="284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>
      <c r="A938" s="83"/>
      <c r="B938" s="283"/>
      <c r="C938" s="83"/>
      <c r="D938" s="83"/>
      <c r="E938" s="83"/>
      <c r="F938" s="83"/>
      <c r="G938" s="83"/>
      <c r="H938" s="284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>
      <c r="A939" s="83"/>
      <c r="B939" s="283"/>
      <c r="C939" s="83"/>
      <c r="D939" s="83"/>
      <c r="E939" s="83"/>
      <c r="F939" s="83"/>
      <c r="G939" s="83"/>
      <c r="H939" s="284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>
      <c r="A940" s="83"/>
      <c r="B940" s="283"/>
      <c r="C940" s="83"/>
      <c r="D940" s="83"/>
      <c r="E940" s="83"/>
      <c r="F940" s="83"/>
      <c r="G940" s="83"/>
      <c r="H940" s="284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>
      <c r="A941" s="83"/>
      <c r="B941" s="283"/>
      <c r="C941" s="83"/>
      <c r="D941" s="83"/>
      <c r="E941" s="83"/>
      <c r="F941" s="83"/>
      <c r="G941" s="83"/>
      <c r="H941" s="284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>
      <c r="A942" s="83"/>
      <c r="B942" s="283"/>
      <c r="C942" s="83"/>
      <c r="D942" s="83"/>
      <c r="E942" s="83"/>
      <c r="F942" s="83"/>
      <c r="G942" s="83"/>
      <c r="H942" s="284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>
      <c r="A943" s="83"/>
      <c r="B943" s="283"/>
      <c r="C943" s="83"/>
      <c r="D943" s="83"/>
      <c r="E943" s="83"/>
      <c r="F943" s="83"/>
      <c r="G943" s="83"/>
      <c r="H943" s="284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>
      <c r="A944" s="83"/>
      <c r="B944" s="283"/>
      <c r="C944" s="83"/>
      <c r="D944" s="83"/>
      <c r="E944" s="83"/>
      <c r="F944" s="83"/>
      <c r="G944" s="83"/>
      <c r="H944" s="284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>
      <c r="A945" s="83"/>
      <c r="B945" s="283"/>
      <c r="C945" s="83"/>
      <c r="D945" s="83"/>
      <c r="E945" s="83"/>
      <c r="F945" s="83"/>
      <c r="G945" s="83"/>
      <c r="H945" s="284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>
      <c r="A946" s="83"/>
      <c r="B946" s="283"/>
      <c r="C946" s="83"/>
      <c r="D946" s="83"/>
      <c r="E946" s="83"/>
      <c r="F946" s="83"/>
      <c r="G946" s="83"/>
      <c r="H946" s="284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>
      <c r="A947" s="83"/>
      <c r="B947" s="283"/>
      <c r="C947" s="83"/>
      <c r="D947" s="83"/>
      <c r="E947" s="83"/>
      <c r="F947" s="83"/>
      <c r="G947" s="83"/>
      <c r="H947" s="284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>
      <c r="A948" s="83"/>
      <c r="B948" s="283"/>
      <c r="C948" s="83"/>
      <c r="D948" s="83"/>
      <c r="E948" s="83"/>
      <c r="F948" s="83"/>
      <c r="G948" s="83"/>
      <c r="H948" s="284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>
      <c r="A949" s="83"/>
      <c r="B949" s="283"/>
      <c r="C949" s="83"/>
      <c r="D949" s="83"/>
      <c r="E949" s="83"/>
      <c r="F949" s="83"/>
      <c r="G949" s="83"/>
      <c r="H949" s="284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>
      <c r="A950" s="83"/>
      <c r="B950" s="283"/>
      <c r="C950" s="83"/>
      <c r="D950" s="83"/>
      <c r="E950" s="83"/>
      <c r="F950" s="83"/>
      <c r="G950" s="83"/>
      <c r="H950" s="284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>
      <c r="A951" s="83"/>
      <c r="B951" s="283"/>
      <c r="C951" s="83"/>
      <c r="D951" s="83"/>
      <c r="E951" s="83"/>
      <c r="F951" s="83"/>
      <c r="G951" s="83"/>
      <c r="H951" s="284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>
      <c r="A952" s="83"/>
      <c r="B952" s="283"/>
      <c r="C952" s="83"/>
      <c r="D952" s="83"/>
      <c r="E952" s="83"/>
      <c r="F952" s="83"/>
      <c r="G952" s="83"/>
      <c r="H952" s="284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>
      <c r="A953" s="83"/>
      <c r="B953" s="283"/>
      <c r="C953" s="83"/>
      <c r="D953" s="83"/>
      <c r="E953" s="83"/>
      <c r="F953" s="83"/>
      <c r="G953" s="83"/>
      <c r="H953" s="284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>
      <c r="A954" s="83"/>
      <c r="B954" s="283"/>
      <c r="C954" s="83"/>
      <c r="D954" s="83"/>
      <c r="E954" s="83"/>
      <c r="F954" s="83"/>
      <c r="G954" s="83"/>
      <c r="H954" s="284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>
      <c r="A955" s="83"/>
      <c r="B955" s="283"/>
      <c r="C955" s="83"/>
      <c r="D955" s="83"/>
      <c r="E955" s="83"/>
      <c r="F955" s="83"/>
      <c r="G955" s="83"/>
      <c r="H955" s="284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>
      <c r="A956" s="83"/>
      <c r="B956" s="283"/>
      <c r="C956" s="83"/>
      <c r="D956" s="83"/>
      <c r="E956" s="83"/>
      <c r="F956" s="83"/>
      <c r="G956" s="83"/>
      <c r="H956" s="284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>
      <c r="A957" s="83"/>
      <c r="B957" s="283"/>
      <c r="C957" s="83"/>
      <c r="D957" s="83"/>
      <c r="E957" s="83"/>
      <c r="F957" s="83"/>
      <c r="G957" s="83"/>
      <c r="H957" s="284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>
      <c r="A958" s="83"/>
      <c r="B958" s="283"/>
      <c r="C958" s="83"/>
      <c r="D958" s="83"/>
      <c r="E958" s="83"/>
      <c r="F958" s="83"/>
      <c r="G958" s="83"/>
      <c r="H958" s="284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>
      <c r="A959" s="83"/>
      <c r="B959" s="283"/>
      <c r="C959" s="83"/>
      <c r="D959" s="83"/>
      <c r="E959" s="83"/>
      <c r="F959" s="83"/>
      <c r="G959" s="83"/>
      <c r="H959" s="284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>
      <c r="A960" s="83"/>
      <c r="B960" s="283"/>
      <c r="C960" s="83"/>
      <c r="D960" s="83"/>
      <c r="E960" s="83"/>
      <c r="F960" s="83"/>
      <c r="G960" s="83"/>
      <c r="H960" s="284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>
      <c r="A961" s="83"/>
      <c r="B961" s="283"/>
      <c r="C961" s="83"/>
      <c r="D961" s="83"/>
      <c r="E961" s="83"/>
      <c r="F961" s="83"/>
      <c r="G961" s="83"/>
      <c r="H961" s="284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>
      <c r="A962" s="83"/>
      <c r="B962" s="283"/>
      <c r="C962" s="83"/>
      <c r="D962" s="83"/>
      <c r="E962" s="83"/>
      <c r="F962" s="83"/>
      <c r="G962" s="83"/>
      <c r="H962" s="284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>
      <c r="A963" s="83"/>
      <c r="B963" s="283"/>
      <c r="C963" s="83"/>
      <c r="D963" s="83"/>
      <c r="E963" s="83"/>
      <c r="F963" s="83"/>
      <c r="G963" s="83"/>
      <c r="H963" s="284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>
      <c r="A964" s="83"/>
      <c r="B964" s="283"/>
      <c r="C964" s="83"/>
      <c r="D964" s="83"/>
      <c r="E964" s="83"/>
      <c r="F964" s="83"/>
      <c r="G964" s="83"/>
      <c r="H964" s="284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>
      <c r="A965" s="83"/>
      <c r="B965" s="283"/>
      <c r="C965" s="83"/>
      <c r="D965" s="83"/>
      <c r="E965" s="83"/>
      <c r="F965" s="83"/>
      <c r="G965" s="83"/>
      <c r="H965" s="284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>
      <c r="A966" s="83"/>
      <c r="B966" s="283"/>
      <c r="C966" s="83"/>
      <c r="D966" s="83"/>
      <c r="E966" s="83"/>
      <c r="F966" s="83"/>
      <c r="G966" s="83"/>
      <c r="H966" s="284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>
      <c r="A967" s="83"/>
      <c r="B967" s="283"/>
      <c r="C967" s="83"/>
      <c r="D967" s="83"/>
      <c r="E967" s="83"/>
      <c r="F967" s="83"/>
      <c r="G967" s="83"/>
      <c r="H967" s="284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>
      <c r="A968" s="83"/>
      <c r="B968" s="283"/>
      <c r="C968" s="83"/>
      <c r="D968" s="83"/>
      <c r="E968" s="83"/>
      <c r="F968" s="83"/>
      <c r="G968" s="83"/>
      <c r="H968" s="284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>
      <c r="A969" s="83"/>
      <c r="B969" s="283"/>
      <c r="C969" s="83"/>
      <c r="D969" s="83"/>
      <c r="E969" s="83"/>
      <c r="F969" s="83"/>
      <c r="G969" s="83"/>
      <c r="H969" s="284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>
      <c r="A970" s="83"/>
      <c r="B970" s="283"/>
      <c r="C970" s="83"/>
      <c r="D970" s="83"/>
      <c r="E970" s="83"/>
      <c r="F970" s="83"/>
      <c r="G970" s="83"/>
      <c r="H970" s="284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>
      <c r="A971" s="83"/>
      <c r="B971" s="283"/>
      <c r="C971" s="83"/>
      <c r="D971" s="83"/>
      <c r="E971" s="83"/>
      <c r="F971" s="83"/>
      <c r="G971" s="83"/>
      <c r="H971" s="284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>
      <c r="A972" s="83"/>
      <c r="B972" s="283"/>
      <c r="C972" s="83"/>
      <c r="D972" s="83"/>
      <c r="E972" s="83"/>
      <c r="F972" s="83"/>
      <c r="G972" s="83"/>
      <c r="H972" s="284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>
      <c r="A973" s="83"/>
      <c r="B973" s="283"/>
      <c r="C973" s="83"/>
      <c r="D973" s="83"/>
      <c r="E973" s="83"/>
      <c r="F973" s="83"/>
      <c r="G973" s="83"/>
      <c r="H973" s="284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>
      <c r="A974" s="83"/>
      <c r="B974" s="283"/>
      <c r="C974" s="83"/>
      <c r="D974" s="83"/>
      <c r="E974" s="83"/>
      <c r="F974" s="83"/>
      <c r="G974" s="83"/>
      <c r="H974" s="284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>
      <c r="A975" s="83"/>
      <c r="B975" s="283"/>
      <c r="C975" s="83"/>
      <c r="D975" s="83"/>
      <c r="E975" s="83"/>
      <c r="F975" s="83"/>
      <c r="G975" s="83"/>
      <c r="H975" s="284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>
      <c r="A976" s="83"/>
      <c r="B976" s="283"/>
      <c r="C976" s="83"/>
      <c r="D976" s="83"/>
      <c r="E976" s="83"/>
      <c r="F976" s="83"/>
      <c r="G976" s="83"/>
      <c r="H976" s="284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>
      <c r="A977" s="83"/>
      <c r="B977" s="283"/>
      <c r="C977" s="83"/>
      <c r="D977" s="83"/>
      <c r="E977" s="83"/>
      <c r="F977" s="83"/>
      <c r="G977" s="83"/>
      <c r="H977" s="284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>
      <c r="A978" s="83"/>
      <c r="B978" s="283"/>
      <c r="C978" s="83"/>
      <c r="D978" s="83"/>
      <c r="E978" s="83"/>
      <c r="F978" s="83"/>
      <c r="G978" s="83"/>
      <c r="H978" s="284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>
      <c r="A979" s="83"/>
      <c r="B979" s="283"/>
      <c r="C979" s="83"/>
      <c r="D979" s="83"/>
      <c r="E979" s="83"/>
      <c r="F979" s="83"/>
      <c r="G979" s="83"/>
      <c r="H979" s="284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>
      <c r="A980" s="83"/>
      <c r="B980" s="283"/>
      <c r="C980" s="83"/>
      <c r="D980" s="83"/>
      <c r="E980" s="83"/>
      <c r="F980" s="83"/>
      <c r="G980" s="83"/>
      <c r="H980" s="284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>
      <c r="A981" s="83"/>
      <c r="B981" s="283"/>
      <c r="C981" s="83"/>
      <c r="D981" s="83"/>
      <c r="E981" s="83"/>
      <c r="F981" s="83"/>
      <c r="G981" s="83"/>
      <c r="H981" s="284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>
      <c r="A982" s="83"/>
      <c r="B982" s="283"/>
      <c r="C982" s="83"/>
      <c r="D982" s="83"/>
      <c r="E982" s="83"/>
      <c r="F982" s="83"/>
      <c r="G982" s="83"/>
      <c r="H982" s="284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>
      <c r="A983" s="83"/>
      <c r="B983" s="283"/>
      <c r="C983" s="83"/>
      <c r="D983" s="83"/>
      <c r="E983" s="83"/>
      <c r="F983" s="83"/>
      <c r="G983" s="83"/>
      <c r="H983" s="284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>
      <c r="A984" s="83"/>
      <c r="B984" s="283"/>
      <c r="C984" s="83"/>
      <c r="D984" s="83"/>
      <c r="E984" s="83"/>
      <c r="F984" s="83"/>
      <c r="G984" s="83"/>
      <c r="H984" s="284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>
      <c r="A985" s="83"/>
      <c r="B985" s="283"/>
      <c r="C985" s="83"/>
      <c r="D985" s="83"/>
      <c r="E985" s="83"/>
      <c r="F985" s="83"/>
      <c r="G985" s="83"/>
      <c r="H985" s="284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>
      <c r="A986" s="83"/>
      <c r="B986" s="283"/>
      <c r="C986" s="83"/>
      <c r="D986" s="83"/>
      <c r="E986" s="83"/>
      <c r="F986" s="83"/>
      <c r="G986" s="83"/>
      <c r="H986" s="284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>
      <c r="A987" s="83"/>
      <c r="B987" s="283"/>
      <c r="C987" s="83"/>
      <c r="D987" s="83"/>
      <c r="E987" s="83"/>
      <c r="F987" s="83"/>
      <c r="G987" s="83"/>
      <c r="H987" s="284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>
      <c r="A988" s="83"/>
      <c r="B988" s="283"/>
      <c r="C988" s="83"/>
      <c r="D988" s="83"/>
      <c r="E988" s="83"/>
      <c r="F988" s="83"/>
      <c r="G988" s="83"/>
      <c r="H988" s="284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>
      <c r="A989" s="83"/>
      <c r="B989" s="283"/>
      <c r="C989" s="83"/>
      <c r="D989" s="83"/>
      <c r="E989" s="83"/>
      <c r="F989" s="83"/>
      <c r="G989" s="83"/>
      <c r="H989" s="284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>
      <c r="A990" s="83"/>
      <c r="B990" s="283"/>
      <c r="C990" s="83"/>
      <c r="D990" s="83"/>
      <c r="E990" s="83"/>
      <c r="F990" s="83"/>
      <c r="G990" s="83"/>
      <c r="H990" s="284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>
      <c r="A991" s="83"/>
      <c r="B991" s="283"/>
      <c r="C991" s="83"/>
      <c r="D991" s="83"/>
      <c r="E991" s="83"/>
      <c r="F991" s="83"/>
      <c r="G991" s="83"/>
      <c r="H991" s="284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>
      <c r="A992" s="83"/>
      <c r="B992" s="283"/>
      <c r="C992" s="83"/>
      <c r="D992" s="83"/>
      <c r="E992" s="83"/>
      <c r="F992" s="83"/>
      <c r="G992" s="83"/>
      <c r="H992" s="284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>
      <c r="A993" s="83"/>
      <c r="B993" s="283"/>
      <c r="C993" s="83"/>
      <c r="D993" s="83"/>
      <c r="E993" s="83"/>
      <c r="F993" s="83"/>
      <c r="G993" s="83"/>
      <c r="H993" s="284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>
      <c r="A994" s="83"/>
      <c r="B994" s="283"/>
      <c r="C994" s="83"/>
      <c r="D994" s="83"/>
      <c r="E994" s="83"/>
      <c r="F994" s="83"/>
      <c r="G994" s="83"/>
      <c r="H994" s="284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>
      <c r="A995" s="83"/>
      <c r="B995" s="283"/>
      <c r="C995" s="83"/>
      <c r="D995" s="83"/>
      <c r="E995" s="83"/>
      <c r="F995" s="83"/>
      <c r="G995" s="83"/>
      <c r="H995" s="284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>
      <c r="A996" s="83"/>
      <c r="B996" s="283"/>
      <c r="C996" s="83"/>
      <c r="D996" s="83"/>
      <c r="E996" s="83"/>
      <c r="F996" s="83"/>
      <c r="G996" s="83"/>
      <c r="H996" s="284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>
      <c r="A997" s="83"/>
      <c r="B997" s="283"/>
      <c r="C997" s="83"/>
      <c r="D997" s="83"/>
      <c r="E997" s="83"/>
      <c r="F997" s="83"/>
      <c r="G997" s="83"/>
      <c r="H997" s="284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>
      <c r="A998" s="83"/>
      <c r="B998" s="283"/>
      <c r="C998" s="83"/>
      <c r="D998" s="83"/>
      <c r="E998" s="83"/>
      <c r="F998" s="83"/>
      <c r="G998" s="83"/>
      <c r="H998" s="284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>
      <c r="A999" s="83"/>
      <c r="B999" s="283"/>
      <c r="C999" s="83"/>
      <c r="D999" s="83"/>
      <c r="E999" s="83"/>
      <c r="F999" s="83"/>
      <c r="G999" s="83"/>
      <c r="H999" s="284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>
      <c r="A1000" s="83"/>
      <c r="B1000" s="283"/>
      <c r="C1000" s="83"/>
      <c r="D1000" s="83"/>
      <c r="E1000" s="83"/>
      <c r="F1000" s="83"/>
      <c r="G1000" s="83"/>
      <c r="H1000" s="284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</sheetData>
  <drawing r:id="rId1"/>
</worksheet>
</file>